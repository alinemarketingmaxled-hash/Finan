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OneDrive\Área de Trabalho\2026\"/>
    </mc:Choice>
  </mc:AlternateContent>
  <xr:revisionPtr revIDLastSave="0" documentId="13_ncr:1_{1C319AFF-C38D-4136-87D4-DDC7C962E99F}" xr6:coauthVersionLast="47" xr6:coauthVersionMax="47" xr10:uidLastSave="{00000000-0000-0000-0000-000000000000}"/>
  <bookViews>
    <workbookView xWindow="-120" yWindow="-120" windowWidth="29040" windowHeight="15840" tabRatio="819" activeTab="3" xr2:uid="{00000000-000D-0000-FFFF-FFFF00000000}"/>
  </bookViews>
  <sheets>
    <sheet name="Max Led Consolidada" sheetId="15" r:id="rId1"/>
    <sheet name="Resumo Mensal Ilumini" sheetId="10" r:id="rId2"/>
    <sheet name="Resumo Mensal  import" sheetId="4" r:id="rId3"/>
    <sheet name="Entradas- fin- import" sheetId="11" r:id="rId4"/>
    <sheet name="Saidas-fin-import" sheetId="12" r:id="rId5"/>
    <sheet name="Entradas-NFE-Import" sheetId="13" r:id="rId6"/>
    <sheet name="Saídas-NFE-import" sheetId="14" r:id="rId7"/>
    <sheet name="ENTRADAS - FIN - ilumi" sheetId="1" r:id="rId8"/>
    <sheet name="SAIDAS-FIN-ilumi" sheetId="2" r:id="rId9"/>
    <sheet name="ENTRADA NFE ILUMI" sheetId="7" r:id="rId10"/>
    <sheet name="SAÍDA NFE ILUMI" sheetId="8" r:id="rId11"/>
    <sheet name="Piperline" sheetId="6" r:id="rId12"/>
    <sheet name="Planilha3" sheetId="9" r:id="rId13"/>
  </sheets>
  <definedNames>
    <definedName name="_xlnm._FilterDatabase" localSheetId="2" hidden="1">'Resumo Mensal  import'!$D$6:$J$19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0" l="1"/>
  <c r="L10" i="10" s="1"/>
  <c r="J10" i="10"/>
  <c r="H10" i="4"/>
  <c r="H9" i="4"/>
  <c r="F56" i="11"/>
  <c r="F37" i="11"/>
  <c r="F142" i="12"/>
  <c r="F101" i="12"/>
  <c r="G2" i="2"/>
  <c r="G142" i="2"/>
  <c r="G291" i="2"/>
  <c r="G2" i="1"/>
  <c r="G237" i="1"/>
  <c r="G116" i="1"/>
  <c r="G493" i="2"/>
  <c r="G412" i="1"/>
  <c r="F83" i="11"/>
  <c r="B23" i="15"/>
  <c r="H5" i="4"/>
  <c r="L5" i="4" s="1"/>
  <c r="F71" i="12"/>
  <c r="F14" i="11"/>
  <c r="F3" i="11"/>
  <c r="F31" i="12"/>
  <c r="H6" i="4"/>
  <c r="H7" i="4"/>
  <c r="H8" i="4"/>
  <c r="I16" i="4"/>
  <c r="I15" i="4"/>
  <c r="I14" i="4"/>
  <c r="I13" i="4"/>
  <c r="I12" i="4"/>
  <c r="I11" i="4"/>
  <c r="I10" i="4"/>
  <c r="I9" i="4"/>
  <c r="I8" i="4"/>
  <c r="I7" i="4"/>
  <c r="I6" i="4"/>
  <c r="I5" i="4"/>
  <c r="J16" i="10"/>
  <c r="J15" i="10"/>
  <c r="J14" i="10"/>
  <c r="J13" i="10"/>
  <c r="J12" i="10"/>
  <c r="J11" i="10"/>
  <c r="J9" i="10"/>
  <c r="J8" i="10"/>
  <c r="J7" i="10"/>
  <c r="J6" i="10"/>
  <c r="J5" i="10"/>
  <c r="E4" i="15"/>
  <c r="B22" i="4"/>
  <c r="I6" i="10"/>
  <c r="K6" i="10" s="1"/>
  <c r="I5" i="10"/>
  <c r="K5" i="15"/>
  <c r="K4" i="15"/>
  <c r="K29" i="15" s="1"/>
  <c r="E5" i="15"/>
  <c r="H11" i="4"/>
  <c r="H12" i="4"/>
  <c r="H13" i="4"/>
  <c r="H14" i="4"/>
  <c r="H15" i="4"/>
  <c r="H16" i="4"/>
  <c r="E23" i="4"/>
  <c r="B23" i="4"/>
  <c r="B23" i="10"/>
  <c r="E22" i="4"/>
  <c r="E26" i="4" s="1"/>
  <c r="B22" i="10"/>
  <c r="E22" i="10"/>
  <c r="E23" i="10"/>
  <c r="J11" i="4" l="1"/>
  <c r="L5" i="10"/>
  <c r="L6" i="10" s="1"/>
  <c r="M5" i="10"/>
  <c r="K5" i="10"/>
  <c r="M6" i="10"/>
  <c r="J6" i="4"/>
  <c r="J10" i="4"/>
  <c r="J12" i="4"/>
  <c r="J13" i="4"/>
  <c r="K5" i="4"/>
  <c r="K6" i="4" s="1"/>
  <c r="K7" i="4" s="1"/>
  <c r="K8" i="4" s="1"/>
  <c r="J14" i="4"/>
  <c r="J15" i="4"/>
  <c r="J16" i="4"/>
  <c r="J9" i="4"/>
  <c r="J5" i="4"/>
  <c r="E37" i="10"/>
  <c r="E42" i="10"/>
  <c r="E38" i="10"/>
  <c r="E39" i="10"/>
  <c r="E44" i="10"/>
  <c r="E40" i="10"/>
  <c r="E41" i="10"/>
  <c r="E36" i="10"/>
  <c r="E43" i="10"/>
  <c r="J7" i="4"/>
  <c r="J8" i="4"/>
  <c r="I17" i="4"/>
  <c r="J17" i="10"/>
  <c r="H18" i="15"/>
  <c r="H26" i="15"/>
  <c r="H30" i="15"/>
  <c r="B18" i="15"/>
  <c r="B26" i="15"/>
  <c r="B31" i="15"/>
  <c r="H29" i="15"/>
  <c r="B30" i="15"/>
  <c r="B25" i="15"/>
  <c r="E15" i="4"/>
  <c r="B11" i="4"/>
  <c r="E18" i="10"/>
  <c r="E35" i="10"/>
  <c r="E15" i="10"/>
  <c r="E18" i="4"/>
  <c r="B11" i="10"/>
  <c r="B13" i="10"/>
  <c r="B13" i="4"/>
  <c r="B33" i="10"/>
  <c r="E31" i="4"/>
  <c r="E25" i="4"/>
  <c r="B34" i="4"/>
  <c r="B41" i="4"/>
  <c r="B36" i="4"/>
  <c r="E31" i="10"/>
  <c r="H25" i="15"/>
  <c r="K7" i="15"/>
  <c r="K25" i="15"/>
  <c r="K18" i="15"/>
  <c r="K23" i="15"/>
  <c r="K20" i="15"/>
  <c r="K28" i="15"/>
  <c r="K21" i="15"/>
  <c r="K27" i="15"/>
  <c r="K24" i="15"/>
  <c r="K22" i="15"/>
  <c r="K26" i="15"/>
  <c r="K19" i="15"/>
  <c r="H15" i="15"/>
  <c r="E23" i="15"/>
  <c r="E22" i="15"/>
  <c r="E19" i="15"/>
  <c r="E18" i="15"/>
  <c r="E17" i="15"/>
  <c r="E26" i="15"/>
  <c r="E24" i="15"/>
  <c r="E21" i="15"/>
  <c r="E15" i="15"/>
  <c r="E20" i="15"/>
  <c r="E16" i="15"/>
  <c r="E25" i="15"/>
  <c r="K13" i="15"/>
  <c r="K8" i="15"/>
  <c r="E26" i="10"/>
  <c r="E25" i="10"/>
  <c r="E7" i="15"/>
  <c r="B15" i="15"/>
  <c r="B39" i="4"/>
  <c r="B26" i="4"/>
  <c r="B29" i="4"/>
  <c r="B38" i="4"/>
  <c r="B37" i="4"/>
  <c r="B33" i="4"/>
  <c r="B40" i="4"/>
  <c r="B25" i="4"/>
  <c r="B40" i="10"/>
  <c r="B39" i="10"/>
  <c r="B38" i="10"/>
  <c r="B37" i="10"/>
  <c r="B36" i="10"/>
  <c r="B26" i="10"/>
  <c r="B35" i="10"/>
  <c r="B34" i="10"/>
  <c r="B29" i="10"/>
  <c r="B25" i="10"/>
  <c r="B41" i="10"/>
  <c r="E27" i="15"/>
  <c r="E8" i="15"/>
  <c r="E11" i="15"/>
  <c r="L12" i="4"/>
  <c r="I16" i="10"/>
  <c r="I15" i="10"/>
  <c r="I14" i="10"/>
  <c r="I13" i="10"/>
  <c r="I12" i="10"/>
  <c r="I11" i="10"/>
  <c r="I10" i="10"/>
  <c r="I9" i="10"/>
  <c r="I8" i="10"/>
  <c r="I7" i="10"/>
  <c r="E35" i="4"/>
  <c r="B35" i="4"/>
  <c r="E38" i="4" s="1"/>
  <c r="K12" i="4" l="1"/>
  <c r="K13" i="4" s="1"/>
  <c r="K14" i="4" s="1"/>
  <c r="K15" i="4" s="1"/>
  <c r="K16" i="4" s="1"/>
  <c r="K9" i="4"/>
  <c r="K10" i="4" s="1"/>
  <c r="B20" i="4"/>
  <c r="L7" i="10"/>
  <c r="B20" i="10"/>
  <c r="K17" i="4"/>
  <c r="B12" i="15"/>
  <c r="E45" i="10"/>
  <c r="E12" i="10"/>
  <c r="K8" i="10"/>
  <c r="K16" i="10"/>
  <c r="K9" i="10"/>
  <c r="M11" i="10"/>
  <c r="M8" i="10"/>
  <c r="M16" i="10"/>
  <c r="M15" i="10"/>
  <c r="K11" i="10"/>
  <c r="M13" i="10"/>
  <c r="K13" i="10"/>
  <c r="C26" i="15"/>
  <c r="C25" i="15"/>
  <c r="B16" i="10"/>
  <c r="E28" i="10"/>
  <c r="B32" i="15"/>
  <c r="K17" i="15"/>
  <c r="K30" i="15"/>
  <c r="H31" i="15"/>
  <c r="K10" i="15"/>
  <c r="E28" i="15"/>
  <c r="B27" i="15"/>
  <c r="L9" i="4"/>
  <c r="H27" i="15"/>
  <c r="E9" i="15"/>
  <c r="H17" i="4"/>
  <c r="L16" i="4"/>
  <c r="L14" i="4"/>
  <c r="L11" i="4"/>
  <c r="L10" i="4"/>
  <c r="L7" i="4"/>
  <c r="B27" i="10"/>
  <c r="B30" i="10" s="1"/>
  <c r="M10" i="10"/>
  <c r="K14" i="10"/>
  <c r="I17" i="10"/>
  <c r="K7" i="10"/>
  <c r="M9" i="10"/>
  <c r="K12" i="10"/>
  <c r="M14" i="10"/>
  <c r="M7" i="10"/>
  <c r="M12" i="10"/>
  <c r="K10" i="10"/>
  <c r="K15" i="10"/>
  <c r="L6" i="4"/>
  <c r="L8" i="4"/>
  <c r="L13" i="4"/>
  <c r="L15" i="4"/>
  <c r="B42" i="10"/>
  <c r="E27" i="10"/>
  <c r="L8" i="10" l="1"/>
  <c r="L17" i="10" s="1"/>
  <c r="E29" i="10"/>
  <c r="E32" i="10" s="1"/>
  <c r="E47" i="10" s="1"/>
  <c r="J17" i="4"/>
  <c r="K9" i="15"/>
  <c r="K17" i="10"/>
  <c r="K31" i="15"/>
  <c r="H12" i="15" s="1"/>
  <c r="B44" i="10"/>
  <c r="B47" i="10" s="1"/>
  <c r="B46" i="10"/>
  <c r="E50" i="10" l="1"/>
  <c r="E12" i="15"/>
  <c r="E30" i="15" s="1"/>
  <c r="E49" i="10"/>
  <c r="E33" i="15" l="1"/>
  <c r="E32" i="15"/>
  <c r="E43" i="4"/>
  <c r="E42" i="4"/>
  <c r="E41" i="4"/>
  <c r="E36" i="4"/>
  <c r="E40" i="4"/>
  <c r="E39" i="4"/>
  <c r="E28" i="4"/>
  <c r="K11" i="15" s="1"/>
  <c r="H3" i="2"/>
  <c r="B43" i="4"/>
  <c r="E37" i="4"/>
  <c r="K14" i="15" l="1"/>
  <c r="E44" i="4"/>
  <c r="E45" i="4" s="1"/>
  <c r="B44" i="4"/>
  <c r="E27" i="4"/>
  <c r="E29" i="4" s="1"/>
  <c r="B16" i="4"/>
  <c r="E12" i="4"/>
  <c r="B27" i="4"/>
  <c r="K33" i="15" l="1"/>
  <c r="K36" i="15" s="1"/>
  <c r="K35" i="15"/>
  <c r="E32" i="4"/>
  <c r="E47" i="4" s="1"/>
  <c r="E50" i="4" s="1"/>
  <c r="B30" i="4"/>
  <c r="B46" i="4" s="1"/>
  <c r="B49" i="4" s="1"/>
  <c r="B48" i="4" l="1"/>
  <c r="E49" i="4"/>
</calcChain>
</file>

<file path=xl/sharedStrings.xml><?xml version="1.0" encoding="utf-8"?>
<sst xmlns="http://schemas.openxmlformats.org/spreadsheetml/2006/main" count="11336" uniqueCount="1992">
  <si>
    <t>Max Led consolidada</t>
  </si>
  <si>
    <t>DRE Financeiro</t>
  </si>
  <si>
    <t>Período Inicial:</t>
  </si>
  <si>
    <t>DRE NFE</t>
  </si>
  <si>
    <t>Período Final:</t>
  </si>
  <si>
    <t>RECEITA BRUTA</t>
  </si>
  <si>
    <t>Mês</t>
  </si>
  <si>
    <t>Março</t>
  </si>
  <si>
    <t>(-) IMPOSTOS (Simples Nacional)</t>
  </si>
  <si>
    <t>RECEITA SNF</t>
  </si>
  <si>
    <t>RECEITA LÍQUIDA</t>
  </si>
  <si>
    <t xml:space="preserve">Total de Receitas </t>
  </si>
  <si>
    <t>(-) CUSTO DAS MERCADORIAS (FORNECEDORES)</t>
  </si>
  <si>
    <t>Total</t>
  </si>
  <si>
    <t>LUCRO BRUTO</t>
  </si>
  <si>
    <t>DESPESAS OPERACIONAIS:</t>
  </si>
  <si>
    <t>Entrada</t>
  </si>
  <si>
    <t>Funcionários</t>
  </si>
  <si>
    <t>Gastos Fixos</t>
  </si>
  <si>
    <t>Manutenção</t>
  </si>
  <si>
    <t>Devolução</t>
  </si>
  <si>
    <t>Saídas</t>
  </si>
  <si>
    <t>Transporte</t>
  </si>
  <si>
    <t>Emprestimo</t>
  </si>
  <si>
    <t>Socios</t>
  </si>
  <si>
    <t>Consumo</t>
  </si>
  <si>
    <t>Marketing</t>
  </si>
  <si>
    <t>Banco</t>
  </si>
  <si>
    <t>Import</t>
  </si>
  <si>
    <t>Brinde</t>
  </si>
  <si>
    <t>Entrada Import</t>
  </si>
  <si>
    <t>Seguro</t>
  </si>
  <si>
    <t>Saída Import</t>
  </si>
  <si>
    <t>Importação</t>
  </si>
  <si>
    <t>Total  Import</t>
  </si>
  <si>
    <t>Outras Despesas Operacionais</t>
  </si>
  <si>
    <t>Iluminação</t>
  </si>
  <si>
    <t>Total Despesas Operacionais</t>
  </si>
  <si>
    <t>Entrada Iluminação</t>
  </si>
  <si>
    <t>Saída Iluminação</t>
  </si>
  <si>
    <t>RESULTADO OPERACIONAL</t>
  </si>
  <si>
    <t xml:space="preserve">Total Iluminação </t>
  </si>
  <si>
    <t>MARGEM BRUTA (%)</t>
  </si>
  <si>
    <t>MARGEM LÍQUIDA (%)</t>
  </si>
  <si>
    <t>Max Led Iluminação</t>
  </si>
  <si>
    <t>Receira de Dez.</t>
  </si>
  <si>
    <t>Financeiro</t>
  </si>
  <si>
    <t>MÊS</t>
  </si>
  <si>
    <t>Receita</t>
  </si>
  <si>
    <t>Lucro</t>
  </si>
  <si>
    <t>Evolução %</t>
  </si>
  <si>
    <t>Saida</t>
  </si>
  <si>
    <t>Jan</t>
  </si>
  <si>
    <t>Fev</t>
  </si>
  <si>
    <t>Mar</t>
  </si>
  <si>
    <t>Fevereiro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</si>
  <si>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</si>
  <si>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</si>
  <si>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</si>
  <si>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</si>
  <si>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</si>
  <si>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</si>
  <si>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</si>
  <si>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</si>
  <si>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</si>
  <si>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Max Led Import</t>
  </si>
  <si>
    <t xml:space="preserve"> </t>
  </si>
  <si>
    <t>DATA</t>
  </si>
  <si>
    <t>CLIENTE</t>
  </si>
  <si>
    <t>JUSTIFICATIVA</t>
  </si>
  <si>
    <t>VALOR</t>
  </si>
  <si>
    <t>J. ROSSAN</t>
  </si>
  <si>
    <t xml:space="preserve">janeiro </t>
  </si>
  <si>
    <t>FERRTECH</t>
  </si>
  <si>
    <t>janeiro</t>
  </si>
  <si>
    <t>TELESHESK</t>
  </si>
  <si>
    <t>TRANSFIX</t>
  </si>
  <si>
    <t>ALLPRINT</t>
  </si>
  <si>
    <t>R. BAIÃO</t>
  </si>
  <si>
    <t>extorno cartão de crédito</t>
  </si>
  <si>
    <t>investimento</t>
  </si>
  <si>
    <t>T.G.L</t>
  </si>
  <si>
    <t>fevereiro</t>
  </si>
  <si>
    <t>FZW</t>
  </si>
  <si>
    <t>767 + 11610</t>
  </si>
  <si>
    <t>LANZA</t>
  </si>
  <si>
    <t>SIMPLES CONECT</t>
  </si>
  <si>
    <t>DIGISYSTEM</t>
  </si>
  <si>
    <t>J.M MÁQUINAS</t>
  </si>
  <si>
    <t>DENTSCLER</t>
  </si>
  <si>
    <t>TELECHESKI E TELECHESKI LTDA ME - 0000074</t>
  </si>
  <si>
    <t>769/03</t>
  </si>
  <si>
    <t>LANZA MEDICAL EQUIP. ODONTO MEDICOS LTDA - 0000452</t>
  </si>
  <si>
    <t>783/02</t>
  </si>
  <si>
    <t>M. POWER IND.E COM. DE ELETR. LTDA - 0000216</t>
  </si>
  <si>
    <t>789/01</t>
  </si>
  <si>
    <t>ALLPRINT LATINA AUTOMACAO DE MAQUINAS EA - 0000291</t>
  </si>
  <si>
    <t>770/03</t>
  </si>
  <si>
    <t>DIGISYSTEM IND. DE SIST. ELETRO. LTDA - 0000040</t>
  </si>
  <si>
    <t>786/02</t>
  </si>
  <si>
    <t>PROVOLT TECNOLOGIA ELETRONICA LTDA - 0000886</t>
  </si>
  <si>
    <t>790/01</t>
  </si>
  <si>
    <t>791/01</t>
  </si>
  <si>
    <t>LANZA MEDICAL EQUIP. ODONTO ME</t>
  </si>
  <si>
    <t>783/03</t>
  </si>
  <si>
    <t>SIMPLES CONNECT INDUSTRIA E COMERCIO LTA - 0000308</t>
  </si>
  <si>
    <t>782/02</t>
  </si>
  <si>
    <t>MAX LED</t>
  </si>
  <si>
    <t>MOVIMENTAÇÃO</t>
  </si>
  <si>
    <t>março</t>
  </si>
  <si>
    <t>MOVIMENTO</t>
  </si>
  <si>
    <t>FERRTECH EQUIPAMEN</t>
  </si>
  <si>
    <t>798/01</t>
  </si>
  <si>
    <t>778/03</t>
  </si>
  <si>
    <t xml:space="preserve">ALLPRINT LATINA </t>
  </si>
  <si>
    <t>770/04</t>
  </si>
  <si>
    <t xml:space="preserve">J. M. MAQUINAS </t>
  </si>
  <si>
    <t>799/01</t>
  </si>
  <si>
    <t>803 + 792</t>
  </si>
  <si>
    <t>R.BAIÃO</t>
  </si>
  <si>
    <t>DESTINO</t>
  </si>
  <si>
    <t>SEGURO DE EMPRÉSTIMO</t>
  </si>
  <si>
    <t>SEGURO</t>
  </si>
  <si>
    <t>CAPITAL DE GIRO</t>
  </si>
  <si>
    <t>EMPRÉSTIMOS</t>
  </si>
  <si>
    <t>FEDEX</t>
  </si>
  <si>
    <t>IMPORTAÇÕES</t>
  </si>
  <si>
    <t>BOLETOS</t>
  </si>
  <si>
    <t>BANCO</t>
  </si>
  <si>
    <t>IDALL</t>
  </si>
  <si>
    <t>FORNECEDORES</t>
  </si>
  <si>
    <t>MATHEUS</t>
  </si>
  <si>
    <t>FUNCIONÁRIOS</t>
  </si>
  <si>
    <t>THAMIRES</t>
  </si>
  <si>
    <t>DHL EXPRES</t>
  </si>
  <si>
    <t xml:space="preserve">LS </t>
  </si>
  <si>
    <t>MATERIAL DE ESCRITÓRIO</t>
  </si>
  <si>
    <t>BRINDES</t>
  </si>
  <si>
    <t>BRINDES FUNCIONÁRIOS</t>
  </si>
  <si>
    <t>CAPITAL DE GIRO 12/48</t>
  </si>
  <si>
    <t>IA INTELIGENCIA ARTIFI</t>
  </si>
  <si>
    <t>INVESTIMENTO</t>
  </si>
  <si>
    <t>BOLO CONSUMO</t>
  </si>
  <si>
    <t>CONSUMO</t>
  </si>
  <si>
    <t>HANSER</t>
  </si>
  <si>
    <t>GASTOS FIXOS</t>
  </si>
  <si>
    <t>ALEX</t>
  </si>
  <si>
    <t>SÓCIOS</t>
  </si>
  <si>
    <t>DAS</t>
  </si>
  <si>
    <t>IMPOSTOS</t>
  </si>
  <si>
    <t>ELVANI</t>
  </si>
  <si>
    <t>SIMENTOR</t>
  </si>
  <si>
    <t>CARTÃO</t>
  </si>
  <si>
    <t>LEO COMEDES</t>
  </si>
  <si>
    <t>MARIA</t>
  </si>
  <si>
    <t>PRICILA</t>
  </si>
  <si>
    <t>DAIANE</t>
  </si>
  <si>
    <t>FRANCISCO</t>
  </si>
  <si>
    <t>GILBERTO</t>
  </si>
  <si>
    <t>MANUTENÇÃO</t>
  </si>
  <si>
    <t>FCP</t>
  </si>
  <si>
    <t>LS</t>
  </si>
  <si>
    <t>COLEGIO</t>
  </si>
  <si>
    <t>MATHEUS ROCHA EMPRESTIMO</t>
  </si>
  <si>
    <t>GÁS</t>
  </si>
  <si>
    <t xml:space="preserve">MARIA </t>
  </si>
  <si>
    <t xml:space="preserve">IA </t>
  </si>
  <si>
    <t>HANSER CONTABIL</t>
  </si>
  <si>
    <t>WANDO</t>
  </si>
  <si>
    <t>TRANSPORTES</t>
  </si>
  <si>
    <t>CARTÃO DE CRÉDITO</t>
  </si>
  <si>
    <t>DHL</t>
  </si>
  <si>
    <t>EDUARDO</t>
  </si>
  <si>
    <t>EMPRÉSTIMO</t>
  </si>
  <si>
    <t>MPC</t>
  </si>
  <si>
    <t>CAPITAL DE GIRO 14/48</t>
  </si>
  <si>
    <t>CELULAR</t>
  </si>
  <si>
    <t>MANU INTELIGENCIA ART</t>
  </si>
  <si>
    <t xml:space="preserve">DAS </t>
  </si>
  <si>
    <t>VALE FRANCISCO</t>
  </si>
  <si>
    <t>SÓCIOS CARTÕES</t>
  </si>
  <si>
    <t>CARTÃO DESPESAS DIA DIA</t>
  </si>
  <si>
    <t>CERTIFICADO HANSER</t>
  </si>
  <si>
    <t>DRN</t>
  </si>
  <si>
    <t>Data</t>
  </si>
  <si>
    <t>Nfe</t>
  </si>
  <si>
    <t>Nome</t>
  </si>
  <si>
    <t>Valor</t>
  </si>
  <si>
    <t>JANEIRO</t>
  </si>
  <si>
    <t>WORL</t>
  </si>
  <si>
    <t>KUM LI</t>
  </si>
  <si>
    <t>FEVEREIRO</t>
  </si>
  <si>
    <t>MARÇO</t>
  </si>
  <si>
    <t>R. BAIAO INDUSTRIA E COMERCIO LTDA (0000060)</t>
  </si>
  <si>
    <t>SIMPLES CONNECT INDUSTRIA E COMERCIO LTA (0000308)</t>
  </si>
  <si>
    <t>LANZA MEDICAL EQUIP. ODONTO MEDICOS LTDA (0000452)</t>
  </si>
  <si>
    <t>TRANSFIX ASSISTENCIA TECN. E VENDAS EQUI (0000199)</t>
  </si>
  <si>
    <t>J.M. MAQUINAS AUTOMOTIVAS EIRELI (0000387)</t>
  </si>
  <si>
    <t>DIGISYSTEM IND. DE SIST. ELETRO. LTDA (0000040)</t>
  </si>
  <si>
    <t>DENTSCLER IND. DE APAR. ODONTO. EIRELLI (0000390)</t>
  </si>
  <si>
    <t>M. POWER IND.E COM. DE ELETR.  LTDA (0000216)</t>
  </si>
  <si>
    <t>PROVOLT TECNOLOGIA ELETRONICA LTDA (0000886)</t>
  </si>
  <si>
    <t>CRDS DESENVOLVIMENTO E TECNOLOGIA LTDA. (0001101)</t>
  </si>
  <si>
    <t>MARTINS</t>
  </si>
  <si>
    <t>ALLPRINT LATINA AUTOMACAO DE MAQUINAS EA (0000291)</t>
  </si>
  <si>
    <t>TELECHESKI E TELECHESKI LTDA ME (0000074)</t>
  </si>
  <si>
    <t>T.G.L. ELETRO ELETRONICO LTDA - ME (0000073)</t>
  </si>
  <si>
    <t>ELETROFELIX INDUSTRIA E COMERCIO LTDA (0000477)</t>
  </si>
  <si>
    <t>FERRTECH EQUIPAMENTOS ELETRONICA LTDA -E (0000081)</t>
  </si>
  <si>
    <t>Cliente</t>
  </si>
  <si>
    <t>Nota</t>
  </si>
  <si>
    <t>RUSSER BRASIL</t>
  </si>
  <si>
    <t>ITAÚ</t>
  </si>
  <si>
    <t>Janeiro</t>
  </si>
  <si>
    <t>BASSOMED EQUIPAMENTOS MEDICOS E ODONTOLO - 0000660</t>
  </si>
  <si>
    <t>11850/01</t>
  </si>
  <si>
    <t>11762/04</t>
  </si>
  <si>
    <t>11861/01</t>
  </si>
  <si>
    <t>SSAT SINALIZACAO E ADESIVOS EIRELI EPP - 0000072</t>
  </si>
  <si>
    <t>11836/01</t>
  </si>
  <si>
    <t>NEW TRAFFIC CONTROL TEC. E INOVACAO LTDA - 0000773</t>
  </si>
  <si>
    <t>11825/02</t>
  </si>
  <si>
    <t>11808/02</t>
  </si>
  <si>
    <t>CARINE G RODRIGUES - 0000764</t>
  </si>
  <si>
    <t>11846/01</t>
  </si>
  <si>
    <t>CITTA ELETRONICA IND. E COM. LTDA ME - 0000532</t>
  </si>
  <si>
    <t>11810/02</t>
  </si>
  <si>
    <t>11855/01</t>
  </si>
  <si>
    <t>DENTSCLER IND. DE APAR. ODONTO. EIRELLI - 0000390</t>
  </si>
  <si>
    <t>11827/02</t>
  </si>
  <si>
    <t>S.T.E.E. TECNOLOGIA ELETROELETRONICA LT - 0000062</t>
  </si>
  <si>
    <t>11862/01</t>
  </si>
  <si>
    <t>SPECTO PAINEIS ELETRONICO LTDA - 0000071</t>
  </si>
  <si>
    <t>11718/02</t>
  </si>
  <si>
    <t>FERRTECH EQUIPAMENTOS ELETRONICA LTDA -E - 0000081</t>
  </si>
  <si>
    <t>11815/02</t>
  </si>
  <si>
    <t>MEGAPIX COMPONENTES ELETRONICOS EIRELLI - 0000325</t>
  </si>
  <si>
    <t>11852/01</t>
  </si>
  <si>
    <t>PRODUTOS ELETRONICOS FRATA LTDA - 0000223</t>
  </si>
  <si>
    <t>11849/01</t>
  </si>
  <si>
    <t>NIATRON IND. E COM. DE EQUIP. ELETRO. - 0000143</t>
  </si>
  <si>
    <t>11844/01</t>
  </si>
  <si>
    <t>L S R COMERCIO DE TECNOLOGIA LTDA - 0000565</t>
  </si>
  <si>
    <t>11860/01</t>
  </si>
  <si>
    <t>CRISTOFOLI EQUIP. DE BIOSSEGURANCA LTDA - 0000146</t>
  </si>
  <si>
    <t>11865/01</t>
  </si>
  <si>
    <t>CONDUVOX TELEMATICA LTDA - 0000031</t>
  </si>
  <si>
    <t>11828/02</t>
  </si>
  <si>
    <t>J. ROSSAN ELETRONICA E TELEFONIA LTDA - 0000344</t>
  </si>
  <si>
    <t>11823/01</t>
  </si>
  <si>
    <t>COMPANHIA DOS RELES - COMPONENTES LTDA - 0000985</t>
  </si>
  <si>
    <t>11795/01</t>
  </si>
  <si>
    <t>11854/01</t>
  </si>
  <si>
    <t>11863/01</t>
  </si>
  <si>
    <t>AWA EQUIPAMENTOS E SISTEMA - 0000433</t>
  </si>
  <si>
    <t>11822/03</t>
  </si>
  <si>
    <t>EDERSON VARANDA BORGES LTDA - 0000785</t>
  </si>
  <si>
    <t>11807/01</t>
  </si>
  <si>
    <t>11822/01</t>
  </si>
  <si>
    <t>11822/02</t>
  </si>
  <si>
    <t>REVAL INDUSTRIA E COMERCIO DE EQUIPAMENA - 0000416</t>
  </si>
  <si>
    <t>11880/01</t>
  </si>
  <si>
    <t>11839/02</t>
  </si>
  <si>
    <t>COMP TOTAL DEVOLÇÃO</t>
  </si>
  <si>
    <t>DEVOLUÇÃO</t>
  </si>
  <si>
    <t>HIGTHZ</t>
  </si>
  <si>
    <t>CHARLES</t>
  </si>
  <si>
    <t>SNF</t>
  </si>
  <si>
    <t>CURTIS</t>
  </si>
  <si>
    <t>11886/01</t>
  </si>
  <si>
    <t>T.G.L. ELETRO ELETRONICO LTDA - ME - 0000073</t>
  </si>
  <si>
    <t>11802/03</t>
  </si>
  <si>
    <t>11882/01</t>
  </si>
  <si>
    <t>11808/03</t>
  </si>
  <si>
    <t>11846/02</t>
  </si>
  <si>
    <t>E DE OLIVEIRA</t>
  </si>
  <si>
    <t>11815/03</t>
  </si>
  <si>
    <t>ALIGERA EQUIPAMENTOS DIGITAIS LTDA - 0000188</t>
  </si>
  <si>
    <t>11896/01</t>
  </si>
  <si>
    <t>11850/02</t>
  </si>
  <si>
    <t>11810/03</t>
  </si>
  <si>
    <t>ELETROFELIX INDUSTRIA E COMERCIO LTDA - 0000477</t>
  </si>
  <si>
    <t>11800/03</t>
  </si>
  <si>
    <t>11895/01</t>
  </si>
  <si>
    <t>SEMI-DIGITAL LTDA - 0000450</t>
  </si>
  <si>
    <t>11798/01</t>
  </si>
  <si>
    <t>IMPACTO COMPONENTES ELETRO ELETRRONICOS - 0000154</t>
  </si>
  <si>
    <t>11901/01</t>
  </si>
  <si>
    <t>FOCUS TECNOLOGIA E SOLUCOES LTDA - 0000742</t>
  </si>
  <si>
    <t>11883/01</t>
  </si>
  <si>
    <t>11825/03</t>
  </si>
  <si>
    <t>11855/02</t>
  </si>
  <si>
    <t>FZW INNOVATION LTDA - 0000848</t>
  </si>
  <si>
    <t>11811</t>
  </si>
  <si>
    <t>11838</t>
  </si>
  <si>
    <t>11868</t>
  </si>
  <si>
    <t>EXPOENTE TECNOLOGIA ELETRONICA LTDA - 0000079</t>
  </si>
  <si>
    <t>11797/02</t>
  </si>
  <si>
    <t>ZILOCCHI ELETRONICA LTDA - EPP - 0000130</t>
  </si>
  <si>
    <t>11902/01</t>
  </si>
  <si>
    <t>VINTEK IND., COMERCIO E SERVICOS LTDA - 0000894</t>
  </si>
  <si>
    <t>11803/02</t>
  </si>
  <si>
    <t>11821/01</t>
  </si>
  <si>
    <t>11891/01</t>
  </si>
  <si>
    <t>11894/01</t>
  </si>
  <si>
    <t>ASOR ELETROMEDICA EQUIP. ELETRO. E ELETO - 0000246</t>
  </si>
  <si>
    <t>11897/01</t>
  </si>
  <si>
    <t>11903/01</t>
  </si>
  <si>
    <t>ARIELTEK INDUSTRIA E COMERCIO LTDA - 0000314</t>
  </si>
  <si>
    <t>11908/01</t>
  </si>
  <si>
    <t>BRASMEDICAL IND. E COM. DE PRODUTOS PAR - 0000017</t>
  </si>
  <si>
    <t>11774/03</t>
  </si>
  <si>
    <t>Taikon JAGUARY</t>
  </si>
  <si>
    <t>VALNEI</t>
  </si>
  <si>
    <t>PRODUPARK EQUIP. ELETRO. E IMP. LTDA - 0000056</t>
  </si>
  <si>
    <t>11725/01</t>
  </si>
  <si>
    <t>11725/02</t>
  </si>
  <si>
    <t>11725/03</t>
  </si>
  <si>
    <t>11886/02</t>
  </si>
  <si>
    <t>SEBASTIAO CESAR GRASSI ELETRONICOS - M.. - 0000279</t>
  </si>
  <si>
    <t>11925/01</t>
  </si>
  <si>
    <t>LSR</t>
  </si>
  <si>
    <t>11761/03</t>
  </si>
  <si>
    <t>ACHEI COMPONENTES ELETRONICOS - 0000503</t>
  </si>
  <si>
    <t>11777/03</t>
  </si>
  <si>
    <t>11779/02</t>
  </si>
  <si>
    <t>11836/02</t>
  </si>
  <si>
    <t>RALCOMP COMP. ELETRONICOS EIRELI ME - 0000474</t>
  </si>
  <si>
    <t>11775/03</t>
  </si>
  <si>
    <t>ROYALCOMP</t>
  </si>
  <si>
    <t>MCM</t>
  </si>
  <si>
    <t>NEW TEC</t>
  </si>
  <si>
    <t>HCM MALTA</t>
  </si>
  <si>
    <t>VBN</t>
  </si>
  <si>
    <t>CONSTRUTEC</t>
  </si>
  <si>
    <t>CRDS</t>
  </si>
  <si>
    <t>12033 E 794</t>
  </si>
  <si>
    <t>NEXXO</t>
  </si>
  <si>
    <t>EASTEC</t>
  </si>
  <si>
    <t>LIFE</t>
  </si>
  <si>
    <t>POWERFLEET</t>
  </si>
  <si>
    <t>BRADESCO</t>
  </si>
  <si>
    <t>GISLENE</t>
  </si>
  <si>
    <t>MAX LED ILUM. BRAD</t>
  </si>
  <si>
    <t>ACHEI</t>
  </si>
  <si>
    <t>PRODUTOS FRATA</t>
  </si>
  <si>
    <t>NEW TRAFIC</t>
  </si>
  <si>
    <t>COMLINK</t>
  </si>
  <si>
    <t>PREMIX</t>
  </si>
  <si>
    <t>EDERSON LP</t>
  </si>
  <si>
    <t>NIATRON</t>
  </si>
  <si>
    <t>FIBERWAM</t>
  </si>
  <si>
    <t>11953 + 11935</t>
  </si>
  <si>
    <t>snf 45,46,47</t>
  </si>
  <si>
    <t>WKS TECHNOLOGY DO BRASIL - 0000208</t>
  </si>
  <si>
    <t>11924/01</t>
  </si>
  <si>
    <t>11926/01</t>
  </si>
  <si>
    <t>11927/01</t>
  </si>
  <si>
    <t>11928/01</t>
  </si>
  <si>
    <t>11929/01</t>
  </si>
  <si>
    <t>11930/01</t>
  </si>
  <si>
    <t>11931/01</t>
  </si>
  <si>
    <t>BIQUAD</t>
  </si>
  <si>
    <t>11894/02</t>
  </si>
  <si>
    <t>11897/03</t>
  </si>
  <si>
    <t>11939/01</t>
  </si>
  <si>
    <t>MDI PROD E SISTEMAS LTDA - 0000101</t>
  </si>
  <si>
    <t>11941/01</t>
  </si>
  <si>
    <t>11903/03</t>
  </si>
  <si>
    <t>COMLINK EQUIPAMENTOS ELETRONICOS LTDA - 0000028</t>
  </si>
  <si>
    <t>11916/02</t>
  </si>
  <si>
    <t>B. P. S. SISTEMAS DE AUTOMACAO LTDA - 0000010</t>
  </si>
  <si>
    <t>11946/01</t>
  </si>
  <si>
    <t>11950/01</t>
  </si>
  <si>
    <t>11955/01</t>
  </si>
  <si>
    <t>11944/01</t>
  </si>
  <si>
    <t>MOTOPPAR INDUSTRIA E COMERCIO DE AUTOMAT - 0001056</t>
  </si>
  <si>
    <t>11937/01</t>
  </si>
  <si>
    <t>11940/01</t>
  </si>
  <si>
    <t>11957/01</t>
  </si>
  <si>
    <t>R. BAIAO INDUSTRIA E COMERCIO LTDA - 0000060</t>
  </si>
  <si>
    <t>11942/01</t>
  </si>
  <si>
    <t>EVOLUTEC INDUSTRIA E COMERCIO DE ELETROA - 0000229</t>
  </si>
  <si>
    <t>11958/01</t>
  </si>
  <si>
    <t>11960/01</t>
  </si>
  <si>
    <t>11961/01</t>
  </si>
  <si>
    <t>11936/01</t>
  </si>
  <si>
    <t>11949/01</t>
  </si>
  <si>
    <t>11951/01</t>
  </si>
  <si>
    <t>11954/01</t>
  </si>
  <si>
    <t>11962/01</t>
  </si>
  <si>
    <t>11964/01</t>
  </si>
  <si>
    <t>11965/01</t>
  </si>
  <si>
    <t>11966/01</t>
  </si>
  <si>
    <t>J.M. MAQUINAS AUTOMOTIVAS EIRELI - 0000387</t>
  </si>
  <si>
    <t>11943/01</t>
  </si>
  <si>
    <t>CURTIS ELETRONICA INDUSTRIA E COMERCIO A - 0000295</t>
  </si>
  <si>
    <t>11963/01</t>
  </si>
  <si>
    <t>JAIROTEC</t>
  </si>
  <si>
    <t>RM PLACARES</t>
  </si>
  <si>
    <t>CASH</t>
  </si>
  <si>
    <t>FOCUS</t>
  </si>
  <si>
    <t>6675 6700</t>
  </si>
  <si>
    <t>11779/03</t>
  </si>
  <si>
    <t>11931/02</t>
  </si>
  <si>
    <t>11956/01</t>
  </si>
  <si>
    <t>11970/01</t>
  </si>
  <si>
    <t>11972/01</t>
  </si>
  <si>
    <t>11974/01</t>
  </si>
  <si>
    <t>11989/01</t>
  </si>
  <si>
    <t>11913/03</t>
  </si>
  <si>
    <t>11950/02</t>
  </si>
  <si>
    <t>11967/01</t>
  </si>
  <si>
    <t>11969/01</t>
  </si>
  <si>
    <t>11960/02</t>
  </si>
  <si>
    <t>11990/01</t>
  </si>
  <si>
    <t>BING COMERCIO DE COMPONENTES ELETRONICOS - 0001085</t>
  </si>
  <si>
    <t>11996/01</t>
  </si>
  <si>
    <t>HENRY CP DOS SANTOS</t>
  </si>
  <si>
    <t>DIOGO, SABRINA</t>
  </si>
  <si>
    <t>11964/02</t>
  </si>
  <si>
    <t>11966/02</t>
  </si>
  <si>
    <t>11998/01</t>
  </si>
  <si>
    <t>12005/01</t>
  </si>
  <si>
    <t>MONTEC EXODO</t>
  </si>
  <si>
    <t>11970/02</t>
  </si>
  <si>
    <t>11972/02</t>
  </si>
  <si>
    <t>12011/01</t>
  </si>
  <si>
    <t>11992/01</t>
  </si>
  <si>
    <t>CITHEC CIENCIAS E TECNOLOGYA EIRELI - 0000027</t>
  </si>
  <si>
    <t>11994/01</t>
  </si>
  <si>
    <t>BPM INDUSTRIA E COMERCIO - 000</t>
  </si>
  <si>
    <t>12009/01</t>
  </si>
  <si>
    <t>ALLPRINT LATINA AUTOMACAO DE M</t>
  </si>
  <si>
    <t>12010/01</t>
  </si>
  <si>
    <t>HCM MALTA INDUSTRIA DE BRINQUEDOS - 0000181</t>
  </si>
  <si>
    <t>11796/03</t>
  </si>
  <si>
    <t>12020/01</t>
  </si>
  <si>
    <t>CHAVE DIGITAL TECNOLOGIA ELETRONICA LTDA - 0000022</t>
  </si>
  <si>
    <t>12032/01</t>
  </si>
  <si>
    <t>12019/01</t>
  </si>
  <si>
    <t>MARIA GONÇALVES PREMIX</t>
  </si>
  <si>
    <t>12162+12198</t>
  </si>
  <si>
    <t>11804/03</t>
  </si>
  <si>
    <t>11950/03</t>
  </si>
  <si>
    <t>BPM INDUSTRIA E COMERCIO - 0000541</t>
  </si>
  <si>
    <t>12021/01</t>
  </si>
  <si>
    <t>12025/01</t>
  </si>
  <si>
    <t>MS TECNOPON EQUIPAMENTOS ESPECIAIS LTDA - 0000373</t>
  </si>
  <si>
    <t>12026/01</t>
  </si>
  <si>
    <t>12031/01</t>
  </si>
  <si>
    <t>ENGEMED</t>
  </si>
  <si>
    <t>R.B. DA SILVA</t>
  </si>
  <si>
    <t>VIEWMED</t>
  </si>
  <si>
    <t>TAICON</t>
  </si>
  <si>
    <t>11940/02</t>
  </si>
  <si>
    <t>12005/02</t>
  </si>
  <si>
    <t>NEXXO EQUIPAMENTOS ELETRONICOS LTDA - 0000225</t>
  </si>
  <si>
    <t>12022/01</t>
  </si>
  <si>
    <t>12039/01</t>
  </si>
  <si>
    <t>11949/02</t>
  </si>
  <si>
    <t>11951/02</t>
  </si>
  <si>
    <t>11954/02</t>
  </si>
  <si>
    <t>12009/02</t>
  </si>
  <si>
    <t>12027/01</t>
  </si>
  <si>
    <t>GGP INDUSTRIA E COMERCIO - 0000204</t>
  </si>
  <si>
    <t>12028/01</t>
  </si>
  <si>
    <t>12041/01</t>
  </si>
  <si>
    <t>12042/01</t>
  </si>
  <si>
    <t>12043/01</t>
  </si>
  <si>
    <t>12044/01</t>
  </si>
  <si>
    <t>12046/01</t>
  </si>
  <si>
    <t>VINICIUS (cvf)</t>
  </si>
  <si>
    <t>MDS</t>
  </si>
  <si>
    <t>RYON MÁQUINAS</t>
  </si>
  <si>
    <t>SSAT</t>
  </si>
  <si>
    <t>RUSSER</t>
  </si>
  <si>
    <t>LG NOVA</t>
  </si>
  <si>
    <t>MARCELO</t>
  </si>
  <si>
    <t>ELETROFELIX</t>
  </si>
  <si>
    <t>EVOLUTEC</t>
  </si>
  <si>
    <t>CONDUVOX</t>
  </si>
  <si>
    <t>CITTA</t>
  </si>
  <si>
    <t>J.M MAQUINA</t>
  </si>
  <si>
    <t>INELTEC</t>
  </si>
  <si>
    <t>WGV</t>
  </si>
  <si>
    <t>12043/02</t>
  </si>
  <si>
    <t>12044/02</t>
  </si>
  <si>
    <t>12046/02</t>
  </si>
  <si>
    <t>BALMARC SOLUCOES EIRELI - 0000011</t>
  </si>
  <si>
    <t>12067/01</t>
  </si>
  <si>
    <t>FIBERWAN IND. DE EQUIP. ELETTR. LTDA-EPP - 0000411</t>
  </si>
  <si>
    <t>12068/01</t>
  </si>
  <si>
    <t>ZENER</t>
  </si>
  <si>
    <t>NEW TEC CHARLES</t>
  </si>
  <si>
    <t>11918/02</t>
  </si>
  <si>
    <t>11992/02</t>
  </si>
  <si>
    <t>11993/02</t>
  </si>
  <si>
    <t>11994/02</t>
  </si>
  <si>
    <t>R E M COMPONENTES COMERCIAL ELETRONICA L - 0000826</t>
  </si>
  <si>
    <t>12073/01</t>
  </si>
  <si>
    <t>12076/01</t>
  </si>
  <si>
    <t>MATHEUS DA MATA (LUCIANO)</t>
  </si>
  <si>
    <t>11868/02</t>
  </si>
  <si>
    <t>11894/03</t>
  </si>
  <si>
    <t>12030/03</t>
  </si>
  <si>
    <t>12096/01</t>
  </si>
  <si>
    <t>12097/01</t>
  </si>
  <si>
    <t>SOLSUSTENTAVEL PROD. ELETRO ELETRONICOS - 0000125</t>
  </si>
  <si>
    <t>12098/01</t>
  </si>
  <si>
    <t>12101/01</t>
  </si>
  <si>
    <t>12110/01</t>
  </si>
  <si>
    <t>INELTEC TECNOLOGIAS LTDA - 0000193</t>
  </si>
  <si>
    <t>12060/02</t>
  </si>
  <si>
    <t>12064/02</t>
  </si>
  <si>
    <t>12103/01</t>
  </si>
  <si>
    <t>12251/01</t>
  </si>
  <si>
    <t>11811/03</t>
  </si>
  <si>
    <t>11938/01</t>
  </si>
  <si>
    <t>12022/02</t>
  </si>
  <si>
    <t>12043/03</t>
  </si>
  <si>
    <t>12044/03</t>
  </si>
  <si>
    <t>12046/03</t>
  </si>
  <si>
    <t>12068/02</t>
  </si>
  <si>
    <t>12091/01</t>
  </si>
  <si>
    <t>12092/01</t>
  </si>
  <si>
    <t>DF AUTOMACAO INDUSTRIA E COMERCIO LTDA - 0000434</t>
  </si>
  <si>
    <t>12102/01</t>
  </si>
  <si>
    <t>12100/01</t>
  </si>
  <si>
    <t>12106/01</t>
  </si>
  <si>
    <t>SISTRANS SISTEMA DE SIN. DE TRANSITO LTA - 0000067</t>
  </si>
  <si>
    <t>12107/01</t>
  </si>
  <si>
    <t>12109/01</t>
  </si>
  <si>
    <t>12251/02</t>
  </si>
  <si>
    <t>11949/03</t>
  </si>
  <si>
    <t>11951/03</t>
  </si>
  <si>
    <t>11954/03</t>
  </si>
  <si>
    <t>11956/03</t>
  </si>
  <si>
    <t>11967/02</t>
  </si>
  <si>
    <t>12027/02</t>
  </si>
  <si>
    <t>12028/02</t>
  </si>
  <si>
    <t>BIQUAD TECNOLOGIA LTDA - 0000013</t>
  </si>
  <si>
    <t>12037/02</t>
  </si>
  <si>
    <t>12087/01</t>
  </si>
  <si>
    <t>12098/02</t>
  </si>
  <si>
    <t>12110/02</t>
  </si>
  <si>
    <t>12133/01</t>
  </si>
  <si>
    <t>E DE OLIVEIRA BARBOSA ELETRONICA - 0000898</t>
  </si>
  <si>
    <t>INLINE</t>
  </si>
  <si>
    <t>11938/02</t>
  </si>
  <si>
    <t>12030/04</t>
  </si>
  <si>
    <t>12096/02</t>
  </si>
  <si>
    <t>12099/01</t>
  </si>
  <si>
    <t>12112/01</t>
  </si>
  <si>
    <t>12119/01</t>
  </si>
  <si>
    <t>RASATRONIC ELETRONICA INDUSTRIAL LTDA - 0000057</t>
  </si>
  <si>
    <t>12120/01</t>
  </si>
  <si>
    <t>12301/01</t>
  </si>
  <si>
    <t>12060/03</t>
  </si>
  <si>
    <t>12064/03</t>
  </si>
  <si>
    <t>GRANDE TECH COM, IMPORT, E EXPORT, DE CA - 0000506</t>
  </si>
  <si>
    <t>12132/01</t>
  </si>
  <si>
    <t>ROYALCOMP COMPONENTES ELETR. LTDA - 0000570</t>
  </si>
  <si>
    <t>12143/01</t>
  </si>
  <si>
    <t>EXPOENTE</t>
  </si>
  <si>
    <t>SNF 53</t>
  </si>
  <si>
    <t>ELETRICA</t>
  </si>
  <si>
    <t>11993/03</t>
  </si>
  <si>
    <t>12068/03</t>
  </si>
  <si>
    <t>12106/02</t>
  </si>
  <si>
    <t>12134/01</t>
  </si>
  <si>
    <t>12135/01</t>
  </si>
  <si>
    <t>12136/01</t>
  </si>
  <si>
    <t>12142/01</t>
  </si>
  <si>
    <t>CJS</t>
  </si>
  <si>
    <t>11992/03</t>
  </si>
  <si>
    <t>11994/03</t>
  </si>
  <si>
    <t>12043/04</t>
  </si>
  <si>
    <t>LP INDUSTRIA TECNOLOGICA LTDA - 0000495</t>
  </si>
  <si>
    <t>12089/01</t>
  </si>
  <si>
    <t>ZENER COMPONENTES ELETRONICOS LTDA - ME - 0000142</t>
  </si>
  <si>
    <t>12144/01</t>
  </si>
  <si>
    <t>12151/01</t>
  </si>
  <si>
    <t>12152/01</t>
  </si>
  <si>
    <t>12157/01</t>
  </si>
  <si>
    <t>12149/01</t>
  </si>
  <si>
    <t>12148/01</t>
  </si>
  <si>
    <t>12332/01</t>
  </si>
  <si>
    <t>GABRIEL</t>
  </si>
  <si>
    <t>M12063</t>
  </si>
  <si>
    <t>12396 /12395 /12394</t>
  </si>
  <si>
    <t>TAICON-logus</t>
  </si>
  <si>
    <t>TFCOMP</t>
  </si>
  <si>
    <t>CJS DOS SANTOS GONDOLAS - 0000637</t>
  </si>
  <si>
    <t>12111/01</t>
  </si>
  <si>
    <t>12111/02</t>
  </si>
  <si>
    <t>12111/03</t>
  </si>
  <si>
    <t>12188/01</t>
  </si>
  <si>
    <t>12096/03</t>
  </si>
  <si>
    <t>12098/03</t>
  </si>
  <si>
    <t>POWERFLEET BRASIL LTDA - 0000692</t>
  </si>
  <si>
    <t>12146/01</t>
  </si>
  <si>
    <t>12150/01</t>
  </si>
  <si>
    <t>12164/01</t>
  </si>
  <si>
    <t>UPSAI SISTEMAS DE ENERGIA LTD - 0000485</t>
  </si>
  <si>
    <t>12165/01</t>
  </si>
  <si>
    <t>12193/01</t>
  </si>
  <si>
    <t>11991/01</t>
  </si>
  <si>
    <t>11991/02</t>
  </si>
  <si>
    <t>11991/03</t>
  </si>
  <si>
    <t>12060/04</t>
  </si>
  <si>
    <t>12092/02</t>
  </si>
  <si>
    <t>12167/01</t>
  </si>
  <si>
    <t>12174/01</t>
  </si>
  <si>
    <t>12175/01</t>
  </si>
  <si>
    <t>12178/01</t>
  </si>
  <si>
    <t>12179/01</t>
  </si>
  <si>
    <t>HTR -HORTRON</t>
  </si>
  <si>
    <t>EDUARDO YROSHIMA</t>
  </si>
  <si>
    <t>12134/02</t>
  </si>
  <si>
    <t>12136/02</t>
  </si>
  <si>
    <t>12166/01</t>
  </si>
  <si>
    <t>12184/01</t>
  </si>
  <si>
    <t>12186/01</t>
  </si>
  <si>
    <t>12187/01</t>
  </si>
  <si>
    <t>12191/01</t>
  </si>
  <si>
    <t>12091/02</t>
  </si>
  <si>
    <t>12099/02</t>
  </si>
  <si>
    <t>12100/02</t>
  </si>
  <si>
    <t>RUSSER BRASIL EIRELI - 0000403</t>
  </si>
  <si>
    <t>12176/01</t>
  </si>
  <si>
    <t>11949/04</t>
  </si>
  <si>
    <t>12031/02</t>
  </si>
  <si>
    <t>12195/01</t>
  </si>
  <si>
    <t>12037/03</t>
  </si>
  <si>
    <t>12144/02</t>
  </si>
  <si>
    <t>12196/01</t>
  </si>
  <si>
    <t>LUCIANA - JAIROTEC</t>
  </si>
  <si>
    <t>MDI</t>
  </si>
  <si>
    <t>12212 + 12211 + 12213</t>
  </si>
  <si>
    <t>ALIGERA</t>
  </si>
  <si>
    <t>PSV MATERIAIS ELETRICOS</t>
  </si>
  <si>
    <t>CJ DOS SANTOS</t>
  </si>
  <si>
    <t>Destino</t>
  </si>
  <si>
    <t>Categoria</t>
  </si>
  <si>
    <t>CIKA ELETRONICA</t>
  </si>
  <si>
    <t>ALLSEMI TECNOLOGIA E EIRELI</t>
  </si>
  <si>
    <t>ZENNER</t>
  </si>
  <si>
    <t xml:space="preserve">JOSÉ PINHEIRO MERCUR </t>
  </si>
  <si>
    <t>LECOMP COMERCIAL DE COMPONENTE</t>
  </si>
  <si>
    <t>TRICOMP COMERCIAL E LTDA</t>
  </si>
  <si>
    <t>ALLNETSYS COMERCIO I S LTDA</t>
  </si>
  <si>
    <t>IDALL COMERCIO ATACADISTA DE C</t>
  </si>
  <si>
    <t>MEGAPIX</t>
  </si>
  <si>
    <t>DLT SUPRIMENTOS</t>
  </si>
  <si>
    <t>ACP C A COMP ELETRONICOS LTDA</t>
  </si>
  <si>
    <t>IUVEN SISTEMA</t>
  </si>
  <si>
    <t>DISPLAY MAX ELETRONICA LTDA</t>
  </si>
  <si>
    <t>HEKTRON COMERCIO C E LTDA</t>
  </si>
  <si>
    <t xml:space="preserve">LEDCOMP CREDERE </t>
  </si>
  <si>
    <t>ELLO PRESTACAO DE SERVICOS LTD</t>
  </si>
  <si>
    <t>MATHEUS COND</t>
  </si>
  <si>
    <t>CORREIOS</t>
  </si>
  <si>
    <t>COMP TOTAL C I C ELETRONICOS</t>
  </si>
  <si>
    <t>MKB ELETRONICA LTDA</t>
  </si>
  <si>
    <t>FADAMAR</t>
  </si>
  <si>
    <t>TRYNIT WWG4 COBR</t>
  </si>
  <si>
    <t>ZENER COMPONENTES ELETRONIC LT</t>
  </si>
  <si>
    <t>VETRONIC COM ELETRONICA LTDA</t>
  </si>
  <si>
    <t>REIMOLD INDUSTRIA E COMERCIO D</t>
  </si>
  <si>
    <t>TRYNIT CREDERE CONS</t>
  </si>
  <si>
    <t>MKB SENSORES LTDA</t>
  </si>
  <si>
    <t>TRYNIT CREDERE CO</t>
  </si>
  <si>
    <t>MPC DISTRIBUIDORA E LTDA</t>
  </si>
  <si>
    <t xml:space="preserve">WKS FVS </t>
  </si>
  <si>
    <t>ALINE ROCHA DOS SANTOS</t>
  </si>
  <si>
    <t>CX COMERCIAL EIRELI</t>
  </si>
  <si>
    <t>MATHEUS SOARES ROCHA</t>
  </si>
  <si>
    <t>TAMIRES</t>
  </si>
  <si>
    <t>ELCOMP COMERCIO C E LTDA EPP</t>
  </si>
  <si>
    <t>DIGICOMP ELETRONICA LTDA</t>
  </si>
  <si>
    <t>ALLNETSYS COMERCIO IMPORTACAO</t>
  </si>
  <si>
    <t>DLT SUPRIMENTOS LTDA</t>
  </si>
  <si>
    <t xml:space="preserve">DALEC SECURECOM </t>
  </si>
  <si>
    <t>E2E IND COMERCIO COMPONENTES</t>
  </si>
  <si>
    <t>PORTO SEGURO   SEGURO SAUDE S</t>
  </si>
  <si>
    <t>ORIELEC COMERCIO E IMPORTACAO</t>
  </si>
  <si>
    <t>SINDICATO DOS COMERCIARIOS DE</t>
  </si>
  <si>
    <t>MULT COMERCIAL LTDA</t>
  </si>
  <si>
    <t>BING</t>
  </si>
  <si>
    <t>JKJ</t>
  </si>
  <si>
    <t>DLT</t>
  </si>
  <si>
    <t>Wando motoboy</t>
  </si>
  <si>
    <t>MKB</t>
  </si>
  <si>
    <t>FGTS</t>
  </si>
  <si>
    <t>FGTS 13°</t>
  </si>
  <si>
    <t>DARF</t>
  </si>
  <si>
    <t>VALE MATHEUS SOUZA</t>
  </si>
  <si>
    <t>PREVIDENCIA</t>
  </si>
  <si>
    <t>JBT</t>
  </si>
  <si>
    <t>CLARO NET</t>
  </si>
  <si>
    <t>REFEIÇÃO</t>
  </si>
  <si>
    <t>SERASA</t>
  </si>
  <si>
    <t>LOTUS MATERIAL LIMPEZA</t>
  </si>
  <si>
    <t>ALUGUEL MENSAL</t>
  </si>
  <si>
    <t>DANILO MARKETING POTAL JÁ</t>
  </si>
  <si>
    <t>PUBLICIDADE</t>
  </si>
  <si>
    <t>PLUXXE VR E VA</t>
  </si>
  <si>
    <t>MOTOBOY WANDO</t>
  </si>
  <si>
    <t>CAPITALIZAÇÃO</t>
  </si>
  <si>
    <t>MARCELO SITE</t>
  </si>
  <si>
    <t>ANUAL</t>
  </si>
  <si>
    <t>JOSÉ PINHEIRO</t>
  </si>
  <si>
    <t>LECOMP</t>
  </si>
  <si>
    <t>FILCRIL</t>
  </si>
  <si>
    <t>DISPLAY MAX</t>
  </si>
  <si>
    <t>ACP</t>
  </si>
  <si>
    <t>COMP TOTAL</t>
  </si>
  <si>
    <t>ALLNETS</t>
  </si>
  <si>
    <t>IUVEM FIDC MUL</t>
  </si>
  <si>
    <t>EMP. BRASIL CORREIOS</t>
  </si>
  <si>
    <t>TRICONECT COMERCIAL ELETRONICA</t>
  </si>
  <si>
    <t>MEGADEF COMPONENTES ELETRONICO</t>
  </si>
  <si>
    <t>S-OHM COMERCIAL LTDA</t>
  </si>
  <si>
    <t>TRYNIT</t>
  </si>
  <si>
    <t>SUHAY SEGURO</t>
  </si>
  <si>
    <t>CONTABILIDADE</t>
  </si>
  <si>
    <t>ALINE</t>
  </si>
  <si>
    <t>MATHEUS SOARES</t>
  </si>
  <si>
    <t>MATHEUS SILVA</t>
  </si>
  <si>
    <t>IPVA + LICENCIAMENTO</t>
  </si>
  <si>
    <t>ALLSEMI</t>
  </si>
  <si>
    <t>ELCOMP</t>
  </si>
  <si>
    <t>CLARO</t>
  </si>
  <si>
    <t>PORTO SEGURO SEGURO SAUDE S</t>
  </si>
  <si>
    <t>UP TRONIC ELETRONICA LTDA</t>
  </si>
  <si>
    <t>DELTAS SUPRIMENTOS</t>
  </si>
  <si>
    <t>LEDCOMP CREDERE</t>
  </si>
  <si>
    <t>UESLEY PDF</t>
  </si>
  <si>
    <t>MULT COMERCIAL LT</t>
  </si>
  <si>
    <t>MRD COMPONENTES ELETRONICOS LT</t>
  </si>
  <si>
    <t>HANSER CONTABIL S S LTDA</t>
  </si>
  <si>
    <t>PROELETRONICA C E IMP EXP LTDA</t>
  </si>
  <si>
    <t>UNIVERSE LIGHTING I EXP LTDA</t>
  </si>
  <si>
    <t>S OHM COMERCIAL LTDA</t>
  </si>
  <si>
    <t>ALIGERA DEVOLUÇÃO</t>
  </si>
  <si>
    <t>GPS / FGTS</t>
  </si>
  <si>
    <t>MATHEUS SOUSA</t>
  </si>
  <si>
    <t>WKS</t>
  </si>
  <si>
    <t>A TREE</t>
  </si>
  <si>
    <t>CREDERE TRYNIT</t>
  </si>
  <si>
    <t>MARKCEL COMPONENTES ELETRONICO</t>
  </si>
  <si>
    <t>SERASA SA</t>
  </si>
  <si>
    <t>COMISSÃO TAICON</t>
  </si>
  <si>
    <t>MAX IMPORT</t>
  </si>
  <si>
    <t>ALUGUEL</t>
  </si>
  <si>
    <t>CREDERE LEDCOMP</t>
  </si>
  <si>
    <t>LUCK IMPORT</t>
  </si>
  <si>
    <t>WILSON</t>
  </si>
  <si>
    <t>IDALL COM</t>
  </si>
  <si>
    <t>LECOMP COM</t>
  </si>
  <si>
    <t xml:space="preserve">DISPLAY MAX </t>
  </si>
  <si>
    <t xml:space="preserve">ORANGE E BLACK </t>
  </si>
  <si>
    <t>IMPORTAÇÃO</t>
  </si>
  <si>
    <t>MARIA / ADRIELE</t>
  </si>
  <si>
    <t>WILSOM</t>
  </si>
  <si>
    <t>DICEL</t>
  </si>
  <si>
    <t>TAXA PIX</t>
  </si>
  <si>
    <t xml:space="preserve">TRYNIT CREDERE </t>
  </si>
  <si>
    <t>TRICONECT COM</t>
  </si>
  <si>
    <t>ACP C A COMP</t>
  </si>
  <si>
    <t>MEGADEF</t>
  </si>
  <si>
    <t>IUVEN FIDC MULTIS</t>
  </si>
  <si>
    <t>EMPRESA  CORREIOS</t>
  </si>
  <si>
    <t>TRICOMP COM</t>
  </si>
  <si>
    <t>CX COM</t>
  </si>
  <si>
    <t>CIKA ELETR</t>
  </si>
  <si>
    <t>ZENER COMP</t>
  </si>
  <si>
    <t>E2E IND COM</t>
  </si>
  <si>
    <t>MATHEUS ROCHA</t>
  </si>
  <si>
    <t>TAMIRES ROCHA</t>
  </si>
  <si>
    <t>ALINE ROCHA</t>
  </si>
  <si>
    <t>ADX TELECOM</t>
  </si>
  <si>
    <t>SERVIÇO SR. ALEXANDRE</t>
  </si>
  <si>
    <t>SQUIB TECNOLOGIA E I E LTDA</t>
  </si>
  <si>
    <t>ORANGE BLACK DISTRIBUIDORA L</t>
  </si>
  <si>
    <t>FCP IMPORTACAO</t>
  </si>
  <si>
    <t>SUHAY</t>
  </si>
  <si>
    <t>ORANGE E BLACK DISTRIBUIDORA L</t>
  </si>
  <si>
    <t>SULFITE</t>
  </si>
  <si>
    <t>TRICOMP</t>
  </si>
  <si>
    <t>MAX LED BRADESCO</t>
  </si>
  <si>
    <t>MEGAPIX COMPONENTES ELETRONICO</t>
  </si>
  <si>
    <t>INGRID</t>
  </si>
  <si>
    <t>MONALISA</t>
  </si>
  <si>
    <t>ALINE(COMISSÃO TAIKON E MOV)</t>
  </si>
  <si>
    <t>IMPORT</t>
  </si>
  <si>
    <t>CREDERE CONSULTORIA E FOMENTO</t>
  </si>
  <si>
    <t>CLA.</t>
  </si>
  <si>
    <t>FILCRILL COMPONENTES ELETRONIC</t>
  </si>
  <si>
    <t>JOSÉ WILLARES</t>
  </si>
  <si>
    <t>DAS IMP</t>
  </si>
  <si>
    <t>VALE THAMIRES</t>
  </si>
  <si>
    <t>DISPLAY</t>
  </si>
  <si>
    <t>PROESI</t>
  </si>
  <si>
    <t>LEDCOMP</t>
  </si>
  <si>
    <t>S-OHM</t>
  </si>
  <si>
    <t>ORANGE</t>
  </si>
  <si>
    <t>ASIA</t>
  </si>
  <si>
    <t>CX</t>
  </si>
  <si>
    <t>JÁ EL</t>
  </si>
  <si>
    <t>ALUGUEL PRÉDIO</t>
  </si>
  <si>
    <t>TRICONECT</t>
  </si>
  <si>
    <t>LUCK _</t>
  </si>
  <si>
    <t>GLOBALCHIP</t>
  </si>
  <si>
    <t>MPX</t>
  </si>
  <si>
    <t>FILCRILL COMPS ELETRS IMP E EXP EIRELLI (0000048)</t>
  </si>
  <si>
    <t>ACP COMERCIO ATACADISTA DE COMPONENTES E (0000249)</t>
  </si>
  <si>
    <t>COMP TOTAL COM. E IMP. DE COMP. ELETRON. (0000267)</t>
  </si>
  <si>
    <t>DISPLAY MAX ELETRONICA LTDA (0000318)</t>
  </si>
  <si>
    <t>ZENER COMPONENTES ELETRONICOS LTDA - ME (0000317)</t>
  </si>
  <si>
    <t>IDALL COM. ATAC. DE COMP. ELETR. LTDA (0000011)</t>
  </si>
  <si>
    <t>MEGAPIX COMP. ELETRONICOS LTDA-EPP (0000275)</t>
  </si>
  <si>
    <t>ALLSEMI TECNOLOGIA ELETRONICA LTDA (0000299)</t>
  </si>
  <si>
    <t>LECOMP Com. de Comp. Eletronicos LTDA (0000312)</t>
  </si>
  <si>
    <t>CX COMERCIAL EIRELI EPP (0000329)</t>
  </si>
  <si>
    <t>MULT COMERCIAL LTDA (0000311)</t>
  </si>
  <si>
    <t>ALLNETSYS COMERCIO IMPORTACAO E SERVICOS (0000036)</t>
  </si>
  <si>
    <t>UP TRONIC ELETRONICA LTDA (0000409)</t>
  </si>
  <si>
    <t>ELCOMP COMERCIO COMPONENTES ELETR. LTDA (0000246)</t>
  </si>
  <si>
    <t>TRYNIT LED COMPONENTES ELETRONICOS EIREL (0000259)</t>
  </si>
  <si>
    <t>E2E INDUSTRIA E COMERCIO DE COMPONENTES (0000306)</t>
  </si>
  <si>
    <t>LEDCOMP COMERCIO DE COMPONENTES ELETRONI (0000313)</t>
  </si>
  <si>
    <t>MKB ELETRONICA E SENSORES LTDA (0000171)</t>
  </si>
  <si>
    <t>TRICONECT COMERCIAL ELETR. LTDA (0000321)</t>
  </si>
  <si>
    <t>MRD COMPONENTES ELETRONICOS LTDA. (0000388)</t>
  </si>
  <si>
    <t>TRICOMP COMERCIAL ELETR. LTDA (0000278)</t>
  </si>
  <si>
    <t>CP DOS SANTOS ELETROELETRONICOS (0000244)</t>
  </si>
  <si>
    <t>NEXXO EQUIPAMENTOS ELETRONICOS LTDA (C) (0000225)</t>
  </si>
  <si>
    <t>MEGADEF COMPONENTES ELETRONICOS LTDA (0000039)</t>
  </si>
  <si>
    <t>S-ohm Comercial Ltda. (0000183)</t>
  </si>
  <si>
    <t>UNIVERSE LIGHTING IMPORTACAO EXPORTA€CO (0000305)</t>
  </si>
  <si>
    <t>JOSÃ‰ PINHEIRO CASSINI - ME (0000404)</t>
  </si>
  <si>
    <t>MDS COMPONENTES ELETRONICOS LTDA (0000297)</t>
  </si>
  <si>
    <t>DELTA SUPRIMENTOS DE INFORMATICA (0000161)</t>
  </si>
  <si>
    <t>PROELETRONICA COMPS ELETS IMPO E EXPO LT (0000273)</t>
  </si>
  <si>
    <t>MARKCEL COMPONENTES ELETRONICOS LTDA (0000245)</t>
  </si>
  <si>
    <t>JBT COMPONENTES FILIAL ITAPEVA/MG (0000414)</t>
  </si>
  <si>
    <t>CIKA ELETRONICA DO BRASIL LTDA (0000021)</t>
  </si>
  <si>
    <t>DALEC INDUSTRIA E COMERCIO DE COMPONENTE (0000056)</t>
  </si>
  <si>
    <t>VETRONIC COMERCIO ELETRONICA LTDA (0000038)</t>
  </si>
  <si>
    <t>DICEL COMERCIO DE COMPONENTES ELETRONICO (0000298)</t>
  </si>
  <si>
    <t>WKS TECHNOLOGY DO BRASIL LTDA (0000320)</t>
  </si>
  <si>
    <t>LUCKY COMERCIAL IMPORTADORA LTDA (0000417)</t>
  </si>
  <si>
    <t>ORANGE E BLACK DISTRIBUIDORA LTDA (0000198)</t>
  </si>
  <si>
    <t>SQUIB TECNOLOGIA ELETR. IMPOT. E EX. LTD (0000283)</t>
  </si>
  <si>
    <t>FCP IMPORTACAO E COMERCIO LTDA (0000398)</t>
  </si>
  <si>
    <t>DLT SUPRIMENTOS LTDA (0000389)</t>
  </si>
  <si>
    <t>A TREE 2012 LUMINARIAS EIRELI (0000248)</t>
  </si>
  <si>
    <t>JA ELETRONICA IMPORTACAO E EXPORTACAO LT (0000423)</t>
  </si>
  <si>
    <t>PROESI COMPONENTES ELETRONICOS LTDA (0000424)</t>
  </si>
  <si>
    <t>MPC DISTRIBUIDORA DE ELETRO-ELETRONICOS (0000160)</t>
  </si>
  <si>
    <t>GLOBALCHIP TECNOLOGIA ELETRaNICA LTDA (0000117)</t>
  </si>
  <si>
    <t>ASIA BRASIL COM. DE COMPS.ELETRONICOS LT (0000385)</t>
  </si>
  <si>
    <t>MPX COMPONENTES ELETRONICOS LTDA (0000303)</t>
  </si>
  <si>
    <t>ADX TELECOM COMERCIO &amp;AMP;AMP; SERVICOS (0000428)</t>
  </si>
  <si>
    <t>HEKTRON COMERCIO DE COMPONENTES ELETRONI (0000387)</t>
  </si>
  <si>
    <t>MICROELECTRON SISTS. ELETRS. IND. E COM. (0000319)</t>
  </si>
  <si>
    <t>AIB COMERCIAL IMPORTACAO E EXPORTAÇÃO (0000395)</t>
  </si>
  <si>
    <t>FERA COMPONENTES ELETRONICOS LTDA (0000431)</t>
  </si>
  <si>
    <t>JOMACLER IND. E COM. DE CONDUT. ELETRICO (0000102)</t>
  </si>
  <si>
    <t>RUSSER BRASIL EIRELI (C) (0000403)</t>
  </si>
  <si>
    <t>DIGISYSTEM IND. DE SIST. ELETRO. LTDA (C (0000040)</t>
  </si>
  <si>
    <t>UPSAI SISTEMAS DE ENERGIA LTD (C) (0000485)</t>
  </si>
  <si>
    <t>GEO-ELETRON SEMICONDUTORES LTDA (0000432)</t>
  </si>
  <si>
    <t>REIMOLD INDUSTRIA E COMRCIO DE MATERIAI (0000172)</t>
  </si>
  <si>
    <t>SOFT METAIS LTDA (0000433)</t>
  </si>
  <si>
    <t>TIGGERCOMP COMERCIO DE COMPONENTES EIREL (0000434)</t>
  </si>
  <si>
    <t>MKB ELETRONICA LTDA (0000088)</t>
  </si>
  <si>
    <t>CROMAX ELETRONICA LTDA (0000296)</t>
  </si>
  <si>
    <t>SSAT SINALIZACAO E ADESIVOS EIRELI EPP ( (0000072)</t>
  </si>
  <si>
    <t>COMLINK EQUIPAMENTOS ELETRONICOS LTDA (0000028)</t>
  </si>
  <si>
    <t>GISLENE JAEN (0000084)</t>
  </si>
  <si>
    <t>EDERSON VARANDA BORGES LTDA (0000785)</t>
  </si>
  <si>
    <t>NEW-TEC COMERCIO DE ELETRONICOS LTDA (0000944)</t>
  </si>
  <si>
    <t>E DE OLIVEIRA BARBOSA ELETRONICA (0000898)</t>
  </si>
  <si>
    <t>CP DOS SANTOS (0000438)</t>
  </si>
  <si>
    <t>NIATRON IND. E COM. DE EQUIP. ELETRO. (0000143)</t>
  </si>
  <si>
    <t>FIBERWAN IND. DE EQUIP. ELETTR. LTDA-EPP (0000411)</t>
  </si>
  <si>
    <t>WKS TECHNOLOGY DO BRASIL (0000208)</t>
  </si>
  <si>
    <t>DEVOLUÇÕES</t>
  </si>
  <si>
    <t>SEBASTIAO CESAR GRASSI ELETRONICOS - M.. (0000279)</t>
  </si>
  <si>
    <t>CRISTOFOLI EQUIP. DE BIOSSEGURANÇA LTDA (0000146)</t>
  </si>
  <si>
    <t>ARIELTEK INDUSTRIA E COMERCIO LTDA (0000314)</t>
  </si>
  <si>
    <t>JAIRO FURBINO DOS SANTOS (0000739)</t>
  </si>
  <si>
    <t>BASSOMED EQUIPAMENTOS MEDICOS E ODONTOLO (0000660)</t>
  </si>
  <si>
    <t>CONSTRUTEC FACILITIES COM. E SERV. DE EN (0000033)</t>
  </si>
  <si>
    <t>GABRIEL FREITAS DE LIMA MATOS (0000700)</t>
  </si>
  <si>
    <t>MOTOPPAR INDUSTRIA E COMERCIO DE AUTOMAT (0001056)</t>
  </si>
  <si>
    <t>FZW INNOVATION LTDA (0000848)</t>
  </si>
  <si>
    <t>EXPOENTE TECNOLOGIA ELETRONICA LTDA (0000079)</t>
  </si>
  <si>
    <t>NEW TRAFFIC CONTROL TEC. E INOVACAO LTDA (0000773)</t>
  </si>
  <si>
    <t>MDI PROD E SISTEMAS LTDA (0000101)</t>
  </si>
  <si>
    <t>HIGHZ VALE INDUSTRIA ELETRONICA LTDA (0000526)</t>
  </si>
  <si>
    <t>B. P. S. SISTEMAS DE AUTOMACAO LTDA (0000010)</t>
  </si>
  <si>
    <t>OSVALDO VENTURINI PINTO (0001060)</t>
  </si>
  <si>
    <t>ELIANE APARECIDA RIBEIRO MARTINS (0001059)</t>
  </si>
  <si>
    <t>PRODUTOS ELETRONICOS FRATA LTDA (0000223)</t>
  </si>
  <si>
    <t>CITTA ELETRONICA IND. E COM. LTDA ME (0000532)</t>
  </si>
  <si>
    <t>SSAT SINALIZACAO E ADESIVOS EIRELI EPP (0000072)</t>
  </si>
  <si>
    <t>CONDUVOX TELEMATICA LTDA (0000031)</t>
  </si>
  <si>
    <t>EVOLUTEC INDUSTRIA E COMERCIO DE ELETROA (0000229)</t>
  </si>
  <si>
    <t>VALNEI VIEIRA DA SILVA 00391345630 (0000070)</t>
  </si>
  <si>
    <t>VINTEK IND., COMERCIO E SERVICOS LTDA (0000894)</t>
  </si>
  <si>
    <t>S.T.E.E. TECNOLOGIA ELETROELETRONICA LT (0000062)</t>
  </si>
  <si>
    <t>ZILOCCHI ELETRONICA LTDA - EPP (0000130)</t>
  </si>
  <si>
    <t>CURTIS ELETRONICA INDUSTRIA E COMERCIO A (0000295)</t>
  </si>
  <si>
    <t>REVAL INDUSTRIA E COMERCIO DE EQUIPAMENA (0000416)</t>
  </si>
  <si>
    <t>L S R COMERCIO DE TECNOLOGIA LTDA (0000565)</t>
  </si>
  <si>
    <t>FOCUS TECNOLOGIA E SOLUCOES LTDA (0000742)</t>
  </si>
  <si>
    <t>TAIKON INDUSTRIA E COM DE APARELHOS ELET (0001061)</t>
  </si>
  <si>
    <t>MARCIO JOSE DE MORAES (0001073)</t>
  </si>
  <si>
    <t>VAGNER RIBEIRO DE CARVALHO 97776688568 (0001069)</t>
  </si>
  <si>
    <t>JULIANA CHIARETTI NOVI (0001071)</t>
  </si>
  <si>
    <t>HELIO JOSE MOREIRA (0001067)</t>
  </si>
  <si>
    <t>GUILHERME NOBORU ISIRI TADA (0001066)</t>
  </si>
  <si>
    <t>ROBERTO GADDUCCI (0001070)</t>
  </si>
  <si>
    <t>VALMIR OLIVEIRA SOARES (0001075)</t>
  </si>
  <si>
    <t>ANDRE MAURO DE ANDRADE SILVEIRA (0001081)</t>
  </si>
  <si>
    <t>BRUNA DOS SANTOS CABOATAN (0001077)</t>
  </si>
  <si>
    <t>JAMILI ROBERTA MOURO (0001078)</t>
  </si>
  <si>
    <t>ELIAS MATIAS ROCHA (0001076)</t>
  </si>
  <si>
    <t>CESAR AUGUSTO ALVES DE LIMA (0001083)</t>
  </si>
  <si>
    <t>SILVIA FELIPE COSTA (0001084)</t>
  </si>
  <si>
    <t>NANOTEC ELETRONICA DIGITAL LTDA (0001082)</t>
  </si>
  <si>
    <t>BRASMEDICAL IND. E COM. DE PRODUTOS PAR (0000017)</t>
  </si>
  <si>
    <t>CITHEC CIENCIAS E TECNOLOGYA EIRELI (0000027)</t>
  </si>
  <si>
    <t>MCM TECNOLOGIA INDUSTRIAL (0000460)</t>
  </si>
  <si>
    <t>BING COMERCIO DE COMPONENTES ELETRONICOS (0001085)</t>
  </si>
  <si>
    <t>TRANSCICAP COM. DE COMP. ELETR. LTDA (0000661)</t>
  </si>
  <si>
    <t>SULAMERICANA DE FIEIRAS INDUSTRIA E COME (0001089)</t>
  </si>
  <si>
    <t>JESSE SMILE DANIEL (0001088)</t>
  </si>
  <si>
    <t>BRUNO AUGUSTO PINTO CORREIA (0001093)</t>
  </si>
  <si>
    <t>HEMILLY CHRISTINA CORTE SPERTINI D (0001090)</t>
  </si>
  <si>
    <t>BPM INDUSTRIA E COMERCIO (0000541)</t>
  </si>
  <si>
    <t>ASOR ELETROMEDICA EQUIP. ELETRO. E ELETO (0000246)</t>
  </si>
  <si>
    <t>DANYELLA BARROSO DE OLIVEIRA (0001096)</t>
  </si>
  <si>
    <t>JOSE BENATTI DE MOURA (0001095)</t>
  </si>
  <si>
    <t>MARIO DOS SANTOS RATTO FILHO (0001098)</t>
  </si>
  <si>
    <t>EWERTON WILLIAN DA SILVA (0001097)</t>
  </si>
  <si>
    <t>NEXXO EQUIPAMENTOS ELETRONICOS LTDA (0000225)</t>
  </si>
  <si>
    <t>GEORGE BROERING KOERICH (0001100)</t>
  </si>
  <si>
    <t>CASH EQUIPAMENTOS MEDICOS ODONTOLOGICOS (0001014)</t>
  </si>
  <si>
    <t>MS TECNOPON EQUIPAMENTOS ESPECIAIS LTDA (0000373)</t>
  </si>
  <si>
    <t>RALCOMP COMP. ELETRONICOS EIRELI ME (0000474)</t>
  </si>
  <si>
    <t>GGP INDUSTRIA E COMERCIO (0000204)</t>
  </si>
  <si>
    <t>VIEWMED IND. A E COM. DE PROD. MEDICOSA (0000343)</t>
  </si>
  <si>
    <t>CHAVE DIGITAL TECNOLOGIA ELETRONICA LTDA (0000022)</t>
  </si>
  <si>
    <t>ALEX SANDRO FRANCA (0001102)</t>
  </si>
  <si>
    <t>JOAO COSTA CARDOSO (0001103)</t>
  </si>
  <si>
    <t>JOAO FERNANDO CALCAGNO CAMARGO (0001106)</t>
  </si>
  <si>
    <t>BIQUAD TECNOLOGIA LTDA (0000013)</t>
  </si>
  <si>
    <t>ACHEI COMPONENTES ELETRONICOS (0000503)</t>
  </si>
  <si>
    <t>MARCOS JADIR WOLFART SEIDEL (0001111)</t>
  </si>
  <si>
    <t>RUSSER BRASIL EIRELI (0000403)</t>
  </si>
  <si>
    <t>RYON MAQUINAS LTDA (0000662)</t>
  </si>
  <si>
    <t>PREMIX INDUSTRIA ELETROMECANIA LTDA (0000047)</t>
  </si>
  <si>
    <t>DOUGLAS FLORENCIO (0001112)</t>
  </si>
  <si>
    <t>ERICA FEITOSA DOS ANJOS, 378 (0001114)</t>
  </si>
  <si>
    <t>L G NOVA COMERCIAL IMPORT. E EXPORT. LTD (0000124)</t>
  </si>
  <si>
    <t>INELTEC TECNOLOGIAS LTDA (0000193)</t>
  </si>
  <si>
    <t>SAYRON RIBEIRO MARCELINO (0001116)</t>
  </si>
  <si>
    <t>PAULO HENRIQUE SOUSA LIMA (0001117)</t>
  </si>
  <si>
    <t>ISRAEL RODRIGUES DE CARVALHO (0001119)</t>
  </si>
  <si>
    <t>49.639.358 VINICIUS RENATO TIMI (0001121)</t>
  </si>
  <si>
    <t>BALMARC SOLUCOES EIRELI (0000011)</t>
  </si>
  <si>
    <t>J. M. MAQUINAS E EQUIPAMENTOS EIRELI (0000091)</t>
  </si>
  <si>
    <t>ROGERIO NOVAES BUENO (0001133)</t>
  </si>
  <si>
    <t>R E M COMPONENTES COMERCIAL ELETRONICA L (0000826)</t>
  </si>
  <si>
    <t>NILTON TADEU HENRIQUE DA SILVA (0001125)</t>
  </si>
  <si>
    <t>SONIA DE SOUZA SANTOS (0001130)</t>
  </si>
  <si>
    <t>PIRASSUNUNGA SUPERMERCADO DO ARTESANATO (0001126)</t>
  </si>
  <si>
    <t>JONATHAN DA SILVA OLIVEIRA (0001144)</t>
  </si>
  <si>
    <t>ANTONIO JOSE LOPES (0001141)</t>
  </si>
  <si>
    <t>EDSON GOMES DE SOUSA (0001137)</t>
  </si>
  <si>
    <t>LUCAS SANCHES MIRALHAS (0001136)</t>
  </si>
  <si>
    <t>LP INDUSTRIA TECNOLOGICA LTDA (0000495)</t>
  </si>
  <si>
    <t>EDSON LUIS DIOGO (0001132)</t>
  </si>
  <si>
    <t>JOSE LUIS MAMANI CABEZAS (0001122)</t>
  </si>
  <si>
    <t>AMAURI FERREIRA DE MOURA (0001127)</t>
  </si>
  <si>
    <t>AWA EQUIPAMENTOS E SISTEMA (0000433)</t>
  </si>
  <si>
    <t>SOLSUSTENTAVEL PROD. ELETRO ELETRONICOS (0000125)</t>
  </si>
  <si>
    <t>DF AUTOMACAO INDUSTRIA E COMERCIO LTDA (0000434)</t>
  </si>
  <si>
    <t>SPECTO PAINEIS ELETRONICO LTDA (0000071)</t>
  </si>
  <si>
    <t>SISTRANS SISTEMA DE SIN. DE TRANSITO LTA (0000067)</t>
  </si>
  <si>
    <t>CJS DOS SANTOS GONDOLAS (0000637)</t>
  </si>
  <si>
    <t>PAULO ALEXANDRE BRITA (0001124)</t>
  </si>
  <si>
    <t>RASATRONIC ELETRÔNICA INDUSTRIAL LTDA (0000057)</t>
  </si>
  <si>
    <t>ITA FRIA INDUSTRIA E COMERCIO LTDA (0001151)</t>
  </si>
  <si>
    <t>DGL SOLUÇÕES EM ELETRONICA LTDA (0000564)</t>
  </si>
  <si>
    <t>JOSE MARTINHO DA SILVA (0001154)</t>
  </si>
  <si>
    <t>JOSE FRANCISCO XAVIER (0001152)</t>
  </si>
  <si>
    <t>RAFAEL RODRIGUES GURGEL GOMES (0001149)</t>
  </si>
  <si>
    <t>LUCINEI POSSAMAI (0001150)</t>
  </si>
  <si>
    <t>ANTONIO CARLOS DIAS JUNIOR (0001153)</t>
  </si>
  <si>
    <t>MARCIO REIS PEREIRA DE SOUSA (0001155)</t>
  </si>
  <si>
    <t>WILLIAM SANTOS BEZERRA (0001156)</t>
  </si>
  <si>
    <t>GRANDE TECH COM, IMPORT, E EXPORT, DE CA (0000506)</t>
  </si>
  <si>
    <t>CARINE G RODRIGUES (0000764)</t>
  </si>
  <si>
    <t>MARIO SERGIO TWARDOWSCH (0001159)</t>
  </si>
  <si>
    <t>L.M.K. COMERCIO E SERVICOS TECNOLOGICOS (0001162)</t>
  </si>
  <si>
    <t>LEOPOLDO FERNANDES PASSOS (0001160)</t>
  </si>
  <si>
    <t>ANDERSON SERRANO DE SOUSA (0001157)</t>
  </si>
  <si>
    <t>ZILMAR RIBEIRO DE LIMA (0001161)</t>
  </si>
  <si>
    <t>ROYALCOMP COMPONENTES ELETR. LTDA (0000570)</t>
  </si>
  <si>
    <t>ZENER COMPONENTES ELETRONICOS LTDA - ME (0000142)</t>
  </si>
  <si>
    <t>ELIEZER LOPES BUENO (0001164)</t>
  </si>
  <si>
    <t>POWERFLEET BRASIL LTDA (0000692)</t>
  </si>
  <si>
    <t>EXODO TECNOLOGIA EM SISTEMAS ELETRICOS L (0000851)</t>
  </si>
  <si>
    <t>DUNEXA ENGENHARIA ELETRICA LTDA (0001170)</t>
  </si>
  <si>
    <t>JOSE GERONIMO ALVES DA PAZ (0001169)</t>
  </si>
  <si>
    <t>DARIO GEOVANIO DO NASCIMENTO (0001167)</t>
  </si>
  <si>
    <t>CARLOS CESAR CAIRES (0001168)</t>
  </si>
  <si>
    <t>R.B. DA SILVA AUTOMAÇÕES (0000562)</t>
  </si>
  <si>
    <t>ENGEMED INDUSTRIA E COMERCIO LTDA (0000663)</t>
  </si>
  <si>
    <t>CARLOS HENRIQUE COSTA (0001172)</t>
  </si>
  <si>
    <t>UPSAI SISTEMAS DE ENERGIA LTD (0000485)</t>
  </si>
  <si>
    <t>MARCIO WELLINTON FERREIRA OLIVEIRA (0001176)</t>
  </si>
  <si>
    <t>RENILSON JOSE TEIXEIRA (0001178)</t>
  </si>
  <si>
    <t>BIZMAQ INDUSTRIA DE IMPLEMENTOS AGROFLOR (0001175)</t>
  </si>
  <si>
    <t>FERNANDO DA SILVA SENA (0001173)</t>
  </si>
  <si>
    <t>HERNANI JUNIOR DE CASTRO (0001174)</t>
  </si>
  <si>
    <t>ROGERIO GULARTE ANDREOLI - (0001177)</t>
  </si>
  <si>
    <t>HTR EQUIPAMENTOS ELETRONICOS LTDA (0000268)</t>
  </si>
  <si>
    <t>ANTONIO HOLTZ (0001180)</t>
  </si>
  <si>
    <t>KAIQUE SILVEIRA SAMPAIO (0001182)</t>
  </si>
  <si>
    <t>CARLA NAISA DE OLIVEIRA NEGRAO (0001183)</t>
  </si>
  <si>
    <t>RENATO MENDES MOURAO (0001184)</t>
  </si>
  <si>
    <t>SABRINA SANTIAGO DE MORAES (0001166)</t>
  </si>
  <si>
    <t>NUTRIEX INDUSTRIA DE NUTRACEUTICOS LTDA (0000988)</t>
  </si>
  <si>
    <t>CVF MEDICAL MANUTENCAO EM EQUIPAMENTOS C (0001186)</t>
  </si>
  <si>
    <t>JOSE CARLOS DA SILVA (0001189)</t>
  </si>
  <si>
    <t>OSVALDO GOMES DE SOUSA NETO (0001187)</t>
  </si>
  <si>
    <t>ESDRAS DO NASCIMENTO ANJOS (0001192)</t>
  </si>
  <si>
    <t>SIDNEI DOS SANTOS (0001193)</t>
  </si>
  <si>
    <t>LEO MACIEL DO AMPAR (0001191)</t>
  </si>
  <si>
    <t>ANDERSON LUIZ SILVA DE SOUZA (0001190)</t>
  </si>
  <si>
    <t>ALIGERA EQUIPAMENTOS DIGITAIS LTDA (0000188)</t>
  </si>
  <si>
    <t>MARCELO DIOGO DA SILVA HAYDEN 0419442197 (0001194)</t>
  </si>
  <si>
    <t>EDER SILVA DE OLIVEIRA (0001197)</t>
  </si>
  <si>
    <t>HELIVANDER DE FREITAS LIMA (0001196)</t>
  </si>
  <si>
    <t>MEGAPIX COMPONENTES ELETRONICOS EIRELLI (0000325)</t>
  </si>
  <si>
    <t>R &amp; M COMPONENTES COMERCIAL ELETRONICA L (0000826)</t>
  </si>
  <si>
    <t>LUIZ FERNANDO PAITER (0001202)</t>
  </si>
  <si>
    <t>GUSTAVO CORREA SILVANO (0001198)</t>
  </si>
  <si>
    <t>FERNANDA KARINA DA COSTA (0001199)</t>
  </si>
  <si>
    <t>WASHINGTON LUIZ DA CRUZ (0001205)</t>
  </si>
  <si>
    <t>FELIPE CARLSON ELOY DE ANDRADE (0001204)</t>
  </si>
  <si>
    <t>RUFINA M (0001203)</t>
  </si>
  <si>
    <t>ELESSANDRO DA CUNHA PEREIRA (0001206)</t>
  </si>
  <si>
    <t>DIOGO ROSA SILVEIRA (0001207)</t>
  </si>
  <si>
    <t>REGINALDO DA SILVA LOPE (0001208)</t>
  </si>
  <si>
    <t>MULTICRAFT ELECTRONICS DO BRASIL LTDA (0001209)</t>
  </si>
  <si>
    <t>VBN INDUSTRIA E COMERCIO DE PAINEIS ELET (0000987)</t>
  </si>
  <si>
    <t>ACBAL RUCAS ANDRADE ACHY (0001200)</t>
  </si>
  <si>
    <t>WGV SISTEMAS NACIONAIS ELETRO ELETRONICS (0000220)</t>
  </si>
  <si>
    <t>ROBERTO APARECIDO DA SILVA PEDRO (0001217)</t>
  </si>
  <si>
    <t>TOMAS DALLA VALLE (0001221)</t>
  </si>
  <si>
    <t>LEONARDO SOUZA SILVA (0001216)</t>
  </si>
  <si>
    <t>TAULIO FILIPE SOARES DA SILVA (0001219)</t>
  </si>
  <si>
    <t>CICERO ROGERIO FERREIRA (0001215)</t>
  </si>
  <si>
    <t>CINTIA NUNES LEITE (0001214)</t>
  </si>
  <si>
    <t>FATIMA APARECIDA SOARES DOS SANTOS (0001210)</t>
  </si>
  <si>
    <t>M M MARTINS COMERCIAL LTDA (0001211)</t>
  </si>
  <si>
    <t>VALERIA AJAJ KEZAM PEREIRA (0001212)</t>
  </si>
  <si>
    <t>ALVARO TAKANOBU UWADA (0001222)</t>
  </si>
  <si>
    <t>EVALDO LUIS MARSON &amp; CIA LTDA (0001224)</t>
  </si>
  <si>
    <t>SAMUEL ELETROTECNICA (0000041)</t>
  </si>
  <si>
    <t>AC/DC (0000218)</t>
  </si>
  <si>
    <t>CARLOS MARTINS (0001227)</t>
  </si>
  <si>
    <t>MARCIO HIROSHI TSUNO (0001229)</t>
  </si>
  <si>
    <t>LUCIANO ANDRE PINNO (0001226)</t>
  </si>
  <si>
    <t>PATRICIA MARA SILVA DEBIQUE (0001225)</t>
  </si>
  <si>
    <t>IMPROEL - INDUSTRIA E PROJ. ELETRO-ELET (0000118)</t>
  </si>
  <si>
    <t>RAFAEL PERTILE CARNEIRO (0001238)</t>
  </si>
  <si>
    <t>JOSE FRANCINALDO DA SILVA SOUZA (0001235)</t>
  </si>
  <si>
    <t>FRANCISCO SHIMBA OTAKE (0001232)</t>
  </si>
  <si>
    <t>ELOI BANDEIRA JUNIOR (0001234)</t>
  </si>
  <si>
    <t>CARLOS ROBERTO GALBI (0001236)</t>
  </si>
  <si>
    <t>VICTOR BRUNO DIAS DE MELO (0001230)</t>
  </si>
  <si>
    <t>C R D MONTAGEM (0000200)</t>
  </si>
  <si>
    <t>MATHEUS DA MATA DAIBERT DO VAL (0000599)</t>
  </si>
  <si>
    <t>JOSE LUIZ MORENO JUNIOR (0001243)</t>
  </si>
  <si>
    <t>THIAGO HENRIQUE MATSUI CUSTODIO (0001241)</t>
  </si>
  <si>
    <t>NIVALDO DE JESUS DA SILVA (0001242)</t>
  </si>
  <si>
    <t>LUAN DE OLIVEIRA GALLEGO (0001239)</t>
  </si>
  <si>
    <t>CILMARIA BARBOSA DA SILVA (0001245)</t>
  </si>
  <si>
    <t>RENILSON DELARMELINA PEREIRA (0001246)</t>
  </si>
  <si>
    <t>ANTONIO CARLOS DOS SANTOS (0001231)</t>
  </si>
  <si>
    <t>CARLOS ROBERTO RODRIGUES SANCHES (0001247)</t>
  </si>
  <si>
    <t>ANTONIO EDFESON MARQUES RAMOS (0001249)</t>
  </si>
  <si>
    <t>TENISON NAKANO (0000682)</t>
  </si>
  <si>
    <t>LUCAS BOARIM PALUDO (0001248)</t>
  </si>
  <si>
    <t>EDSON SCHROEDER (0001251)</t>
  </si>
  <si>
    <t>WALMAR DE PAULA (0001258)</t>
  </si>
  <si>
    <t>VICTOR LUIZ (0001253)</t>
  </si>
  <si>
    <t>ANDRE KEIGO YOSHIKAWA (0001264)</t>
  </si>
  <si>
    <t>JOSE MARIO DA SILVA JUNIOR (0001256)</t>
  </si>
  <si>
    <t>ASSOCIACAO PORTO MARINA GUARATUBA (0001260)</t>
  </si>
  <si>
    <t>RICARDO VIANA PEREIRA (0001255)</t>
  </si>
  <si>
    <t>GILBERTO MARCOS DE CASTRO (0001257)</t>
  </si>
  <si>
    <t>MARIA PAULA FERNANDES FRANCO MARTIS (0001261)</t>
  </si>
  <si>
    <t>MARTEC MED INDUSTRIA E COMERCIO DE EQUIP (0000788)</t>
  </si>
  <si>
    <t>TEC INSIDE COM. E PROJ. DE EQUIP. ELETR (0000333)</t>
  </si>
  <si>
    <t>JOAO CARLOS IZIDORIO (0001270)</t>
  </si>
  <si>
    <t>VALDIR RODRIGUES FERREIRA (0001269)</t>
  </si>
  <si>
    <t>SISPONTO SISTEMAS INTELIGENTES LTDA (0000066)</t>
  </si>
  <si>
    <t>JOAO RODRIGO FILIPE SILVA (0001272)</t>
  </si>
  <si>
    <t>GESINI INDUSTRIA E COMERCIO LTDA (0001271)</t>
  </si>
  <si>
    <t>INLINE GERENC. EM PROJETOS LTDA (0000441)</t>
  </si>
  <si>
    <t>ALL BATTERY C T DE AZEVEDO LTDA (0001273)</t>
  </si>
  <si>
    <t>ANTONIO SPADIM (0001274)</t>
  </si>
  <si>
    <t>EDUARDO DE FIGUEIREDO GOMES (0001275)</t>
  </si>
  <si>
    <t>ELISEU R (0001276)</t>
  </si>
  <si>
    <t>UBALDINO NUNES ARAGAO (0001278)</t>
  </si>
  <si>
    <t>EDSON BATISTA (0001279)</t>
  </si>
  <si>
    <t>CLG GUINDASTES SERVICO DE TESTES E ANALI (0001280)</t>
  </si>
  <si>
    <t>ADRIANO APARECIDO DE OLIVEIRA CORRE (0001281)</t>
  </si>
  <si>
    <t>NAYRA TALYTA MELO COELHO (0001285)</t>
  </si>
  <si>
    <t>RENTELCK ELETRONICA INDUSTRIAL LTDA (0001282)</t>
  </si>
  <si>
    <t>FABIO SENA DA CRUZ (0001283)</t>
  </si>
  <si>
    <t>LUIZ PEREIRA BALMANT (0001287)</t>
  </si>
  <si>
    <t>DARCI SCHAEFER (0001286)</t>
  </si>
  <si>
    <t>JHR-COMERCIO  DE COMP. ELETRONICOS LTDA (0000131)</t>
  </si>
  <si>
    <t>SIGMA TRANSFORMADORES (0000063)</t>
  </si>
  <si>
    <t>TFCOMP COMERCIO ELETRO ELETRONICOS E INF (0000849)</t>
  </si>
  <si>
    <t>DIEGO PALHARES (0001293)</t>
  </si>
  <si>
    <t>VITOR MAURICIO DOS SANTOS LYRA DE (0001294)</t>
  </si>
  <si>
    <t>GISELE FABIANA NOVAKOSKI 22591430837 (0001291)</t>
  </si>
  <si>
    <t>MERCANTIL UNIAO COMERCIO DE MATERIAIS PA (0001292)</t>
  </si>
  <si>
    <t>NEWTESC TECNOLOGIA E COMERCIO LTDA (0000106)</t>
  </si>
  <si>
    <t>ADRIANO SILVEIRA KRAUTHEIN (0001295)</t>
  </si>
  <si>
    <t>BINDING ENERGY COMERCIO E SERVICOS EIREL (0000489)</t>
  </si>
  <si>
    <t>ANTONIO ROHRBACHER JUNIOR (0001297)</t>
  </si>
  <si>
    <t>CARLOS JORGE DE PAULO (0001298)</t>
  </si>
  <si>
    <t>Empresa</t>
  </si>
  <si>
    <t>Mês Previsto</t>
  </si>
  <si>
    <t>Valor Previsto</t>
  </si>
  <si>
    <t>Status</t>
  </si>
  <si>
    <t>abril</t>
  </si>
  <si>
    <t>TAIKOM IMPORT</t>
  </si>
  <si>
    <t>TGL</t>
  </si>
  <si>
    <t>VCP DEVOL</t>
  </si>
  <si>
    <t>823/02</t>
  </si>
  <si>
    <t>815/03</t>
  </si>
  <si>
    <t>815/04</t>
  </si>
  <si>
    <t>823/2</t>
  </si>
  <si>
    <t>815/05</t>
  </si>
  <si>
    <t>MAX LED ILUM</t>
  </si>
  <si>
    <t>J.M MAQUINAS</t>
  </si>
  <si>
    <t>JOSÉ MARIA</t>
  </si>
  <si>
    <t>FRAN MONALISA</t>
  </si>
  <si>
    <t>MANU IA</t>
  </si>
  <si>
    <t>VANIA</t>
  </si>
  <si>
    <t>MAX ILUMINAÇÃO</t>
  </si>
  <si>
    <t>MOTOBOU</t>
  </si>
  <si>
    <t>COXINHA PA MENINAS</t>
  </si>
  <si>
    <t>INSUMO</t>
  </si>
  <si>
    <t>DI DE IMPORTAÇÃO</t>
  </si>
  <si>
    <t>LS IMP</t>
  </si>
  <si>
    <t>ABRIL</t>
  </si>
  <si>
    <t>JOSE PEREIRA SANTOS 34821198568 (0000120)</t>
  </si>
  <si>
    <t>TAIKON</t>
  </si>
  <si>
    <t>Abril</t>
  </si>
  <si>
    <t>SUPRIDATA</t>
  </si>
  <si>
    <t>SNF PED 54</t>
  </si>
  <si>
    <t>12165/02</t>
  </si>
  <si>
    <t>12221/01</t>
  </si>
  <si>
    <t>R &amp; M COMPONENTES COMERCIAL ELETRONICA L - 0000826</t>
  </si>
  <si>
    <t>12222/01</t>
  </si>
  <si>
    <t>12226/01</t>
  </si>
  <si>
    <t>12227/01</t>
  </si>
  <si>
    <t>12228/01</t>
  </si>
  <si>
    <t>12234/01</t>
  </si>
  <si>
    <t>CP DOS SANTOS</t>
  </si>
  <si>
    <t>12174/02</t>
  </si>
  <si>
    <t>HTR EQUIPAMENTOS ELETRONICOS LTDA - 0000268</t>
  </si>
  <si>
    <t>12177/02</t>
  </si>
  <si>
    <t>12178/02</t>
  </si>
  <si>
    <t>12215/01</t>
  </si>
  <si>
    <t>12219/01</t>
  </si>
  <si>
    <t>12242/01</t>
  </si>
  <si>
    <t>VBN INDUSTRIA E COMERCIO DE PAINEIS ELET - 0000987</t>
  </si>
  <si>
    <t>12244/01</t>
  </si>
  <si>
    <t>12245/01</t>
  </si>
  <si>
    <t>12248/01</t>
  </si>
  <si>
    <t>12250/01</t>
  </si>
  <si>
    <t>IMPROEL - INDUSTRIA E PROJ. ELETRO-ELET - 0000118</t>
  </si>
  <si>
    <t>12275/01</t>
  </si>
  <si>
    <t>11918/03</t>
  </si>
  <si>
    <t>12134/03</t>
  </si>
  <si>
    <t>12136/03</t>
  </si>
  <si>
    <t>12142/02</t>
  </si>
  <si>
    <t>12186/02</t>
  </si>
  <si>
    <t>12191/02</t>
  </si>
  <si>
    <t>12222/02</t>
  </si>
  <si>
    <t>12231/01</t>
  </si>
  <si>
    <t>12235/01</t>
  </si>
  <si>
    <t>MULTICRAFT ELECTRONICS DO BRASIL LTDA - 0001209</t>
  </si>
  <si>
    <t>12243/01</t>
  </si>
  <si>
    <t>12262/01</t>
  </si>
  <si>
    <t>12265/01</t>
  </si>
  <si>
    <t>12266/01</t>
  </si>
  <si>
    <t>12267/01</t>
  </si>
  <si>
    <t>GENKI MARCELO</t>
  </si>
  <si>
    <t>12220/02</t>
  </si>
  <si>
    <t>AC/DC - 0000218</t>
  </si>
  <si>
    <t>12270/01</t>
  </si>
  <si>
    <t>12316/01</t>
  </si>
  <si>
    <t>TRANSFIX ASSISTENCIA TECN. E VENDAS EQUI - 0000199</t>
  </si>
  <si>
    <t>12318/01</t>
  </si>
  <si>
    <t>12227/02</t>
  </si>
  <si>
    <t>SAMUEL ELETROTECNICA - 0000041</t>
  </si>
  <si>
    <t>12268/01</t>
  </si>
  <si>
    <t>12283/01</t>
  </si>
  <si>
    <t>12285/01</t>
  </si>
  <si>
    <t>12286/01</t>
  </si>
  <si>
    <t>ERTY E DE OLIVEIRA</t>
  </si>
  <si>
    <t>12317/01</t>
  </si>
  <si>
    <t>12150/02</t>
  </si>
  <si>
    <t>12177/03</t>
  </si>
  <si>
    <t>12235/02</t>
  </si>
  <si>
    <t>12248/02</t>
  </si>
  <si>
    <t>12250/02</t>
  </si>
  <si>
    <t>12300/01</t>
  </si>
  <si>
    <t>12302/01</t>
  </si>
  <si>
    <t>JAIRO</t>
  </si>
  <si>
    <t>SNF PED 8</t>
  </si>
  <si>
    <t>SNF PED 56</t>
  </si>
  <si>
    <t>LOGUS</t>
  </si>
  <si>
    <t>12186/03</t>
  </si>
  <si>
    <t>12191/03</t>
  </si>
  <si>
    <t>12299/01</t>
  </si>
  <si>
    <t>12306/01</t>
  </si>
  <si>
    <t>12313/01</t>
  </si>
  <si>
    <t>12314/01</t>
  </si>
  <si>
    <t>12315/01</t>
  </si>
  <si>
    <t>CENTRAL</t>
  </si>
  <si>
    <t>E DE OLIVEIRA - EMERSON</t>
  </si>
  <si>
    <t>12091/03</t>
  </si>
  <si>
    <t>C R D MONTAGEM - 0000200</t>
  </si>
  <si>
    <t>12287/01</t>
  </si>
  <si>
    <t>12099/03</t>
  </si>
  <si>
    <t>12176/02</t>
  </si>
  <si>
    <t>12305/01</t>
  </si>
  <si>
    <t>12195/02</t>
  </si>
  <si>
    <t>12265/02</t>
  </si>
  <si>
    <t>MARTEC MED INDUSTRIA E COMERCIO DE EQUIP - 0000788</t>
  </si>
  <si>
    <t>12331/01</t>
  </si>
  <si>
    <t>12344/01</t>
  </si>
  <si>
    <t>M10</t>
  </si>
  <si>
    <t>12220/03</t>
  </si>
  <si>
    <t>12270/02</t>
  </si>
  <si>
    <t>SISPONTO SISTEMAS INTELIGENTES LTDA - 0000066</t>
  </si>
  <si>
    <t>12337/01</t>
  </si>
  <si>
    <t>ZILOCCHI</t>
  </si>
  <si>
    <t>SNF 1</t>
  </si>
  <si>
    <t>GRANDTECH</t>
  </si>
  <si>
    <t>TRANSCICAP</t>
  </si>
  <si>
    <t>MERCADO LIVRE</t>
  </si>
  <si>
    <t>MATHEUS DA MATA</t>
  </si>
  <si>
    <t>NUTRIEX</t>
  </si>
  <si>
    <t>12235/03</t>
  </si>
  <si>
    <t>12314/02</t>
  </si>
  <si>
    <t>12315/02</t>
  </si>
  <si>
    <t>12341/01</t>
  </si>
  <si>
    <t>12343/01</t>
  </si>
  <si>
    <t>12355/01</t>
  </si>
  <si>
    <t>12363/01</t>
  </si>
  <si>
    <t>12367/01</t>
  </si>
  <si>
    <t>12262/02</t>
  </si>
  <si>
    <t>12265/03</t>
  </si>
  <si>
    <t>12331/02</t>
  </si>
  <si>
    <t>12348/01</t>
  </si>
  <si>
    <t>12358/01</t>
  </si>
  <si>
    <t>12359/01</t>
  </si>
  <si>
    <t>E de oliveira EMERSON</t>
  </si>
  <si>
    <t>12227/04</t>
  </si>
  <si>
    <t>12353/01</t>
  </si>
  <si>
    <t>12369/01</t>
  </si>
  <si>
    <t>12378/01</t>
  </si>
  <si>
    <t>JHR-COMERCIO DE COMP. ELETRONICOS LTDA - 0000131</t>
  </si>
  <si>
    <t>12379/01</t>
  </si>
  <si>
    <t>12380/01</t>
  </si>
  <si>
    <t>SIGMA TRANSFORMADORES - 0000063</t>
  </si>
  <si>
    <t>12383/01</t>
  </si>
  <si>
    <t>12301/02</t>
  </si>
  <si>
    <t>12332/02</t>
  </si>
  <si>
    <t>12350/02</t>
  </si>
  <si>
    <t>12385/01</t>
  </si>
  <si>
    <t>12386/01</t>
  </si>
  <si>
    <t>ANDRE</t>
  </si>
  <si>
    <t>6-SNF</t>
  </si>
  <si>
    <t>7-SNF</t>
  </si>
  <si>
    <t>12150/03</t>
  </si>
  <si>
    <t>12397/01</t>
  </si>
  <si>
    <t>12398/01</t>
  </si>
  <si>
    <t>12399/01</t>
  </si>
  <si>
    <t>12091/04</t>
  </si>
  <si>
    <t>12166/02</t>
  </si>
  <si>
    <t>12287/02</t>
  </si>
  <si>
    <t>12299/02</t>
  </si>
  <si>
    <t>12331/03</t>
  </si>
  <si>
    <t>VIEWMED IND. A E COM. DE PROD. MEDICOSA - 0000343</t>
  </si>
  <si>
    <t>12387/01</t>
  </si>
  <si>
    <t>12390/01</t>
  </si>
  <si>
    <t>12401/01</t>
  </si>
  <si>
    <t>NEWTESC TECNOLOGIA E COMERCIO LTDA - 0000106</t>
  </si>
  <si>
    <t>12402/01</t>
  </si>
  <si>
    <t>12031/03</t>
  </si>
  <si>
    <t>12195/03</t>
  </si>
  <si>
    <t>12235/04</t>
  </si>
  <si>
    <t>12411/01</t>
  </si>
  <si>
    <t>12412/01</t>
  </si>
  <si>
    <t>MS ELETRONICA</t>
  </si>
  <si>
    <t>BINDING</t>
  </si>
  <si>
    <t>RALCOMP</t>
  </si>
  <si>
    <t xml:space="preserve">NEW-TEC </t>
  </si>
  <si>
    <t>J.M. MAQUINAS AUT</t>
  </si>
  <si>
    <t>12534/01</t>
  </si>
  <si>
    <t>FERRTECH EQUIP</t>
  </si>
  <si>
    <t>12426/01</t>
  </si>
  <si>
    <t xml:space="preserve">RYON MAQUINAS LTDA - </t>
  </si>
  <si>
    <t>12414/01</t>
  </si>
  <si>
    <t xml:space="preserve">BPM INDUSTRIA </t>
  </si>
  <si>
    <t>12427/01</t>
  </si>
  <si>
    <t>SSAT SINALIZACAO</t>
  </si>
  <si>
    <t>12430/01</t>
  </si>
  <si>
    <t>12404/01</t>
  </si>
  <si>
    <t>12385/02</t>
  </si>
  <si>
    <t>INELTEC TECNOLOGIAS</t>
  </si>
  <si>
    <t>12334/02</t>
  </si>
  <si>
    <t>ZILOCCHI ELETRONICA</t>
  </si>
  <si>
    <t>12330/02</t>
  </si>
  <si>
    <t>BRASMEDICAL IND.</t>
  </si>
  <si>
    <t>12289/01</t>
  </si>
  <si>
    <t>ARIELTECK</t>
  </si>
  <si>
    <t>CONSÓRCIO</t>
  </si>
  <si>
    <t>BOLETO</t>
  </si>
  <si>
    <t>MRE</t>
  </si>
  <si>
    <t>TAXA DE BANCO PIX</t>
  </si>
  <si>
    <t xml:space="preserve">CX COMERCIAL </t>
  </si>
  <si>
    <t xml:space="preserve">COMP TOTAL </t>
  </si>
  <si>
    <t>ELCOMP COM</t>
  </si>
  <si>
    <t>CX COMERCIA</t>
  </si>
  <si>
    <t>ORANGE E BLACK</t>
  </si>
  <si>
    <t>VETRONIC COM</t>
  </si>
  <si>
    <t>IDALL COMERCIO</t>
  </si>
  <si>
    <t xml:space="preserve">LECOMP COMERCIAL </t>
  </si>
  <si>
    <t>GLOBAL CREDERE</t>
  </si>
  <si>
    <t xml:space="preserve">IUVEN - PROSPERCLOUD </t>
  </si>
  <si>
    <t>Pluxxe -Bonus funcionários</t>
  </si>
  <si>
    <t>COMEDES</t>
  </si>
  <si>
    <t xml:space="preserve">LEDCOMP-CREDERE </t>
  </si>
  <si>
    <t xml:space="preserve">VETRONIC COM </t>
  </si>
  <si>
    <t>ALLNETSYS COM</t>
  </si>
  <si>
    <t xml:space="preserve">ACP C A COMP </t>
  </si>
  <si>
    <t>HEKTRON COM</t>
  </si>
  <si>
    <t>CROMAX ELET</t>
  </si>
  <si>
    <t>TRYNIT CREDERE</t>
  </si>
  <si>
    <t>SINDICATO DO COM</t>
  </si>
  <si>
    <t>PORTO SEGURO</t>
  </si>
  <si>
    <t xml:space="preserve">MICROELECTRON </t>
  </si>
  <si>
    <t xml:space="preserve">IDALL COMERCIO </t>
  </si>
  <si>
    <t>VCP DESPACHANTE</t>
  </si>
  <si>
    <t>FILCRILL</t>
  </si>
  <si>
    <t>VETRONIC</t>
  </si>
  <si>
    <t>TELKO</t>
  </si>
  <si>
    <t>MCP</t>
  </si>
  <si>
    <t>FERA</t>
  </si>
  <si>
    <t>UNIVERSE</t>
  </si>
  <si>
    <t>AIB</t>
  </si>
  <si>
    <t>MARKCEL</t>
  </si>
  <si>
    <t>JOMACLER</t>
  </si>
  <si>
    <t>TAMIRES VALE</t>
  </si>
  <si>
    <t>MATHEUS VALE</t>
  </si>
  <si>
    <t>GEO</t>
  </si>
  <si>
    <t>REIMOLD</t>
  </si>
  <si>
    <t>EMPRESTIMOS</t>
  </si>
  <si>
    <t>TIGGERCOMP</t>
  </si>
  <si>
    <t>MULT</t>
  </si>
  <si>
    <t>S.OHM</t>
  </si>
  <si>
    <t>E2E</t>
  </si>
  <si>
    <t>MRD</t>
  </si>
  <si>
    <t>SOFT</t>
  </si>
  <si>
    <t xml:space="preserve">ALUGUEL  </t>
  </si>
  <si>
    <t>METALTEX</t>
  </si>
  <si>
    <t>CARTÃO MARIA</t>
  </si>
  <si>
    <t>TAXA MÊS</t>
  </si>
  <si>
    <t>MRE FERRAMENTAS COMERCIAL LTDA (0000089)</t>
  </si>
  <si>
    <t>PRODUTOS ELETRONICOS METALTEX LTDA (0000063)</t>
  </si>
  <si>
    <t>TELKO ELETRONICA LTDA (0000067)</t>
  </si>
  <si>
    <t>DIGICOMP ELETRONICA EIRELI (0000279)</t>
  </si>
  <si>
    <t>DV TECNOLOGIA ELETROELETRONICA LTDA (0000025)</t>
  </si>
  <si>
    <t>CIRCUITRONIX ELETRO ELETRONICA LTDA (0000442)</t>
  </si>
  <si>
    <t>IMPLASTEC</t>
  </si>
  <si>
    <t>SUPRIDATA NO-BREAKS (0000499)</t>
  </si>
  <si>
    <t>PSV MATERIAIS ELETRICOS AUTOMACAO E ROBO (0001299)</t>
  </si>
  <si>
    <t>TIPTRONIC INDUSTRIA DE TECNOLOGIA ELETRO (0001289)</t>
  </si>
  <si>
    <t>GENERALTECH SISTEMAS INDUSTRIAIS LTDA (0001301)</t>
  </si>
  <si>
    <t>ANDERSON DONIZETE DE SOUZA (0001300)</t>
  </si>
  <si>
    <t>BRASIL IMPLANTES COMERCIO, IMPORTACAO E (0001302)</t>
  </si>
  <si>
    <t>RAFAEL OLIVEIRA DA MOTA (0001303)</t>
  </si>
  <si>
    <t>ELETRONICA SIMAO EIRELI EPP. (0000576)</t>
  </si>
  <si>
    <t>VITORIA INDUSTRIA ELETRONICA LTDA (0001305)</t>
  </si>
  <si>
    <t>LEANDRO GOMES FERRAZ (0001309)</t>
  </si>
  <si>
    <t>RENAN GABRIEL CORREA DE LI (0001307)</t>
  </si>
  <si>
    <t>SEMI-DIGITAL LTDA (0000450)</t>
  </si>
  <si>
    <t>FABIO CRISTIAN LOBATO FREITAS (0001312)</t>
  </si>
  <si>
    <t>WANDERSON SANTOS FEITOSA (0001311)</t>
  </si>
  <si>
    <t>JAIRO PEREIRA BARBOSA COELHO (0001313)</t>
  </si>
  <si>
    <t>CARLOS RODRIGUES DA COSTA (0001308)</t>
  </si>
  <si>
    <t>PRODUPARK EQUIP. ELETRO. E IMP. LTDA (0000056)</t>
  </si>
  <si>
    <t>GAMA COMERCIO E SERVICOS DE INSTRUMENTOS (0001314)</t>
  </si>
  <si>
    <t>JOELSON ALVES FERREIRA (0001310)</t>
  </si>
  <si>
    <t>INFOLITE TECNOLOGIA EM INFORMACAO (0000540)</t>
  </si>
  <si>
    <t>ANA LUCIA ALEXANDRE ALVINO (0001315)</t>
  </si>
  <si>
    <t>ANTONIO VICENTE DOS SANTOS (0001320)</t>
  </si>
  <si>
    <t>ANDRE VAZ NETO (0001319)</t>
  </si>
  <si>
    <t>ARTHUR MOURA DE SOUZA DE ARRUDA (0001321)</t>
  </si>
  <si>
    <t>DERIEL DIEGO DA SILVA (0001323)</t>
  </si>
  <si>
    <t>RUBEM LEITE BARRETTO JUNIOR (0001325)</t>
  </si>
  <si>
    <t>AVTRON COMPONENTES ELETRONICOS LTDA (0000472)</t>
  </si>
  <si>
    <t>VALEXCELL (0000166)</t>
  </si>
  <si>
    <t>ELVIS REGINALDO DE HOLANDA SANTOS (0001328)</t>
  </si>
  <si>
    <t>DR FAROL OSASCO SERVICOS AUTOMOTIVOS LTD (0001329)</t>
  </si>
  <si>
    <t>CLIP INDUSTRIA IMPORTACAO E EXPORTACAO L (0001330)</t>
  </si>
  <si>
    <t>PEDRO HENRIQUE DA MATA (0001332)</t>
  </si>
  <si>
    <t>GERALDO ROCHA RIBEIRO (0001334)</t>
  </si>
  <si>
    <t>HUDSON FERNANDES BARBOSA (0001335)</t>
  </si>
  <si>
    <t>VICENTE JOAO OLIVERIO JUNIOR LTDA (0001336)</t>
  </si>
  <si>
    <t>HUMBERTO BECK (0001339)</t>
  </si>
  <si>
    <t>TRIAL ELETRONICA INDUSTRIAL (0000309)</t>
  </si>
  <si>
    <t>AGENOR ZAMPIER (0001337)</t>
  </si>
  <si>
    <t>ACCURACY EQUIPAMENTOS DE AUTOMACAO INDUS (0001340)</t>
  </si>
  <si>
    <t>CUSTOM AMPS HAND BUILD (0000392)</t>
  </si>
  <si>
    <t>MARCIO HIROSHI TSUNO PECAS ACESSORIOS E (0001341)</t>
  </si>
  <si>
    <t>HCM MALTA INDUSTRIA DE BRINQUEDOS (0000181)</t>
  </si>
  <si>
    <t>EDMILSON DA COSTA NUNES (0001343)</t>
  </si>
  <si>
    <t>ADB SERVICOS INDUSTRIAIS LTDA (0001345)</t>
  </si>
  <si>
    <t>MS ELETRONICA INDUSTRIA E COMERCIO LTDA (0000528)</t>
  </si>
  <si>
    <t>ELIO ULLIAM CALDAS (0001346)</t>
  </si>
  <si>
    <t>Anual</t>
  </si>
  <si>
    <t>Saída</t>
  </si>
  <si>
    <t>Receita de Dezembro</t>
  </si>
  <si>
    <t>Saidas Import fin</t>
  </si>
  <si>
    <t>Saidas Import NFE</t>
  </si>
  <si>
    <t>Entradas Import FIN</t>
  </si>
  <si>
    <t>Entradas Import NFE</t>
  </si>
  <si>
    <t>Entradas Fin ilumi</t>
  </si>
  <si>
    <t>Saidas Fin Ilu</t>
  </si>
  <si>
    <t>Entradas ilu NFE</t>
  </si>
  <si>
    <t>Saidas ilu NFE</t>
  </si>
  <si>
    <t>TOTAL</t>
  </si>
  <si>
    <t>-</t>
  </si>
  <si>
    <t>Total com dezembro</t>
  </si>
  <si>
    <t>TOTAL c. Dez</t>
  </si>
  <si>
    <t>Saldo total 2025 ilu</t>
  </si>
  <si>
    <t>Saldo total 2025 imp</t>
  </si>
  <si>
    <t>IMPLASTEC PLASTICOS TECNICOS E LUBRIFICA (0000308)</t>
  </si>
  <si>
    <t>LS COMPONENTES ELETRONICOS LTDA (0000197)</t>
  </si>
  <si>
    <t>ETHERIC LIGHT COMERCIO DE MATERIAIS ELET (0000300)</t>
  </si>
  <si>
    <t>FAST COMP COMERCIAL ELETRONICA LTDA. (0000215)</t>
  </si>
  <si>
    <t>BING COMERCIO DE COMPONENTES ELETRONICOS (0000177)</t>
  </si>
  <si>
    <t>ORIELEC  COM. IMP. COMP. ELETRONICOS LTD (0000257)</t>
  </si>
  <si>
    <t>ERICA FEITOSA DOS ANJOS, 378 (C) (0001114)</t>
  </si>
  <si>
    <t>EDMILSON DA COSTA NUNES (C) (0001343)</t>
  </si>
  <si>
    <t>DISTER DISTRIBUIDORA ELETRICA LTDA (0000446)</t>
  </si>
  <si>
    <t>TOTALITY COMERCIO TECNICO EM SEMICONDUTO (0000316)</t>
  </si>
  <si>
    <t>INOVE TECNOLOGIA E DIVERSOS LTDA (0000448)</t>
  </si>
  <si>
    <t>AIB COMERCIAL IMPORTACAO E EXPORTACAO (0000395)</t>
  </si>
  <si>
    <t>DMAX COMPONENTES ELETRONICOS LTDA (0000451)</t>
  </si>
  <si>
    <t>Maio</t>
  </si>
  <si>
    <t>MAX LED (0000136)</t>
  </si>
  <si>
    <t>TELEXTRONICA (0000076)</t>
  </si>
  <si>
    <t>GG INDUSTRIA DE EQUIPAMENTOS MEDICOS LA (0000592)</t>
  </si>
  <si>
    <t>VALEXCELL INDUSTRIA E COMERCIO ELETRO (0000166)</t>
  </si>
  <si>
    <t>DENILSON APARECIDO BATISTA (0001352)</t>
  </si>
  <si>
    <t>GIOVANNA NASCIMENTO GIMENEZ MORA (0001353)</t>
  </si>
  <si>
    <t>CR ENERGIA E INFORMATICA LTDA (0001356)</t>
  </si>
  <si>
    <t>RQS SERVICOS DE MANUTENCAO INDUSTRIAL LT (0001357)</t>
  </si>
  <si>
    <t>PRIMUS IMPORT COMERCIO DE IMPORTADOS (0000048)</t>
  </si>
  <si>
    <t>SEC POWER PAINEIS ELETRICOS LTDA (0001355)</t>
  </si>
  <si>
    <t>NATAN CARVALHO CARVALHO (0001359)</t>
  </si>
  <si>
    <t>IGOR MARINHO CAVALCANTE (0001358)</t>
  </si>
  <si>
    <t>ROSELI SANTINA CERQUEIRA DE CAMARGO (0001360)</t>
  </si>
  <si>
    <t>FAST COMP COMERCIAL ELETRONICA LTDA (0000569)</t>
  </si>
  <si>
    <t>DATAPOOL ELETRONICA LTDA - EPP (0000038)</t>
  </si>
  <si>
    <t>ARSTA (0000095)</t>
  </si>
  <si>
    <t>RASATRONIC ELETRONICA INDUSTRIAL LTDA (0000057)</t>
  </si>
  <si>
    <t>EDWIN MAURICIO LOBOSCHI (0001364)</t>
  </si>
  <si>
    <t>WEVERSON FERNANDO BRAGANCA CARDOSO (0001362)</t>
  </si>
  <si>
    <t>LUIZ CLAUDIO MARTINES (0001365)</t>
  </si>
  <si>
    <t>DGL SOLUCOES EM ELETRONICA LTDA (0000564)</t>
  </si>
  <si>
    <t>JRC COMERCIO E SERVICOS ELETRO ELETRONIC (0001366)</t>
  </si>
  <si>
    <t>HERBERT LUIZ PESSOA (0001367)</t>
  </si>
  <si>
    <t>PROSPER-CARMON CONTROLES ELETRONICOS LTD (0001324)</t>
  </si>
  <si>
    <t>JOSÉ ALVES DE OLIVEIRA (0001369)</t>
  </si>
  <si>
    <t>CLEYTON RAMOS NOGUEIRA (0001370)</t>
  </si>
  <si>
    <t>THIAGO UDO RIBEIRO HENGSTMANN (0001374)</t>
  </si>
  <si>
    <t>ENERGYSPOT LTDA (0001371)</t>
  </si>
  <si>
    <t>ROSANA SALVATERRA CURSI (0001376)</t>
  </si>
  <si>
    <t>MERCANTIL UNIAO COMERCIO DE MATERIAIS PA (0001378)</t>
  </si>
  <si>
    <t>ATUAL EQUIPAMENTOS DE SOLDAS LTDA (0001377)</t>
  </si>
  <si>
    <t>PROMAX PRODUTOS MAXIMOS S A INDUSTRIA E (0001368)</t>
  </si>
  <si>
    <t>LEONILDO GUALDI (0001380)</t>
  </si>
  <si>
    <t>EDUARDO APARECIDO DA SILVA (0001379)</t>
  </si>
  <si>
    <t>Gustavo</t>
  </si>
  <si>
    <t>ITALO FRANKLIN DO NASCIMENTO ASSIS (0001382)</t>
  </si>
  <si>
    <t>ONLAB ASSISTENCIA TECNICA (0000549)</t>
  </si>
  <si>
    <t>CRISTOFOLI EQUIP. DE BIOSSEGURANCA LTDA (0000146)</t>
  </si>
  <si>
    <t>LUIZ HENRIQUE GOMES DE OLIVEIRA (0001383)</t>
  </si>
  <si>
    <t>MARCELO VILACHAN BALEIRON (0001385)</t>
  </si>
  <si>
    <t>LORENA PESSANHA AZEREDO DE SOUZA (0001386)</t>
  </si>
  <si>
    <t>SALVIO EVILAZIO PEREIRA DE ARRUDA (0001387)</t>
  </si>
  <si>
    <t>JOÃO DAGUIEL (0001389)</t>
  </si>
  <si>
    <t>WHASHINGTON DE SOUZA MENDES GELIO (0001391)</t>
  </si>
  <si>
    <t>RENEW GROUP LTDA (0001390)</t>
  </si>
  <si>
    <t>SIGMED EQUIPAMENTOS ELETRONICOS LTDA EPP (0000064)</t>
  </si>
  <si>
    <t>TRANSFORM TECNOLOGIA DE PONTA LTDA (0001388)</t>
  </si>
  <si>
    <t>REGINALDO DOS SANTOS VIEIRA (0001396)</t>
  </si>
  <si>
    <t>MAURICIO ANDREOTTI FABRIS (0001399)</t>
  </si>
  <si>
    <t>BELKRON COMERCIAL (0000547)</t>
  </si>
  <si>
    <t>FAVIANO SILVA DOS SANTOS (0001401)</t>
  </si>
  <si>
    <t>RODRIGO DANTAS PENA (0001402)</t>
  </si>
  <si>
    <t>CLENIO APARECIDO FURTADO DE OLIVEIA (0001400)</t>
  </si>
  <si>
    <t>INSTITUTO MATTRON E INSERTS METALICOS LT (0000119)</t>
  </si>
  <si>
    <t>ALIFER (0000139)</t>
  </si>
  <si>
    <t>MOTOPPAR DA AMAZONIA INDUSTRIA E COMERCI (0001405)</t>
  </si>
  <si>
    <t>66.554.216 FABRICIO DE LIMA RIBEIRO (0001404)</t>
  </si>
  <si>
    <t>ONEIAS BATISTA DE OLIVEIRA (0001407)</t>
  </si>
  <si>
    <t>VOLTEX ELETRONICA LTDA (0001398)</t>
  </si>
  <si>
    <t>ANGELO CRISTER REIS SANTOS (0001409)</t>
  </si>
  <si>
    <t>AFONSO DECICO JUNIOR (0001408)</t>
  </si>
  <si>
    <t>IMPACTO COMPONENTES ELETRO ELETRRONICOS (0000154)</t>
  </si>
  <si>
    <t>ALUISIO ALVES DE OLIVEIRA (0001412)</t>
  </si>
  <si>
    <t>FITECA - FIACAO E TECELAGEM ARACAI LTDA (0001413)</t>
  </si>
  <si>
    <t>S-OHM COMERCIAL LTDA (0000426)</t>
  </si>
  <si>
    <t>GUSTAVO HENRIQUE DE SOUZA PATTA (0001414)</t>
  </si>
  <si>
    <t>TGA TECNOLOGIA EQUIPAMENTOS ELETR. LTDA (0000533)</t>
  </si>
  <si>
    <t>LUIS FERNANDO NEVES MIELI (0001417)</t>
  </si>
  <si>
    <t>MARCELO JOSE NUNES DA SILVA (0001416)</t>
  </si>
  <si>
    <t>LUCAS ALVES DE SOUZA (0001419)</t>
  </si>
  <si>
    <t>TITRONIX COMPONENTES ELETRONICOS LTDA (0000453)</t>
  </si>
  <si>
    <t>SECCON INDUSTRIA E COMERCIO LTDA (0000049)</t>
  </si>
  <si>
    <t>GUSTAVO FABRICIO GOMES DA SILVA (C) (0001373)</t>
  </si>
  <si>
    <t>BEA COMERCIAL IMPORTACAOE EXPORTACAO LT (0000217)</t>
  </si>
  <si>
    <t>TRELIK COMERCIAL IMPORTADORA LTDA (0000035)</t>
  </si>
  <si>
    <t>COBIX INDUSTRIA E COMERCIO DE METAIS LTD (0000397)</t>
  </si>
  <si>
    <t>BREDA COMERCIO E IMPORTACAO LTDA - EPP (0000293)</t>
  </si>
  <si>
    <t>BREDA COMERCIO E IMPORTACAO LTDA - EPP (0000292)</t>
  </si>
  <si>
    <t>CONEXCABLE TECNOLOGIA LTDA (0000455)</t>
  </si>
  <si>
    <t>ACHEI COMPONENTES ELETRONICOS COMERCIO E (0000155)</t>
  </si>
  <si>
    <t>SALVIO EVILAZIO PEREIRA DE ARRUDA (C) (0001387)</t>
  </si>
  <si>
    <t>FORNELL SECOND COMERCIO DE COMPONETES EL (0000219)</t>
  </si>
  <si>
    <t>Junho</t>
  </si>
  <si>
    <t>EMPRESTIMO</t>
  </si>
  <si>
    <t>TAXA MENSAL</t>
  </si>
  <si>
    <t>CONSORCIO</t>
  </si>
  <si>
    <t>CASTROPIL</t>
  </si>
  <si>
    <t>INSUMOS</t>
  </si>
  <si>
    <t>IOF</t>
  </si>
  <si>
    <t>EMPRESA BRASILEIRA DE CORREIOS</t>
  </si>
  <si>
    <t>PROSPERCLOUD - SISTEMA</t>
  </si>
  <si>
    <t>PROSPERCLOUD  SISTEMA</t>
  </si>
  <si>
    <t>GEO ELETRON S LTDA</t>
  </si>
  <si>
    <t>PROD ELETRONICOS METALTEX LTDA</t>
  </si>
  <si>
    <t>MATHEUS S</t>
  </si>
  <si>
    <t xml:space="preserve">MATHEUS ROCHA </t>
  </si>
  <si>
    <t>OHMEGA</t>
  </si>
  <si>
    <t xml:space="preserve">PORTO SEGURO </t>
  </si>
  <si>
    <t>JOMACLER IND</t>
  </si>
  <si>
    <t>PLUXEE BENEF</t>
  </si>
  <si>
    <t>DISTRIBUIDORA Castropil</t>
  </si>
  <si>
    <t>COMP TOTAL COM</t>
  </si>
  <si>
    <t>SINDICATO DOS COM</t>
  </si>
  <si>
    <t>BING COMERCIO </t>
  </si>
  <si>
    <t>LIMACOM</t>
  </si>
  <si>
    <t>ETHERIC LIGTH</t>
  </si>
  <si>
    <t>TRYNIT-CREDERE</t>
  </si>
  <si>
    <t>FILLCRIL</t>
  </si>
  <si>
    <t>DIGICOMP</t>
  </si>
  <si>
    <t>PROELETRONICA</t>
  </si>
  <si>
    <t>FERA COMP</t>
  </si>
  <si>
    <t>CIRCUITRONIX</t>
  </si>
  <si>
    <t>DV TECNOLOGIA</t>
  </si>
  <si>
    <t>PLUXXE</t>
  </si>
  <si>
    <t>MATHEUS SOUZA</t>
  </si>
  <si>
    <t>DV TEC</t>
  </si>
  <si>
    <t>MDS COMPONENTES ELETRONICOS LT</t>
  </si>
  <si>
    <t>A TREE 2012 LUMINARIAS UNIPESS</t>
  </si>
  <si>
    <t>FASTCOMP COMERCIAL ELETRONICA</t>
  </si>
  <si>
    <t>ORIELEC</t>
  </si>
  <si>
    <t>ETHERIC LIGHT LIDER</t>
  </si>
  <si>
    <t>DMAX ELETRONICA</t>
  </si>
  <si>
    <t>DV TECNOLOGIA ELETROELETRONICA</t>
  </si>
  <si>
    <t>CIRCUITRONIX ELETRO E LTDA</t>
  </si>
  <si>
    <t>AIB COMERCIAL IMPORTACAO E EXP</t>
  </si>
  <si>
    <t>TELEFONE / NET</t>
  </si>
  <si>
    <t> COMP TOTAL C I C ELETRONICOS  </t>
  </si>
  <si>
    <t> IDALL COMERCIO ATACADISTA DE C </t>
  </si>
  <si>
    <t> ACP C A COMP ELETRONICOS LTDA  </t>
  </si>
  <si>
    <t> DISPLAY MAX ELETRONICA LTDA  </t>
  </si>
  <si>
    <t> FASTCOMP COMERCIAL ELETRONICA  </t>
  </si>
  <si>
    <t> ALLNETSYS COMERCIO I S LTDA  </t>
  </si>
  <si>
    <t> TRICOMP COMERCIAL E LTDA  </t>
  </si>
  <si>
    <t> TRICONECT COMERCIAL ELETRONICA </t>
  </si>
  <si>
    <t> TITRONIX COMPONENTES E LTDA  </t>
  </si>
  <si>
    <t> HANSER CONTABIL S S LTDA  </t>
  </si>
  <si>
    <t> FILCRILL COMPONENTES ELETRONIC </t>
  </si>
  <si>
    <t> MEGAPIX  </t>
  </si>
  <si>
    <t>MAX IMPORT ITAU</t>
  </si>
  <si>
    <t>MAX ILUM BRADESCO</t>
  </si>
  <si>
    <t> GG COMERCIO DE EMBALAGENS LTDA </t>
  </si>
  <si>
    <t> SOFT METAIS LTDA  </t>
  </si>
  <si>
    <t> TOTALITY COM TECNICO EM SEMICO </t>
  </si>
  <si>
    <t> TRYNIT CREDERE CONSUL</t>
  </si>
  <si>
    <t> MDS COMPONENTES ELETRONICOS LT </t>
  </si>
  <si>
    <t> SECURECOM SEC DE REC COM S A  </t>
  </si>
  <si>
    <t>GILBERTO CANDIDO TRANSP</t>
  </si>
  <si>
    <t> DV TECNOLOGIA ELETROELETRONICA </t>
  </si>
  <si>
    <t> ZENER COMPONENTES ELETRONIC LT </t>
  </si>
  <si>
    <t> ORANGE E BLACK DISTRIBUIDORA L </t>
  </si>
  <si>
    <t> CIRCUITRONIX ELETRO E LTDA  </t>
  </si>
  <si>
    <t>FRANCOISE</t>
  </si>
  <si>
    <t>IMPOSTO</t>
  </si>
  <si>
    <t>GG EMBALAGENS</t>
  </si>
  <si>
    <t>GEO ELETRON</t>
  </si>
  <si>
    <t>ANDRÉ MOTOBOY</t>
  </si>
  <si>
    <t>FORNELL</t>
  </si>
  <si>
    <t>CREDERE - TRYNIT</t>
  </si>
  <si>
    <t>REIMOLD INDUSTRIA E COMERCIO DE MATERIAI</t>
  </si>
  <si>
    <t>IDALL COMERCIO ATACADISTA DE COMPONENTES ELETRONIC</t>
  </si>
  <si>
    <t>TIPTRONIC INDUSTRIA DE TECNOLOGIA ELETRO - 0001289</t>
  </si>
  <si>
    <t>12509/01</t>
  </si>
  <si>
    <t>12436/01</t>
  </si>
  <si>
    <t>ELETRONICA SIMAO EIRELI EPP. - 0000576</t>
  </si>
  <si>
    <t>12429/01</t>
  </si>
  <si>
    <t>12428/01</t>
  </si>
  <si>
    <t>12424/01</t>
  </si>
  <si>
    <t>VITORIA INDUSTRIA ELETRONICA LTDA - 0001305</t>
  </si>
  <si>
    <t>12432/01</t>
  </si>
  <si>
    <t>12398/02</t>
  </si>
  <si>
    <t>12358/02</t>
  </si>
  <si>
    <t>12348/02</t>
  </si>
  <si>
    <t>12341/02</t>
  </si>
  <si>
    <t xml:space="preserve">PROVOLT </t>
  </si>
  <si>
    <t>12262/03</t>
  </si>
  <si>
    <t>12445/01</t>
  </si>
  <si>
    <t>12458/01</t>
  </si>
  <si>
    <t>12412/02</t>
  </si>
  <si>
    <t>12437/01</t>
  </si>
  <si>
    <t>12443/01</t>
  </si>
  <si>
    <t>12444/01</t>
  </si>
  <si>
    <t>12492/01</t>
  </si>
  <si>
    <t>12492/02</t>
  </si>
  <si>
    <t>12541/01</t>
  </si>
  <si>
    <t>12429/02</t>
  </si>
  <si>
    <t>12454/01</t>
  </si>
  <si>
    <t>12460/01</t>
  </si>
  <si>
    <t>VALEXCELL</t>
  </si>
  <si>
    <t>CENTRAL= MLG</t>
  </si>
  <si>
    <t>12450 / 12451</t>
  </si>
  <si>
    <t>NEW-TEC</t>
  </si>
  <si>
    <t>12654 / 12565</t>
  </si>
  <si>
    <t>TELEXTRONICA</t>
  </si>
  <si>
    <t>12584 E 822</t>
  </si>
  <si>
    <t>12462/01</t>
  </si>
  <si>
    <t>12461/01</t>
  </si>
  <si>
    <t>12427/02</t>
  </si>
  <si>
    <t>12430/02</t>
  </si>
  <si>
    <t>12385/03</t>
  </si>
  <si>
    <t>12289/02</t>
  </si>
  <si>
    <t>ELETROFELIX INDUSTRIA E COMERC</t>
  </si>
  <si>
    <t>12353/02</t>
  </si>
  <si>
    <t>12398/03</t>
  </si>
  <si>
    <t>12448/01</t>
  </si>
  <si>
    <t>12457/01</t>
  </si>
  <si>
    <t>INFOLITE TECNOLOGIA EM INFORMACAO - 0000540</t>
  </si>
  <si>
    <t>12464/01</t>
  </si>
  <si>
    <t>12466/01</t>
  </si>
  <si>
    <t>12470/01</t>
  </si>
  <si>
    <t>12289/03</t>
  </si>
  <si>
    <t>12387/02</t>
  </si>
  <si>
    <t>12390/02</t>
  </si>
  <si>
    <t>12402/02</t>
  </si>
  <si>
    <t>12465/01</t>
  </si>
  <si>
    <t>12486/01</t>
  </si>
  <si>
    <t>CLIP INDUSTRIA IMP</t>
  </si>
  <si>
    <t>12510/01</t>
  </si>
  <si>
    <t>CRISTOFOLI EQUIP.</t>
  </si>
  <si>
    <t>12484/01</t>
  </si>
  <si>
    <t xml:space="preserve">JOELSON ALVES </t>
  </si>
  <si>
    <t>12463/01</t>
  </si>
  <si>
    <t>SOLSUSTENTAVEL PROD.</t>
  </si>
  <si>
    <t>12445/02</t>
  </si>
  <si>
    <t>EVOLUTEC INDUSTRIA</t>
  </si>
  <si>
    <t>12305/02</t>
  </si>
  <si>
    <t>12487/01</t>
  </si>
  <si>
    <t>12488/01</t>
  </si>
  <si>
    <t>12485/01</t>
  </si>
  <si>
    <t>BIQUAD TECNOLOGIA</t>
  </si>
  <si>
    <t>12490/01</t>
  </si>
  <si>
    <t>12452/01</t>
  </si>
  <si>
    <t>12453/01</t>
  </si>
  <si>
    <t>12460/02</t>
  </si>
  <si>
    <t>12477/01</t>
  </si>
  <si>
    <t>12489/01</t>
  </si>
  <si>
    <t>12492/03</t>
  </si>
  <si>
    <t>12493/01</t>
  </si>
  <si>
    <t>12494/01</t>
  </si>
  <si>
    <t>12495/01</t>
  </si>
  <si>
    <t>12500/01</t>
  </si>
  <si>
    <t>12385/04</t>
  </si>
  <si>
    <t>BINDING ENERGY COMERCIO E SERVICOS EIREL - 0000489</t>
  </si>
  <si>
    <t>12407/02</t>
  </si>
  <si>
    <t>12430/03</t>
  </si>
  <si>
    <t>VALEXCELL - 0000166</t>
  </si>
  <si>
    <t>12502/01</t>
  </si>
  <si>
    <t>12503/01</t>
  </si>
  <si>
    <t>12506/01</t>
  </si>
  <si>
    <t>12513/01</t>
  </si>
  <si>
    <t>12566/01</t>
  </si>
  <si>
    <t>12330/03</t>
  </si>
  <si>
    <t>12334/03</t>
  </si>
  <si>
    <t>RYON MAQUINAS LTDA - 0000662</t>
  </si>
  <si>
    <t>12414/02</t>
  </si>
  <si>
    <t>12464/02</t>
  </si>
  <si>
    <t>HIGHZ VALE INDUSTRIA ELETRONICA LTDA - 0000526</t>
  </si>
  <si>
    <t>12514/01</t>
  </si>
  <si>
    <t>AVTRON COMPONENTES ELETRONICOS LTDA - 0000472</t>
  </si>
  <si>
    <t>12499/01</t>
  </si>
  <si>
    <t>12404/02</t>
  </si>
  <si>
    <t xml:space="preserve">ROYAL </t>
  </si>
  <si>
    <t>12515/01</t>
  </si>
  <si>
    <t>12501/01</t>
  </si>
  <si>
    <t>12428/02</t>
  </si>
  <si>
    <t>12424/02</t>
  </si>
  <si>
    <t>12507/01</t>
  </si>
  <si>
    <t>12496/01</t>
  </si>
  <si>
    <t>12353/03</t>
  </si>
  <si>
    <t>12348/03</t>
  </si>
  <si>
    <t>12358/03</t>
  </si>
  <si>
    <t>12445/03</t>
  </si>
  <si>
    <t>12523/01</t>
  </si>
  <si>
    <t>DATAPOOL</t>
  </si>
  <si>
    <t>12262/04</t>
  </si>
  <si>
    <t>12493/02</t>
  </si>
  <si>
    <t>12494/02</t>
  </si>
  <si>
    <t>TRIAL</t>
  </si>
  <si>
    <t>PROMAX</t>
  </si>
  <si>
    <t>HCM</t>
  </si>
  <si>
    <t>12539/01</t>
  </si>
  <si>
    <t>12538/01</t>
  </si>
  <si>
    <t>12488/02</t>
  </si>
  <si>
    <t>12465/02</t>
  </si>
  <si>
    <t>Energy</t>
  </si>
  <si>
    <t>12555/01</t>
  </si>
  <si>
    <t>12551/01</t>
  </si>
  <si>
    <t>12488/03</t>
  </si>
  <si>
    <t>12546/01</t>
  </si>
  <si>
    <t>12507/02</t>
  </si>
  <si>
    <t>12390/03</t>
  </si>
  <si>
    <t>12166/03</t>
  </si>
  <si>
    <t>12559/01</t>
  </si>
  <si>
    <t>12558/01</t>
  </si>
  <si>
    <t>12557/01</t>
  </si>
  <si>
    <t>12550/01</t>
  </si>
  <si>
    <t>12540/01</t>
  </si>
  <si>
    <t>12494/03</t>
  </si>
  <si>
    <t>12493/03</t>
  </si>
  <si>
    <t>12567/01</t>
  </si>
  <si>
    <t>12560/01</t>
  </si>
  <si>
    <t>12556/01</t>
  </si>
  <si>
    <t>12554/01</t>
  </si>
  <si>
    <t>12553/01</t>
  </si>
  <si>
    <t>12542/01</t>
  </si>
  <si>
    <t>12506/03</t>
  </si>
  <si>
    <t>BALMARC SOLUCOES EIRELI</t>
  </si>
  <si>
    <t>PSV</t>
  </si>
  <si>
    <t>ARIELTEK</t>
  </si>
  <si>
    <t>GISLANE</t>
  </si>
  <si>
    <t>12577 12608</t>
  </si>
  <si>
    <t>MAX LED ILMUN ITAU</t>
  </si>
  <si>
    <t>MOCIMENTO</t>
  </si>
  <si>
    <t>12564/01</t>
  </si>
  <si>
    <t>12561/01</t>
  </si>
  <si>
    <t>12569/01</t>
  </si>
  <si>
    <t>12404/03</t>
  </si>
  <si>
    <t>12501/02</t>
  </si>
  <si>
    <t>12424/03</t>
  </si>
  <si>
    <t>12414/03</t>
  </si>
  <si>
    <t>12541/02</t>
  </si>
  <si>
    <t>59 snf</t>
  </si>
  <si>
    <t>12231/03</t>
  </si>
  <si>
    <t>12571/01</t>
  </si>
  <si>
    <t>TEC INSIDE COM. E PROJ. DE EQUIP. ELETR - 0000333</t>
  </si>
  <si>
    <t>12333/01</t>
  </si>
  <si>
    <t>12388/01</t>
  </si>
  <si>
    <t>12388/02</t>
  </si>
  <si>
    <t>12590/01</t>
  </si>
  <si>
    <t>12568/01</t>
  </si>
  <si>
    <t>12488/04</t>
  </si>
  <si>
    <t>12452/03</t>
  </si>
  <si>
    <t>12453/02</t>
  </si>
  <si>
    <t>12582/01</t>
  </si>
  <si>
    <t>12574/01</t>
  </si>
  <si>
    <t>12567/02</t>
  </si>
  <si>
    <t>CR ENERGIA E INFORMATICA LTDA - 0001356</t>
  </si>
  <si>
    <t>12593/01</t>
  </si>
  <si>
    <t>12572/01</t>
  </si>
  <si>
    <t>12592/01</t>
  </si>
  <si>
    <t>12576/01</t>
  </si>
  <si>
    <t>12527/03</t>
  </si>
  <si>
    <t>12583/01</t>
  </si>
  <si>
    <t>GG INDUSTRIA DE EQUIPAMENTOS MEDICOS LA - 0000592</t>
  </si>
  <si>
    <t>12573/01</t>
  </si>
  <si>
    <t>12591/01</t>
  </si>
  <si>
    <t>12532/03</t>
  </si>
  <si>
    <t>12595/01</t>
  </si>
  <si>
    <t>12587/01</t>
  </si>
  <si>
    <t>BALMARC</t>
  </si>
  <si>
    <t>12586/01</t>
  </si>
  <si>
    <t>PRIMUS IMPORT COMERCIO DE IMPORTADOS - 0000048</t>
  </si>
  <si>
    <t>12599/01</t>
  </si>
  <si>
    <t>12606/01</t>
  </si>
  <si>
    <t>12533/02</t>
  </si>
  <si>
    <t>SEC POWER PAINEIS ELETRICOS LTDA - 0001355</t>
  </si>
  <si>
    <t>12602/01</t>
  </si>
  <si>
    <t>12597/01</t>
  </si>
  <si>
    <t>12570/01</t>
  </si>
  <si>
    <t>JOSE PEREIRA SANTOS 34821198568 - 0000120</t>
  </si>
  <si>
    <t>12549/01</t>
  </si>
  <si>
    <t>12482/01</t>
  </si>
  <si>
    <t>12457/02</t>
  </si>
  <si>
    <t>12448/02</t>
  </si>
  <si>
    <t>BRJ</t>
  </si>
  <si>
    <t>snf 12585</t>
  </si>
  <si>
    <t>LUCIANO da Mata</t>
  </si>
  <si>
    <t>12610/01</t>
  </si>
  <si>
    <t>12607/01</t>
  </si>
  <si>
    <t>12605/01</t>
  </si>
  <si>
    <t>12600/01</t>
  </si>
  <si>
    <t>12465/03</t>
  </si>
  <si>
    <t>12622/01</t>
  </si>
  <si>
    <t>12612/01</t>
  </si>
  <si>
    <t>12603/01</t>
  </si>
  <si>
    <t>12611/01</t>
  </si>
  <si>
    <t>12540/02</t>
  </si>
  <si>
    <t>12624/01</t>
  </si>
  <si>
    <t>12619/01</t>
  </si>
  <si>
    <t>12554/02</t>
  </si>
  <si>
    <t>12553/02</t>
  </si>
  <si>
    <t>12550/02</t>
  </si>
  <si>
    <t>BASSOMED EQUIPAMENTOS MEDICOS</t>
  </si>
  <si>
    <t>12477/02</t>
  </si>
  <si>
    <t>12527/04</t>
  </si>
  <si>
    <t>ARSTA - 0000095</t>
  </si>
  <si>
    <t>12628/01</t>
  </si>
  <si>
    <t>12631/01</t>
  </si>
  <si>
    <t>12630/01</t>
  </si>
  <si>
    <t>FAST COMP COMERCIAL ELETRONICA LTDA - 0000569</t>
  </si>
  <si>
    <t>12623/01</t>
  </si>
  <si>
    <t>12604/01</t>
  </si>
  <si>
    <t>12599/02</t>
  </si>
  <si>
    <t>12564/02</t>
  </si>
  <si>
    <t>NEWTESC TECNOLOGIA E COMERCIO</t>
  </si>
  <si>
    <t>12424/04</t>
  </si>
  <si>
    <t>12404/04</t>
  </si>
  <si>
    <t>SNF 12586</t>
  </si>
  <si>
    <t>BRASMEDICAL</t>
  </si>
  <si>
    <t>FABRICIO DE LIMA</t>
  </si>
  <si>
    <t>12584 snf</t>
  </si>
  <si>
    <t>TRASNFIX</t>
  </si>
  <si>
    <t>12573/02</t>
  </si>
  <si>
    <t>12574/02</t>
  </si>
  <si>
    <t>12599/03</t>
  </si>
  <si>
    <t>12637/01</t>
  </si>
  <si>
    <t>12647/01</t>
  </si>
  <si>
    <t>12654/01</t>
  </si>
  <si>
    <t>12657/01</t>
  </si>
  <si>
    <t>12610/03</t>
  </si>
  <si>
    <t>12744/01</t>
  </si>
  <si>
    <t>12465/04</t>
  </si>
  <si>
    <t>12663/01</t>
  </si>
  <si>
    <t>12671/01</t>
  </si>
  <si>
    <t>12674/01</t>
  </si>
  <si>
    <t>FERRTECH EQUIPAMENTOS ELETRONICA LTDA -E - 0000082</t>
  </si>
  <si>
    <t>12361-12685-12712-12609-12360-12362</t>
  </si>
  <si>
    <t>ACHEI COMPONENTES</t>
  </si>
  <si>
    <t>12622/03</t>
  </si>
  <si>
    <t>12651/02</t>
  </si>
  <si>
    <t>PROSPER-CARMON CONTROLES ELETRONICOS LTD - 0001324</t>
  </si>
  <si>
    <t>12656/01</t>
  </si>
  <si>
    <t>12676/01</t>
  </si>
  <si>
    <t>12680/01</t>
  </si>
  <si>
    <t>12682/01</t>
  </si>
  <si>
    <t>12683/01</t>
  </si>
  <si>
    <t>12695/01</t>
  </si>
  <si>
    <t>12540/03</t>
  </si>
  <si>
    <t>12550/03</t>
  </si>
  <si>
    <t>12612/02</t>
  </si>
  <si>
    <t>12629/01</t>
  </si>
  <si>
    <t>12693/01</t>
  </si>
  <si>
    <t>12587 E 12588</t>
  </si>
  <si>
    <t>12623/02</t>
  </si>
  <si>
    <t>12554/03</t>
  </si>
  <si>
    <t>12619/02</t>
  </si>
  <si>
    <t>12627/02</t>
  </si>
  <si>
    <t>12691/01</t>
  </si>
  <si>
    <t>12696/01</t>
  </si>
  <si>
    <t>12698/01</t>
  </si>
  <si>
    <t>12703/01</t>
  </si>
  <si>
    <t>12709/01</t>
  </si>
  <si>
    <t>12766E12767</t>
  </si>
  <si>
    <t>12710/01</t>
  </si>
  <si>
    <t>12708/01</t>
  </si>
  <si>
    <t>ONLAB ASSISTENCIA TECNICA - 0000549</t>
  </si>
  <si>
    <t>12700/01</t>
  </si>
  <si>
    <t>M MARTINS</t>
  </si>
  <si>
    <t>Max(bruno)</t>
  </si>
  <si>
    <t>I11</t>
  </si>
  <si>
    <t>MAIO</t>
  </si>
  <si>
    <t>IOF NEGATIVO</t>
  </si>
  <si>
    <t>ZÉ MARIA</t>
  </si>
  <si>
    <t>LEO</t>
  </si>
  <si>
    <t>ADRIANA BOLO</t>
  </si>
  <si>
    <t>PARCELA GIRO</t>
  </si>
  <si>
    <t>MARIA ROCHA</t>
  </si>
  <si>
    <t>GASTOS FICOS</t>
  </si>
  <si>
    <t>ADRIELE COMISSÃO</t>
  </si>
  <si>
    <t>SERVIÇOS</t>
  </si>
  <si>
    <t>UNYLUNER</t>
  </si>
  <si>
    <t>RYON MAQUINA</t>
  </si>
  <si>
    <t>830/01</t>
  </si>
  <si>
    <t>CR ENERGIA</t>
  </si>
  <si>
    <t>833/01</t>
  </si>
  <si>
    <t>JCL ELETRONICA</t>
  </si>
  <si>
    <t>832/01</t>
  </si>
  <si>
    <t xml:space="preserve">R. BAIAO INDUSTRIA </t>
  </si>
  <si>
    <t>829/01</t>
  </si>
  <si>
    <t>ALLPRINT LATIN</t>
  </si>
  <si>
    <t>836/01</t>
  </si>
  <si>
    <t>TAP ELETRO</t>
  </si>
  <si>
    <t>834/01</t>
  </si>
  <si>
    <t xml:space="preserve">JOSE PEREIRA SANTOS </t>
  </si>
  <si>
    <t>824/01</t>
  </si>
  <si>
    <t>TEC INSID</t>
  </si>
  <si>
    <t>SEBASTIÃO</t>
  </si>
  <si>
    <t>VINTEK</t>
  </si>
  <si>
    <t>simples conect</t>
  </si>
  <si>
    <t>B.P.M</t>
  </si>
  <si>
    <t>844 + 854</t>
  </si>
  <si>
    <t>antecipação titulos FRATA</t>
  </si>
  <si>
    <t>ROYALCOMP COMP</t>
  </si>
  <si>
    <t>835/02</t>
  </si>
  <si>
    <t>CARINE G RO</t>
  </si>
  <si>
    <t>855/01</t>
  </si>
  <si>
    <t>ALLPRINT LATINA AUT</t>
  </si>
  <si>
    <t>853/01</t>
  </si>
  <si>
    <t>SIMPLES CONNECT IND</t>
  </si>
  <si>
    <t>838/02</t>
  </si>
  <si>
    <t>R. BAIAO IND</t>
  </si>
  <si>
    <t>861/01</t>
  </si>
  <si>
    <t>860/01</t>
  </si>
  <si>
    <t xml:space="preserve">SSAT SINALIZACAO </t>
  </si>
  <si>
    <t>858/01</t>
  </si>
  <si>
    <t>JUNHO</t>
  </si>
  <si>
    <t>GIRO 6/48</t>
  </si>
  <si>
    <t>SÓCIO</t>
  </si>
  <si>
    <t>RUMO HENPTEC</t>
  </si>
  <si>
    <t>CAPITAL DE GIRO 17/48</t>
  </si>
  <si>
    <t>Cartão de crédito</t>
  </si>
  <si>
    <t>CENTRAL ELETRONICA (0000215)</t>
  </si>
  <si>
    <t>JCL ELETRONICA INDUSTRIAL EIRELE -ME (0001288)</t>
  </si>
  <si>
    <t>TAP ELETRO SISTEMAS LTDA. (0000202)</t>
  </si>
  <si>
    <t>MARTINS COMERCIO E SERVICOS ASSOCIADOS L (0001115)</t>
  </si>
  <si>
    <t>UNYLYNER SERVICE COMERCIO E SERVICOS EII (0000261)</t>
  </si>
  <si>
    <t>MARTINS MARTINS SERVICOS ASSOCIADOS LTDA (0001381)</t>
  </si>
  <si>
    <t>I10</t>
  </si>
  <si>
    <t>SIMENTOR / MAX LED (0000445)</t>
  </si>
  <si>
    <t>WOLRD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</si>
</sst>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 &quot;[$R$-416]&quot; &quot;* #,##0.00&quot; &quot;;&quot;-&quot;[$R$-416]&quot; &quot;* #,##0.00&quot; &quot;;&quot; &quot;[$R$-416]&quot; &quot;* &quot;-&quot;#&quot; &quot;;&quot; &quot;@&quot; &quot;"/>
    <numFmt numFmtId="165" formatCode="&quot; &quot;[$R$-416]&quot; &quot;#,##0.00&quot; &quot;;&quot;-&quot;[$R$-416]&quot; &quot;#,##0.00&quot; &quot;;&quot; &quot;[$R$-416]&quot; -&quot;00&quot; &quot;;&quot; &quot;@&quot; &quot;"/>
    <numFmt numFmtId="166" formatCode="#,##0.00;[Red]&quot;(&quot;#,##0.00&quot;)&quot;;"/>
    <numFmt numFmtId="167" formatCode="_-[$R$-416]\ * #,##0.00_-;\-[$R$-416]\ * #,##0.00_-;_-[$R$-416]\ * &quot;-&quot;??_-;_-@_-"/>
  </numFmts>
  <fonts count="64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464646"/>
      <name val="Aptos Narrow"/>
      <family val="2"/>
    </font>
    <font>
      <sz val="11"/>
      <color rgb="FF231D19"/>
      <name val="Aptos Narrow"/>
      <family val="2"/>
    </font>
    <font>
      <sz val="11"/>
      <color rgb="FF56504C"/>
      <name val="Aptos Narrow"/>
      <family val="2"/>
    </font>
    <font>
      <sz val="11"/>
      <color rgb="FF333333"/>
      <name val="Aptos Narrow"/>
      <family val="2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rgb="FFFFFFFF"/>
      <name val="Calibri"/>
      <family val="2"/>
    </font>
    <font>
      <sz val="11"/>
      <color rgb="FF006100"/>
      <name val="Calibri"/>
      <family val="2"/>
    </font>
    <font>
      <b/>
      <sz val="11"/>
      <color rgb="FFFA7D00"/>
      <name val="Calibri"/>
      <family val="2"/>
    </font>
    <font>
      <b/>
      <sz val="11"/>
      <color rgb="FFFFFFFF"/>
      <name val="Calibri"/>
      <family val="2"/>
    </font>
    <font>
      <sz val="11"/>
      <color rgb="FFFA7D00"/>
      <name val="Calibri"/>
      <family val="2"/>
    </font>
    <font>
      <sz val="11"/>
      <color rgb="FF3F3F76"/>
      <name val="Calibri"/>
      <family val="2"/>
    </font>
    <font>
      <sz val="11"/>
      <color rgb="FF9C0006"/>
      <name val="Calibri"/>
      <family val="2"/>
    </font>
    <font>
      <sz val="11"/>
      <color rgb="FF9C6500"/>
      <name val="Calibri"/>
      <family val="2"/>
    </font>
    <font>
      <sz val="11"/>
      <color rgb="FF9C0006"/>
      <name val="Aptos Narrow"/>
      <family val="2"/>
    </font>
    <font>
      <b/>
      <sz val="11"/>
      <color rgb="FF3F3F3F"/>
      <name val="Calibri"/>
      <family val="2"/>
    </font>
    <font>
      <b/>
      <sz val="18"/>
      <color rgb="FF1F497D"/>
      <name val="Cambria"/>
      <family val="1"/>
    </font>
    <font>
      <b/>
      <sz val="15"/>
      <color rgb="FF1F497D"/>
      <name val="Calibri"/>
      <family val="2"/>
    </font>
    <font>
      <b/>
      <sz val="13"/>
      <color rgb="FF1F497D"/>
      <name val="Calibri"/>
      <family val="2"/>
    </font>
    <font>
      <b/>
      <sz val="11"/>
      <color rgb="FF1F497D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20"/>
      <color rgb="FF000000"/>
      <name val="Calibri"/>
      <family val="2"/>
    </font>
    <font>
      <sz val="11"/>
      <color rgb="FF3F3F76"/>
      <name val="Calibri"/>
      <family val="2"/>
      <scheme val="minor"/>
    </font>
    <font>
      <sz val="10"/>
      <color rgb="FF3F3F76"/>
      <name val="Calibri"/>
      <family val="2"/>
      <scheme val="minor"/>
    </font>
    <font>
      <sz val="11"/>
      <color rgb="FF464646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231D19"/>
      <name val="Calibri"/>
      <family val="2"/>
      <scheme val="minor"/>
    </font>
    <font>
      <sz val="9"/>
      <color rgb="FF333333"/>
      <name val="Calibri"/>
      <family val="2"/>
      <scheme val="minor"/>
    </font>
    <font>
      <sz val="2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0"/>
      <color theme="1"/>
      <name val="Arial Unicode MS"/>
    </font>
    <font>
      <sz val="11"/>
      <color rgb="FF000000"/>
      <name val="Calibri"/>
      <family val="2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sz val="11"/>
      <color rgb="FF56504C"/>
      <name val="Calibri"/>
      <family val="2"/>
      <scheme val="minor"/>
    </font>
    <font>
      <sz val="11"/>
      <color rgb="FF56504C"/>
      <name val="Inherit"/>
    </font>
    <font>
      <sz val="11"/>
      <color rgb="FF231D19"/>
      <name val="Inherit"/>
    </font>
    <font>
      <sz val="9"/>
      <color rgb="FF000000"/>
      <name val="Inherit"/>
    </font>
    <font>
      <sz val="11"/>
      <color rgb="FF000000"/>
      <name val="Inherit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onsolas"/>
      <family val="3"/>
    </font>
    <font>
      <sz val="11"/>
      <color theme="1"/>
      <name val="Arial"/>
      <family val="2"/>
    </font>
    <font>
      <sz val="14"/>
      <color theme="5" tint="-0.249977111117893"/>
      <name val="Calibri"/>
      <family val="2"/>
      <scheme val="minor"/>
    </font>
    <font>
      <sz val="11"/>
      <color theme="0"/>
      <name val="Consolas"/>
      <family val="3"/>
    </font>
    <font>
      <sz val="12"/>
      <color theme="1"/>
      <name val="Calibri"/>
      <family val="2"/>
      <scheme val="minor"/>
    </font>
    <font>
      <sz val="9"/>
      <color rgb="FF333333"/>
      <name val="Arial"/>
      <family val="2"/>
    </font>
    <font>
      <sz val="9"/>
      <color rgb="FF464646"/>
      <name val="Inherit"/>
    </font>
    <font>
      <sz val="12"/>
      <color rgb="FF464646"/>
      <name val="Inherit"/>
    </font>
    <font>
      <sz val="9"/>
      <color theme="1"/>
      <name val="Inherit"/>
    </font>
    <font>
      <sz val="12"/>
      <color theme="1"/>
      <name val="Inherit"/>
    </font>
    <font>
      <sz val="10"/>
      <color theme="1"/>
      <name val="Calibri"/>
      <family val="2"/>
      <scheme val="minor"/>
    </font>
    <font>
      <sz val="11"/>
      <color theme="1"/>
      <name val="Inherit"/>
    </font>
  </fonts>
  <fills count="57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FAF7F5"/>
        <bgColor rgb="FFFAF7F5"/>
      </patternFill>
    </fill>
    <fill>
      <patternFill patternType="solid">
        <fgColor rgb="FFAD74C3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C0504D"/>
        <bgColor rgb="FFC0504D"/>
      </patternFill>
    </fill>
    <fill>
      <patternFill patternType="solid">
        <fgColor rgb="FF9BBB59"/>
        <bgColor rgb="FF9BBB59"/>
      </patternFill>
    </fill>
    <fill>
      <patternFill patternType="solid">
        <fgColor rgb="FF8064A2"/>
        <bgColor rgb="FF8064A2"/>
      </patternFill>
    </fill>
    <fill>
      <patternFill patternType="solid">
        <fgColor rgb="FF4BACC6"/>
        <bgColor rgb="FF4BACC6"/>
      </patternFill>
    </fill>
    <fill>
      <patternFill patternType="solid">
        <fgColor rgb="FFF79646"/>
        <bgColor rgb="FFF79646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  <fill>
      <patternFill patternType="solid">
        <fgColor rgb="FFEBF1DE"/>
        <bgColor rgb="FFEBF1DE"/>
      </patternFill>
    </fill>
    <fill>
      <patternFill patternType="solid">
        <fgColor rgb="FFE4DFEC"/>
        <bgColor rgb="FFE4DFEC"/>
      </patternFill>
    </fill>
    <fill>
      <patternFill patternType="solid">
        <fgColor rgb="FFDAEEF3"/>
        <bgColor rgb="FFDAEEF3"/>
      </patternFill>
    </fill>
    <fill>
      <patternFill patternType="solid">
        <fgColor rgb="FFFDE9D9"/>
        <bgColor rgb="FFFDE9D9"/>
      </patternFill>
    </fill>
    <fill>
      <patternFill patternType="solid">
        <fgColor rgb="FFB8CCE4"/>
        <bgColor rgb="FFB8CCE4"/>
      </patternFill>
    </fill>
    <fill>
      <patternFill patternType="solid">
        <fgColor rgb="FFE6B8B7"/>
        <bgColor rgb="FFE6B8B7"/>
      </patternFill>
    </fill>
    <fill>
      <patternFill patternType="solid">
        <fgColor rgb="FFD8E4BC"/>
        <bgColor rgb="FFD8E4BC"/>
      </patternFill>
    </fill>
    <fill>
      <patternFill patternType="solid">
        <fgColor rgb="FFCCC0DA"/>
        <bgColor rgb="FFCCC0DA"/>
      </patternFill>
    </fill>
    <fill>
      <patternFill patternType="solid">
        <fgColor rgb="FFB7DEE8"/>
        <bgColor rgb="FFB7DEE8"/>
      </patternFill>
    </fill>
    <fill>
      <patternFill patternType="solid">
        <fgColor rgb="FFFCD5B4"/>
        <bgColor rgb="FFFCD5B4"/>
      </patternFill>
    </fill>
    <fill>
      <patternFill patternType="solid">
        <fgColor rgb="FF95B3D7"/>
        <bgColor rgb="FF95B3D7"/>
      </patternFill>
    </fill>
    <fill>
      <patternFill patternType="solid">
        <fgColor rgb="FFDA9694"/>
        <bgColor rgb="FFDA9694"/>
      </patternFill>
    </fill>
    <fill>
      <patternFill patternType="solid">
        <fgColor rgb="FFC4D79B"/>
        <bgColor rgb="FFC4D79B"/>
      </patternFill>
    </fill>
    <fill>
      <patternFill patternType="solid">
        <fgColor rgb="FFB1A0C7"/>
        <bgColor rgb="FFB1A0C7"/>
      </patternFill>
    </fill>
    <fill>
      <patternFill patternType="solid">
        <fgColor rgb="FF92CDDC"/>
        <bgColor rgb="FF92CDDC"/>
      </patternFill>
    </fill>
    <fill>
      <patternFill patternType="solid">
        <fgColor rgb="FFFABF8F"/>
        <bgColor rgb="FFFABF8F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FFCC99"/>
        <bgColor rgb="FFFFCC99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CC"/>
        <bgColor rgb="FFFFFF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99"/>
      </patternFill>
    </fill>
    <fill>
      <patternFill patternType="solid">
        <fgColor rgb="FFEFE9E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AF7F5"/>
        <bgColor indexed="64"/>
      </patternFill>
    </fill>
    <fill>
      <patternFill patternType="solid">
        <fgColor rgb="FFF5F5F5"/>
        <bgColor rgb="FF000000"/>
      </patternFill>
    </fill>
    <fill>
      <patternFill patternType="solid">
        <fgColor rgb="FFFAF7F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FE9E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BFDE"/>
      </bottom>
      <diagonal/>
    </border>
    <border>
      <left/>
      <right/>
      <top/>
      <bottom style="medium">
        <color rgb="FF95B3D7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/>
      </bottom>
      <diagonal/>
    </border>
    <border>
      <left/>
      <right style="thin">
        <color theme="0" tint="-0.249977111117893"/>
      </right>
      <top/>
      <bottom style="thin">
        <color theme="0"/>
      </bottom>
      <diagonal/>
    </border>
    <border>
      <left style="thin">
        <color theme="0" tint="-0.249977111117893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 tint="-0.249977111117893"/>
      </right>
      <top/>
      <bottom style="thin">
        <color theme="0"/>
      </bottom>
      <diagonal/>
    </border>
    <border>
      <left style="thin">
        <color theme="0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 tint="-0.249977111117893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 style="thin">
        <color theme="0"/>
      </top>
      <bottom/>
      <diagonal/>
    </border>
    <border>
      <left style="thin">
        <color theme="0" tint="-0.249977111117893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 tint="-0.249977111117893"/>
      </right>
      <top style="thin">
        <color theme="0"/>
      </top>
      <bottom/>
      <diagonal/>
    </border>
    <border>
      <left style="thin">
        <color theme="0" tint="-0.249977111117893"/>
      </left>
      <right/>
      <top style="thin">
        <color theme="0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 style="thin">
        <color theme="0" tint="-0.14999847407452621"/>
      </top>
      <bottom/>
      <diagonal/>
    </border>
    <border>
      <left/>
      <right style="thin">
        <color theme="0" tint="-0.249977111117893"/>
      </right>
      <top style="thin">
        <color theme="0" tint="-0.14999847407452621"/>
      </top>
      <bottom/>
      <diagonal/>
    </border>
    <border>
      <left style="thin">
        <color theme="0" tint="-0.249977111117893"/>
      </left>
      <right/>
      <top/>
      <bottom style="thin">
        <color theme="0" tint="-0.14999847407452621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6D0CC"/>
      </left>
      <right style="medium">
        <color rgb="FFD6D0CC"/>
      </right>
      <top style="medium">
        <color rgb="FFD6D0CC"/>
      </top>
      <bottom style="medium">
        <color rgb="FFD6D0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D6D0CC"/>
      </left>
      <right style="medium">
        <color rgb="FFD6D0CC"/>
      </right>
      <top/>
      <bottom style="medium">
        <color rgb="FFD6D0CC"/>
      </bottom>
      <diagonal/>
    </border>
    <border>
      <left/>
      <right style="medium">
        <color rgb="FFB8B8B8"/>
      </right>
      <top/>
      <bottom style="medium">
        <color rgb="FFB8B8B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rgb="FFB8B8B8"/>
      </right>
      <top/>
      <bottom/>
      <diagonal/>
    </border>
    <border>
      <left/>
      <right/>
      <top/>
      <bottom style="medium">
        <color rgb="FFD6D0CC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 tint="-0.249977111117893"/>
      </top>
      <bottom/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249977111117893"/>
      </right>
      <top style="thin">
        <color theme="0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/>
      </right>
      <top style="thin">
        <color theme="0" tint="-0.249977111117893"/>
      </top>
      <bottom/>
      <diagonal/>
    </border>
    <border>
      <left/>
      <right style="thin">
        <color theme="0"/>
      </right>
      <top/>
      <bottom style="thin">
        <color theme="0" tint="-0.34998626667073579"/>
      </bottom>
      <diagonal/>
    </border>
    <border>
      <left style="thin">
        <color theme="0"/>
      </left>
      <right style="thin">
        <color theme="0"/>
      </right>
      <top style="thin">
        <color theme="0" tint="-0.34998626667073579"/>
      </top>
      <bottom/>
      <diagonal/>
    </border>
    <border>
      <left style="thin">
        <color theme="0"/>
      </left>
      <right style="thin">
        <color theme="0"/>
      </right>
      <top/>
      <bottom style="thin">
        <color theme="0" tint="-0.34998626667073579"/>
      </bottom>
      <diagonal/>
    </border>
    <border>
      <left style="thin">
        <color theme="5" tint="-0.249977111117893"/>
      </left>
      <right style="thin">
        <color theme="0"/>
      </right>
      <top style="thin">
        <color theme="5" tint="-0.249977111117893"/>
      </top>
      <bottom style="thin">
        <color theme="0"/>
      </bottom>
      <diagonal/>
    </border>
    <border>
      <left style="thin">
        <color theme="0"/>
      </left>
      <right style="thin">
        <color theme="5" tint="-0.249977111117893"/>
      </right>
      <top style="thin">
        <color theme="5" tint="-0.249977111117893"/>
      </top>
      <bottom style="thin">
        <color theme="0"/>
      </bottom>
      <diagonal/>
    </border>
    <border>
      <left style="thin">
        <color theme="5" tint="-0.249977111117893"/>
      </left>
      <right style="thin">
        <color theme="0"/>
      </right>
      <top style="thin">
        <color theme="0"/>
      </top>
      <bottom style="thin">
        <color theme="5" tint="-0.249977111117893"/>
      </bottom>
      <diagonal/>
    </border>
    <border>
      <left style="thin">
        <color theme="0"/>
      </left>
      <right style="thin">
        <color theme="5" tint="-0.249977111117893"/>
      </right>
      <top style="thin">
        <color theme="0"/>
      </top>
      <bottom style="thin">
        <color theme="5" tint="-0.249977111117893"/>
      </bottom>
      <diagonal/>
    </border>
    <border>
      <left style="thin">
        <color theme="5" tint="-0.249977111117893"/>
      </left>
      <right style="thin">
        <color theme="0"/>
      </right>
      <top style="thin">
        <color theme="5" tint="-0.249977111117893"/>
      </top>
      <bottom/>
      <diagonal/>
    </border>
    <border>
      <left style="thin">
        <color theme="0"/>
      </left>
      <right style="thin">
        <color theme="5" tint="-0.249977111117893"/>
      </right>
      <top style="thin">
        <color theme="5" tint="-0.249977111117893"/>
      </top>
      <bottom/>
      <diagonal/>
    </border>
    <border>
      <left style="thin">
        <color theme="5" tint="-0.249977111117893"/>
      </left>
      <right style="thin">
        <color theme="0"/>
      </right>
      <top/>
      <bottom style="thin">
        <color theme="5" tint="-0.249977111117893"/>
      </bottom>
      <diagonal/>
    </border>
    <border>
      <left style="thin">
        <color theme="0"/>
      </left>
      <right style="thin">
        <color theme="5" tint="-0.249977111117893"/>
      </right>
      <top/>
      <bottom style="thin">
        <color theme="5" tint="-0.249977111117893"/>
      </bottom>
      <diagonal/>
    </border>
    <border>
      <left style="thin">
        <color theme="5" tint="-0.249977111117893"/>
      </left>
      <right/>
      <top style="thin">
        <color theme="5" tint="-0.249977111117893"/>
      </top>
      <bottom style="thin">
        <color theme="0"/>
      </bottom>
      <diagonal/>
    </border>
    <border>
      <left style="thin">
        <color theme="5" tint="-0.249977111117893"/>
      </left>
      <right/>
      <top style="thin">
        <color theme="0"/>
      </top>
      <bottom style="thin">
        <color theme="5" tint="-0.249977111117893"/>
      </bottom>
      <diagonal/>
    </border>
    <border>
      <left style="thin">
        <color theme="0"/>
      </left>
      <right/>
      <top/>
      <bottom/>
      <diagonal/>
    </border>
    <border>
      <left style="thin">
        <color theme="5" tint="-0.249977111117893"/>
      </left>
      <right style="thin">
        <color theme="5" tint="-0.249977111117893"/>
      </right>
      <top style="thin">
        <color theme="5" tint="-0.249977111117893"/>
      </top>
      <bottom style="thin">
        <color theme="0"/>
      </bottom>
      <diagonal/>
    </border>
    <border>
      <left style="thin">
        <color theme="5" tint="-0.249977111117893"/>
      </left>
      <right style="thin">
        <color theme="5" tint="-0.249977111117893"/>
      </right>
      <top/>
      <bottom style="thin">
        <color theme="5" tint="-0.249977111117893"/>
      </bottom>
      <diagonal/>
    </border>
    <border>
      <left style="thin">
        <color theme="5" tint="-0.249977111117893"/>
      </left>
      <right style="thin">
        <color theme="5" tint="-0.249977111117893"/>
      </right>
      <top style="thin">
        <color theme="0"/>
      </top>
      <bottom style="thin">
        <color theme="5" tint="-0.249977111117893"/>
      </bottom>
      <diagonal/>
    </border>
  </borders>
  <cellStyleXfs count="51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5" fillId="0" borderId="0" applyNumberFormat="0" applyFill="0" applyBorder="0" applyAlignment="0" applyProtection="0"/>
    <xf numFmtId="0" fontId="13" fillId="30" borderId="0" applyNumberFormat="0" applyBorder="0" applyAlignment="0" applyProtection="0"/>
    <xf numFmtId="0" fontId="20" fillId="34" borderId="0" applyNumberFormat="0" applyBorder="0" applyAlignment="0" applyProtection="0"/>
    <xf numFmtId="0" fontId="17" fillId="33" borderId="1" applyNumberFormat="0" applyAlignment="0" applyProtection="0"/>
    <xf numFmtId="0" fontId="21" fillId="31" borderId="2" applyNumberFormat="0" applyAlignment="0" applyProtection="0"/>
    <xf numFmtId="0" fontId="14" fillId="31" borderId="1" applyNumberFormat="0" applyAlignment="0" applyProtection="0"/>
    <xf numFmtId="0" fontId="16" fillId="0" borderId="3" applyNumberFormat="0" applyFill="0" applyAlignment="0" applyProtection="0"/>
    <xf numFmtId="0" fontId="15" fillId="32" borderId="4" applyNumberFormat="0" applyAlignment="0" applyProtection="0"/>
    <xf numFmtId="0" fontId="26" fillId="0" borderId="0" applyNumberFormat="0" applyFill="0" applyBorder="0" applyAlignment="0" applyProtection="0"/>
    <xf numFmtId="0" fontId="5" fillId="36" borderId="5" applyNumberFormat="0" applyFont="0" applyAlignment="0" applyProtection="0"/>
    <xf numFmtId="0" fontId="27" fillId="0" borderId="0" applyNumberFormat="0" applyFill="0" applyBorder="0" applyAlignment="0" applyProtection="0"/>
    <xf numFmtId="0" fontId="28" fillId="0" borderId="10" applyNumberFormat="0" applyFill="0" applyAlignment="0" applyProtection="0"/>
    <xf numFmtId="0" fontId="12" fillId="6" borderId="0" applyNumberFormat="0" applyBorder="0" applyAlignment="0" applyProtection="0"/>
    <xf numFmtId="0" fontId="5" fillId="12" borderId="0" applyNumberFormat="0" applyFont="0" applyBorder="0" applyAlignment="0" applyProtection="0"/>
    <xf numFmtId="0" fontId="5" fillId="18" borderId="0" applyNumberFormat="0" applyFont="0" applyBorder="0" applyAlignment="0" applyProtection="0"/>
    <xf numFmtId="0" fontId="12" fillId="24" borderId="0" applyNumberFormat="0" applyBorder="0" applyAlignment="0" applyProtection="0"/>
    <xf numFmtId="0" fontId="12" fillId="7" borderId="0" applyNumberFormat="0" applyBorder="0" applyAlignment="0" applyProtection="0"/>
    <xf numFmtId="0" fontId="5" fillId="13" borderId="0" applyNumberFormat="0" applyFont="0" applyBorder="0" applyAlignment="0" applyProtection="0"/>
    <xf numFmtId="0" fontId="5" fillId="19" borderId="0" applyNumberFormat="0" applyFont="0" applyBorder="0" applyAlignment="0" applyProtection="0"/>
    <xf numFmtId="0" fontId="12" fillId="25" borderId="0" applyNumberFormat="0" applyBorder="0" applyAlignment="0" applyProtection="0"/>
    <xf numFmtId="0" fontId="12" fillId="8" borderId="0" applyNumberFormat="0" applyBorder="0" applyAlignment="0" applyProtection="0"/>
    <xf numFmtId="0" fontId="5" fillId="14" borderId="0" applyNumberFormat="0" applyFont="0" applyBorder="0" applyAlignment="0" applyProtection="0"/>
    <xf numFmtId="0" fontId="5" fillId="20" borderId="0" applyNumberFormat="0" applyFont="0" applyBorder="0" applyAlignment="0" applyProtection="0"/>
    <xf numFmtId="0" fontId="12" fillId="26" borderId="0" applyNumberFormat="0" applyBorder="0" applyAlignment="0" applyProtection="0"/>
    <xf numFmtId="0" fontId="12" fillId="9" borderId="0" applyNumberFormat="0" applyBorder="0" applyAlignment="0" applyProtection="0"/>
    <xf numFmtId="0" fontId="5" fillId="15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12" fillId="27" borderId="0" applyNumberFormat="0" applyBorder="0" applyAlignment="0" applyProtection="0"/>
    <xf numFmtId="0" fontId="12" fillId="10" borderId="0" applyNumberFormat="0" applyBorder="0" applyAlignment="0" applyProtection="0"/>
    <xf numFmtId="0" fontId="5" fillId="16" borderId="0" applyNumberFormat="0" applyFont="0" applyBorder="0" applyAlignment="0" applyProtection="0"/>
    <xf numFmtId="0" fontId="5" fillId="22" borderId="0" applyNumberFormat="0" applyFont="0" applyBorder="0" applyAlignment="0" applyProtection="0"/>
    <xf numFmtId="0" fontId="12" fillId="28" borderId="0" applyNumberFormat="0" applyBorder="0" applyAlignment="0" applyProtection="0"/>
    <xf numFmtId="0" fontId="12" fillId="11" borderId="0" applyNumberFormat="0" applyBorder="0" applyAlignment="0" applyProtection="0"/>
    <xf numFmtId="0" fontId="5" fillId="17" borderId="0" applyNumberFormat="0" applyFont="0" applyBorder="0" applyAlignment="0" applyProtection="0"/>
    <xf numFmtId="0" fontId="5" fillId="23" borderId="0" applyNumberFormat="0" applyFont="0" applyBorder="0" applyAlignment="0" applyProtection="0"/>
    <xf numFmtId="0" fontId="12" fillId="29" borderId="0" applyNumberFormat="0" applyBorder="0" applyAlignment="0" applyProtection="0"/>
    <xf numFmtId="0" fontId="18" fillId="34" borderId="0" applyNumberFormat="0" applyBorder="0" applyAlignment="0" applyProtection="0"/>
    <xf numFmtId="0" fontId="19" fillId="35" borderId="0" applyNumberFormat="0" applyBorder="0" applyAlignment="0" applyProtection="0"/>
    <xf numFmtId="0" fontId="31" fillId="45" borderId="1" applyNumberFormat="0" applyAlignment="0" applyProtection="0"/>
    <xf numFmtId="0" fontId="2" fillId="0" borderId="0"/>
    <xf numFmtId="44" fontId="2" fillId="0" borderId="0" applyFont="0" applyFill="0" applyBorder="0" applyAlignment="0" applyProtection="0"/>
    <xf numFmtId="0" fontId="51" fillId="0" borderId="0" applyNumberFormat="0" applyFill="0" applyBorder="0" applyAlignment="0" applyProtection="0"/>
  </cellStyleXfs>
  <cellXfs count="522">
    <xf numFmtId="0" fontId="0" fillId="0" borderId="0" xfId="0"/>
    <xf numFmtId="0" fontId="1" fillId="0" borderId="0" xfId="0" applyFont="1"/>
    <xf numFmtId="14" fontId="6" fillId="2" borderId="6" xfId="3" applyNumberFormat="1" applyFont="1" applyFill="1" applyBorder="1" applyAlignment="1">
      <alignment horizontal="left" vertical="center" wrapText="1"/>
    </xf>
    <xf numFmtId="0" fontId="5" fillId="0" borderId="6" xfId="3" applyBorder="1"/>
    <xf numFmtId="164" fontId="5" fillId="0" borderId="6" xfId="3" applyNumberFormat="1" applyBorder="1"/>
    <xf numFmtId="0" fontId="5" fillId="0" borderId="6" xfId="3" applyBorder="1" applyAlignment="1">
      <alignment horizontal="left"/>
    </xf>
    <xf numFmtId="0" fontId="5" fillId="3" borderId="6" xfId="3" applyFill="1" applyBorder="1" applyAlignment="1">
      <alignment vertical="center"/>
    </xf>
    <xf numFmtId="0" fontId="5" fillId="4" borderId="6" xfId="3" applyFill="1" applyBorder="1" applyAlignment="1">
      <alignment vertical="center"/>
    </xf>
    <xf numFmtId="14" fontId="5" fillId="2" borderId="6" xfId="3" applyNumberFormat="1" applyFill="1" applyBorder="1" applyAlignment="1">
      <alignment horizontal="left" vertical="center" wrapText="1"/>
    </xf>
    <xf numFmtId="0" fontId="7" fillId="4" borderId="6" xfId="3" applyFont="1" applyFill="1" applyBorder="1" applyAlignment="1">
      <alignment vertical="center"/>
    </xf>
    <xf numFmtId="0" fontId="8" fillId="3" borderId="6" xfId="3" applyFont="1" applyFill="1" applyBorder="1" applyAlignment="1">
      <alignment vertical="center"/>
    </xf>
    <xf numFmtId="164" fontId="5" fillId="0" borderId="6" xfId="3" applyNumberFormat="1" applyBorder="1" applyAlignment="1">
      <alignment horizontal="right"/>
    </xf>
    <xf numFmtId="0" fontId="9" fillId="3" borderId="6" xfId="3" applyFont="1" applyFill="1" applyBorder="1" applyAlignment="1">
      <alignment vertical="top" wrapText="1"/>
    </xf>
    <xf numFmtId="164" fontId="9" fillId="3" borderId="6" xfId="3" applyNumberFormat="1" applyFont="1" applyFill="1" applyBorder="1" applyAlignment="1">
      <alignment vertical="top" wrapText="1"/>
    </xf>
    <xf numFmtId="14" fontId="7" fillId="3" borderId="6" xfId="3" applyNumberFormat="1" applyFont="1" applyFill="1" applyBorder="1" applyAlignment="1">
      <alignment horizontal="left" vertical="center"/>
    </xf>
    <xf numFmtId="0" fontId="10" fillId="0" borderId="6" xfId="3" applyFont="1" applyBorder="1"/>
    <xf numFmtId="0" fontId="10" fillId="0" borderId="6" xfId="3" applyFont="1" applyBorder="1" applyAlignment="1">
      <alignment horizontal="left"/>
    </xf>
    <xf numFmtId="164" fontId="10" fillId="0" borderId="6" xfId="4" applyNumberFormat="1" applyFont="1" applyBorder="1"/>
    <xf numFmtId="0" fontId="7" fillId="4" borderId="6" xfId="3" applyFont="1" applyFill="1" applyBorder="1" applyAlignment="1">
      <alignment horizontal="left" vertical="center"/>
    </xf>
    <xf numFmtId="164" fontId="7" fillId="4" borderId="6" xfId="3" applyNumberFormat="1" applyFont="1" applyFill="1" applyBorder="1" applyAlignment="1">
      <alignment horizontal="right" vertical="center"/>
    </xf>
    <xf numFmtId="0" fontId="7" fillId="3" borderId="6" xfId="3" applyFont="1" applyFill="1" applyBorder="1" applyAlignment="1">
      <alignment horizontal="left" vertical="center"/>
    </xf>
    <xf numFmtId="164" fontId="7" fillId="3" borderId="6" xfId="3" applyNumberFormat="1" applyFont="1" applyFill="1" applyBorder="1" applyAlignment="1">
      <alignment horizontal="right" vertical="center"/>
    </xf>
    <xf numFmtId="0" fontId="5" fillId="0" borderId="6" xfId="3" applyBorder="1" applyAlignment="1">
      <alignment horizontal="left" vertical="center" wrapText="1"/>
    </xf>
    <xf numFmtId="164" fontId="5" fillId="0" borderId="6" xfId="3" applyNumberFormat="1" applyBorder="1" applyAlignment="1">
      <alignment horizontal="center" vertical="center" wrapText="1"/>
    </xf>
    <xf numFmtId="14" fontId="7" fillId="4" borderId="6" xfId="3" applyNumberFormat="1" applyFont="1" applyFill="1" applyBorder="1" applyAlignment="1">
      <alignment horizontal="left" vertical="center"/>
    </xf>
    <xf numFmtId="164" fontId="10" fillId="0" borderId="6" xfId="4" applyNumberFormat="1" applyFont="1" applyBorder="1" applyAlignment="1">
      <alignment horizontal="left"/>
    </xf>
    <xf numFmtId="0" fontId="0" fillId="0" borderId="11" xfId="0" applyBorder="1"/>
    <xf numFmtId="44" fontId="0" fillId="0" borderId="11" xfId="1" applyFont="1" applyBorder="1"/>
    <xf numFmtId="0" fontId="0" fillId="0" borderId="13" xfId="0" applyBorder="1"/>
    <xf numFmtId="0" fontId="0" fillId="0" borderId="12" xfId="0" applyBorder="1"/>
    <xf numFmtId="0" fontId="0" fillId="0" borderId="14" xfId="0" applyBorder="1"/>
    <xf numFmtId="44" fontId="0" fillId="0" borderId="14" xfId="1" applyFont="1" applyBorder="1"/>
    <xf numFmtId="44" fontId="0" fillId="0" borderId="13" xfId="1" applyFont="1" applyBorder="1"/>
    <xf numFmtId="0" fontId="0" fillId="0" borderId="16" xfId="0" applyBorder="1"/>
    <xf numFmtId="0" fontId="29" fillId="5" borderId="12" xfId="0" applyFont="1" applyFill="1" applyBorder="1"/>
    <xf numFmtId="0" fontId="29" fillId="0" borderId="16" xfId="0" applyFont="1" applyBorder="1"/>
    <xf numFmtId="44" fontId="0" fillId="0" borderId="0" xfId="1" applyFont="1"/>
    <xf numFmtId="0" fontId="5" fillId="0" borderId="0" xfId="3"/>
    <xf numFmtId="14" fontId="5" fillId="0" borderId="0" xfId="3" applyNumberFormat="1" applyAlignment="1">
      <alignment horizontal="center" vertical="center"/>
    </xf>
    <xf numFmtId="0" fontId="5" fillId="0" borderId="0" xfId="3" applyAlignment="1">
      <alignment horizontal="center" vertical="center"/>
    </xf>
    <xf numFmtId="0" fontId="5" fillId="0" borderId="0" xfId="3" applyAlignment="1">
      <alignment horizontal="left" vertical="center"/>
    </xf>
    <xf numFmtId="0" fontId="5" fillId="40" borderId="6" xfId="3" applyFill="1" applyBorder="1"/>
    <xf numFmtId="44" fontId="0" fillId="0" borderId="27" xfId="1" applyFont="1" applyBorder="1"/>
    <xf numFmtId="0" fontId="0" fillId="0" borderId="26" xfId="0" applyBorder="1"/>
    <xf numFmtId="0" fontId="0" fillId="0" borderId="37" xfId="0" applyBorder="1"/>
    <xf numFmtId="0" fontId="30" fillId="40" borderId="6" xfId="3" applyFont="1" applyFill="1" applyBorder="1"/>
    <xf numFmtId="14" fontId="30" fillId="40" borderId="6" xfId="3" applyNumberFormat="1" applyFont="1" applyFill="1" applyBorder="1" applyAlignment="1">
      <alignment horizontal="left" vertical="top"/>
    </xf>
    <xf numFmtId="0" fontId="30" fillId="40" borderId="6" xfId="3" applyFont="1" applyFill="1" applyBorder="1" applyAlignment="1">
      <alignment horizontal="center" vertical="center"/>
    </xf>
    <xf numFmtId="164" fontId="30" fillId="40" borderId="19" xfId="4" applyNumberFormat="1" applyFont="1" applyFill="1" applyBorder="1"/>
    <xf numFmtId="165" fontId="30" fillId="40" borderId="6" xfId="4" applyFont="1" applyFill="1" applyBorder="1"/>
    <xf numFmtId="165" fontId="5" fillId="0" borderId="0" xfId="4"/>
    <xf numFmtId="14" fontId="5" fillId="0" borderId="6" xfId="3" applyNumberFormat="1" applyBorder="1" applyAlignment="1">
      <alignment horizontal="left" vertical="center"/>
    </xf>
    <xf numFmtId="0" fontId="5" fillId="0" borderId="6" xfId="3" applyBorder="1" applyAlignment="1">
      <alignment vertical="center"/>
    </xf>
    <xf numFmtId="0" fontId="5" fillId="0" borderId="6" xfId="3" applyBorder="1" applyAlignment="1">
      <alignment horizontal="left" vertical="center"/>
    </xf>
    <xf numFmtId="14" fontId="5" fillId="0" borderId="6" xfId="3" applyNumberFormat="1" applyBorder="1" applyAlignment="1">
      <alignment horizontal="left"/>
    </xf>
    <xf numFmtId="14" fontId="5" fillId="0" borderId="6" xfId="3" applyNumberFormat="1" applyBorder="1" applyAlignment="1">
      <alignment horizontal="center" vertical="center"/>
    </xf>
    <xf numFmtId="0" fontId="5" fillId="0" borderId="6" xfId="3" applyBorder="1" applyAlignment="1">
      <alignment horizontal="center" vertical="center"/>
    </xf>
    <xf numFmtId="0" fontId="32" fillId="45" borderId="38" xfId="47" applyFont="1" applyBorder="1" applyAlignment="1">
      <alignment horizontal="center"/>
    </xf>
    <xf numFmtId="0" fontId="32" fillId="45" borderId="38" xfId="47" applyFont="1" applyBorder="1" applyAlignment="1"/>
    <xf numFmtId="0" fontId="31" fillId="45" borderId="38" xfId="47" applyBorder="1" applyAlignment="1">
      <alignment horizontal="left"/>
    </xf>
    <xf numFmtId="167" fontId="31" fillId="45" borderId="38" xfId="1" applyNumberFormat="1" applyFont="1" applyFill="1" applyBorder="1"/>
    <xf numFmtId="14" fontId="33" fillId="46" borderId="38" xfId="0" applyNumberFormat="1" applyFont="1" applyFill="1" applyBorder="1" applyAlignment="1">
      <alignment horizontal="left" vertical="center" wrapText="1"/>
    </xf>
    <xf numFmtId="0" fontId="2" fillId="0" borderId="38" xfId="0" applyFont="1" applyBorder="1"/>
    <xf numFmtId="0" fontId="2" fillId="0" borderId="38" xfId="0" applyFont="1" applyBorder="1" applyAlignment="1">
      <alignment horizontal="left"/>
    </xf>
    <xf numFmtId="167" fontId="2" fillId="0" borderId="38" xfId="1" applyNumberFormat="1" applyFont="1" applyBorder="1"/>
    <xf numFmtId="0" fontId="34" fillId="47" borderId="38" xfId="0" applyFont="1" applyFill="1" applyBorder="1" applyAlignment="1">
      <alignment horizontal="left" vertical="center" wrapText="1"/>
    </xf>
    <xf numFmtId="167" fontId="35" fillId="44" borderId="38" xfId="0" applyNumberFormat="1" applyFont="1" applyFill="1" applyBorder="1" applyAlignment="1">
      <alignment horizontal="right" vertical="center"/>
    </xf>
    <xf numFmtId="0" fontId="35" fillId="48" borderId="38" xfId="0" applyFont="1" applyFill="1" applyBorder="1" applyAlignment="1">
      <alignment horizontal="left" vertical="center"/>
    </xf>
    <xf numFmtId="167" fontId="35" fillId="48" borderId="38" xfId="0" applyNumberFormat="1" applyFont="1" applyFill="1" applyBorder="1" applyAlignment="1">
      <alignment horizontal="right" vertical="center"/>
    </xf>
    <xf numFmtId="0" fontId="35" fillId="44" borderId="38" xfId="0" applyFont="1" applyFill="1" applyBorder="1" applyAlignment="1">
      <alignment horizontal="left" vertical="center"/>
    </xf>
    <xf numFmtId="0" fontId="34" fillId="44" borderId="38" xfId="0" applyFont="1" applyFill="1" applyBorder="1" applyAlignment="1">
      <alignment horizontal="left" vertical="center" wrapText="1"/>
    </xf>
    <xf numFmtId="0" fontId="36" fillId="44" borderId="38" xfId="0" applyFont="1" applyFill="1" applyBorder="1" applyAlignment="1">
      <alignment horizontal="left" vertical="center" wrapText="1"/>
    </xf>
    <xf numFmtId="0" fontId="36" fillId="47" borderId="38" xfId="0" applyFont="1" applyFill="1" applyBorder="1" applyAlignment="1">
      <alignment horizontal="left" vertical="center" wrapText="1"/>
    </xf>
    <xf numFmtId="0" fontId="34" fillId="44" borderId="39" xfId="0" applyFont="1" applyFill="1" applyBorder="1" applyAlignment="1">
      <alignment horizontal="left" vertical="center" wrapText="1"/>
    </xf>
    <xf numFmtId="0" fontId="34" fillId="47" borderId="39" xfId="0" applyFont="1" applyFill="1" applyBorder="1" applyAlignment="1">
      <alignment horizontal="left" vertical="center" wrapText="1"/>
    </xf>
    <xf numFmtId="167" fontId="35" fillId="48" borderId="39" xfId="0" applyNumberFormat="1" applyFont="1" applyFill="1" applyBorder="1" applyAlignment="1">
      <alignment horizontal="right" vertical="center"/>
    </xf>
    <xf numFmtId="0" fontId="35" fillId="48" borderId="40" xfId="0" applyFont="1" applyFill="1" applyBorder="1" applyAlignment="1">
      <alignment horizontal="left" vertical="center"/>
    </xf>
    <xf numFmtId="0" fontId="36" fillId="47" borderId="0" xfId="0" applyFont="1" applyFill="1" applyAlignment="1">
      <alignment horizontal="left" vertical="center" wrapText="1"/>
    </xf>
    <xf numFmtId="167" fontId="35" fillId="48" borderId="40" xfId="0" applyNumberFormat="1" applyFont="1" applyFill="1" applyBorder="1" applyAlignment="1">
      <alignment horizontal="right" vertical="center"/>
    </xf>
    <xf numFmtId="0" fontId="31" fillId="45" borderId="38" xfId="47" applyBorder="1" applyAlignment="1">
      <alignment horizontal="center"/>
    </xf>
    <xf numFmtId="167" fontId="31" fillId="45" borderId="38" xfId="1" applyNumberFormat="1" applyFont="1" applyFill="1" applyBorder="1" applyAlignment="1">
      <alignment horizontal="left"/>
    </xf>
    <xf numFmtId="14" fontId="33" fillId="46" borderId="41" xfId="0" applyNumberFormat="1" applyFont="1" applyFill="1" applyBorder="1" applyAlignment="1">
      <alignment horizontal="left" vertical="center" wrapText="1"/>
    </xf>
    <xf numFmtId="0" fontId="2" fillId="0" borderId="38" xfId="0" applyFont="1" applyBorder="1" applyAlignment="1">
      <alignment horizontal="center"/>
    </xf>
    <xf numFmtId="167" fontId="2" fillId="0" borderId="38" xfId="1" applyNumberFormat="1" applyFont="1" applyBorder="1" applyAlignment="1">
      <alignment horizontal="left"/>
    </xf>
    <xf numFmtId="14" fontId="30" fillId="40" borderId="42" xfId="0" applyNumberFormat="1" applyFont="1" applyFill="1" applyBorder="1" applyAlignment="1">
      <alignment horizontal="left"/>
    </xf>
    <xf numFmtId="0" fontId="30" fillId="40" borderId="6" xfId="0" applyFont="1" applyFill="1" applyBorder="1" applyAlignment="1">
      <alignment horizontal="center"/>
    </xf>
    <xf numFmtId="0" fontId="30" fillId="40" borderId="6" xfId="0" applyFont="1" applyFill="1" applyBorder="1"/>
    <xf numFmtId="164" fontId="30" fillId="40" borderId="6" xfId="4" applyNumberFormat="1" applyFont="1" applyFill="1" applyBorder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14" fontId="30" fillId="40" borderId="6" xfId="0" applyNumberFormat="1" applyFont="1" applyFill="1" applyBorder="1" applyAlignment="1">
      <alignment horizontal="left" vertical="top"/>
    </xf>
    <xf numFmtId="0" fontId="30" fillId="40" borderId="6" xfId="0" applyFont="1" applyFill="1" applyBorder="1" applyAlignment="1">
      <alignment horizontal="center" vertical="center"/>
    </xf>
    <xf numFmtId="14" fontId="40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8" fontId="40" fillId="0" borderId="0" xfId="0" applyNumberFormat="1" applyFont="1" applyAlignment="1">
      <alignment vertical="center"/>
    </xf>
    <xf numFmtId="44" fontId="5" fillId="0" borderId="0" xfId="1" applyFont="1" applyAlignment="1">
      <alignment vertical="center"/>
    </xf>
    <xf numFmtId="44" fontId="40" fillId="0" borderId="0" xfId="1" applyFont="1" applyAlignment="1">
      <alignment vertical="center"/>
    </xf>
    <xf numFmtId="14" fontId="40" fillId="0" borderId="6" xfId="0" applyNumberFormat="1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40" fillId="0" borderId="6" xfId="0" applyFont="1" applyBorder="1" applyAlignment="1">
      <alignment horizontal="left" vertical="center"/>
    </xf>
    <xf numFmtId="0" fontId="40" fillId="0" borderId="0" xfId="0" applyFont="1"/>
    <xf numFmtId="44" fontId="1" fillId="0" borderId="0" xfId="1" applyFont="1"/>
    <xf numFmtId="14" fontId="33" fillId="49" borderId="38" xfId="0" applyNumberFormat="1" applyFont="1" applyFill="1" applyBorder="1" applyAlignment="1">
      <alignment horizontal="left" vertical="center" wrapText="1"/>
    </xf>
    <xf numFmtId="0" fontId="35" fillId="50" borderId="38" xfId="0" applyFont="1" applyFill="1" applyBorder="1" applyAlignment="1">
      <alignment horizontal="left" vertical="center"/>
    </xf>
    <xf numFmtId="0" fontId="40" fillId="0" borderId="38" xfId="0" applyFont="1" applyBorder="1"/>
    <xf numFmtId="8" fontId="35" fillId="50" borderId="38" xfId="0" applyNumberFormat="1" applyFont="1" applyFill="1" applyBorder="1" applyAlignment="1">
      <alignment horizontal="right" vertical="center"/>
    </xf>
    <xf numFmtId="0" fontId="40" fillId="0" borderId="45" xfId="0" applyFont="1" applyBorder="1"/>
    <xf numFmtId="0" fontId="35" fillId="51" borderId="38" xfId="0" applyFont="1" applyFill="1" applyBorder="1" applyAlignment="1">
      <alignment horizontal="left" vertical="center"/>
    </xf>
    <xf numFmtId="8" fontId="35" fillId="51" borderId="38" xfId="0" applyNumberFormat="1" applyFont="1" applyFill="1" applyBorder="1" applyAlignment="1">
      <alignment horizontal="right" vertical="center"/>
    </xf>
    <xf numFmtId="0" fontId="40" fillId="0" borderId="38" xfId="0" applyFont="1" applyBorder="1" applyAlignment="1">
      <alignment horizontal="left"/>
    </xf>
    <xf numFmtId="8" fontId="40" fillId="0" borderId="38" xfId="0" applyNumberFormat="1" applyFont="1" applyBorder="1"/>
    <xf numFmtId="0" fontId="41" fillId="0" borderId="6" xfId="0" applyFont="1" applyBorder="1" applyAlignment="1">
      <alignment horizontal="left" vertical="center" wrapText="1"/>
    </xf>
    <xf numFmtId="0" fontId="41" fillId="0" borderId="6" xfId="0" applyFont="1" applyBorder="1" applyAlignment="1">
      <alignment vertical="center" wrapText="1"/>
    </xf>
    <xf numFmtId="8" fontId="41" fillId="0" borderId="6" xfId="0" applyNumberFormat="1" applyFont="1" applyBorder="1" applyAlignment="1">
      <alignment horizontal="center" vertical="center" wrapText="1"/>
    </xf>
    <xf numFmtId="0" fontId="41" fillId="0" borderId="38" xfId="0" applyFont="1" applyBorder="1" applyAlignment="1">
      <alignment horizontal="left" vertical="center" wrapText="1"/>
    </xf>
    <xf numFmtId="8" fontId="41" fillId="0" borderId="38" xfId="0" applyNumberFormat="1" applyFont="1" applyBorder="1" applyAlignment="1">
      <alignment horizontal="center" vertical="center" wrapText="1"/>
    </xf>
    <xf numFmtId="0" fontId="42" fillId="0" borderId="38" xfId="0" applyFont="1" applyBorder="1" applyAlignment="1">
      <alignment horizontal="left" vertical="center" wrapText="1"/>
    </xf>
    <xf numFmtId="14" fontId="33" fillId="49" borderId="41" xfId="0" applyNumberFormat="1" applyFont="1" applyFill="1" applyBorder="1" applyAlignment="1">
      <alignment horizontal="left" vertical="center" wrapText="1"/>
    </xf>
    <xf numFmtId="0" fontId="35" fillId="51" borderId="41" xfId="0" applyFont="1" applyFill="1" applyBorder="1" applyAlignment="1">
      <alignment horizontal="left" vertical="center"/>
    </xf>
    <xf numFmtId="0" fontId="40" fillId="0" borderId="41" xfId="0" applyFont="1" applyBorder="1"/>
    <xf numFmtId="8" fontId="35" fillId="51" borderId="41" xfId="0" applyNumberFormat="1" applyFont="1" applyFill="1" applyBorder="1" applyAlignment="1">
      <alignment horizontal="right" vertical="center"/>
    </xf>
    <xf numFmtId="14" fontId="35" fillId="50" borderId="38" xfId="0" applyNumberFormat="1" applyFont="1" applyFill="1" applyBorder="1" applyAlignment="1">
      <alignment horizontal="left" vertical="center"/>
    </xf>
    <xf numFmtId="14" fontId="35" fillId="51" borderId="38" xfId="0" applyNumberFormat="1" applyFont="1" applyFill="1" applyBorder="1" applyAlignment="1">
      <alignment horizontal="left" vertical="center"/>
    </xf>
    <xf numFmtId="14" fontId="35" fillId="51" borderId="46" xfId="0" applyNumberFormat="1" applyFont="1" applyFill="1" applyBorder="1" applyAlignment="1">
      <alignment horizontal="left" vertical="center"/>
    </xf>
    <xf numFmtId="0" fontId="35" fillId="51" borderId="46" xfId="0" applyFont="1" applyFill="1" applyBorder="1" applyAlignment="1">
      <alignment horizontal="left" vertical="center"/>
    </xf>
    <xf numFmtId="8" fontId="35" fillId="51" borderId="46" xfId="0" applyNumberFormat="1" applyFont="1" applyFill="1" applyBorder="1" applyAlignment="1">
      <alignment horizontal="right" vertical="center"/>
    </xf>
    <xf numFmtId="14" fontId="35" fillId="50" borderId="40" xfId="0" applyNumberFormat="1" applyFont="1" applyFill="1" applyBorder="1" applyAlignment="1">
      <alignment horizontal="left" vertical="center"/>
    </xf>
    <xf numFmtId="0" fontId="35" fillId="50" borderId="40" xfId="0" applyFont="1" applyFill="1" applyBorder="1" applyAlignment="1">
      <alignment horizontal="left" vertical="center"/>
    </xf>
    <xf numFmtId="8" fontId="35" fillId="50" borderId="40" xfId="0" applyNumberFormat="1" applyFont="1" applyFill="1" applyBorder="1" applyAlignment="1">
      <alignment horizontal="right" vertical="center"/>
    </xf>
    <xf numFmtId="14" fontId="35" fillId="51" borderId="40" xfId="0" applyNumberFormat="1" applyFont="1" applyFill="1" applyBorder="1" applyAlignment="1">
      <alignment horizontal="left" vertical="center"/>
    </xf>
    <xf numFmtId="0" fontId="35" fillId="51" borderId="40" xfId="0" applyFont="1" applyFill="1" applyBorder="1" applyAlignment="1">
      <alignment horizontal="left" vertical="center"/>
    </xf>
    <xf numFmtId="8" fontId="35" fillId="51" borderId="40" xfId="0" applyNumberFormat="1" applyFont="1" applyFill="1" applyBorder="1" applyAlignment="1">
      <alignment horizontal="right" vertical="center"/>
    </xf>
    <xf numFmtId="0" fontId="40" fillId="0" borderId="0" xfId="0" applyFont="1" applyAlignment="1">
      <alignment horizontal="left"/>
    </xf>
    <xf numFmtId="8" fontId="40" fillId="0" borderId="0" xfId="0" applyNumberFormat="1" applyFont="1"/>
    <xf numFmtId="8" fontId="34" fillId="51" borderId="47" xfId="0" applyNumberFormat="1" applyFont="1" applyFill="1" applyBorder="1" applyAlignment="1">
      <alignment horizontal="right" vertical="center" wrapText="1"/>
    </xf>
    <xf numFmtId="8" fontId="34" fillId="49" borderId="47" xfId="0" applyNumberFormat="1" applyFont="1" applyFill="1" applyBorder="1" applyAlignment="1">
      <alignment horizontal="right" vertical="center" wrapText="1"/>
    </xf>
    <xf numFmtId="8" fontId="42" fillId="0" borderId="38" xfId="0" applyNumberFormat="1" applyFont="1" applyBorder="1" applyAlignment="1">
      <alignment horizontal="left"/>
    </xf>
    <xf numFmtId="8" fontId="42" fillId="0" borderId="0" xfId="0" applyNumberFormat="1" applyFont="1" applyAlignment="1">
      <alignment horizontal="left"/>
    </xf>
    <xf numFmtId="0" fontId="40" fillId="0" borderId="41" xfId="0" applyFont="1" applyBorder="1" applyAlignment="1">
      <alignment horizontal="left"/>
    </xf>
    <xf numFmtId="8" fontId="42" fillId="0" borderId="41" xfId="0" applyNumberFormat="1" applyFont="1" applyBorder="1" applyAlignment="1">
      <alignment horizontal="left"/>
    </xf>
    <xf numFmtId="0" fontId="34" fillId="51" borderId="41" xfId="0" applyFont="1" applyFill="1" applyBorder="1" applyAlignment="1">
      <alignment vertical="top" wrapText="1"/>
    </xf>
    <xf numFmtId="0" fontId="34" fillId="51" borderId="41" xfId="0" applyFont="1" applyFill="1" applyBorder="1" applyAlignment="1">
      <alignment horizontal="left" vertical="top" wrapText="1"/>
    </xf>
    <xf numFmtId="8" fontId="34" fillId="51" borderId="41" xfId="0" applyNumberFormat="1" applyFont="1" applyFill="1" applyBorder="1" applyAlignment="1">
      <alignment vertical="top" wrapText="1"/>
    </xf>
    <xf numFmtId="8" fontId="40" fillId="0" borderId="38" xfId="0" applyNumberFormat="1" applyFont="1" applyBorder="1" applyAlignment="1">
      <alignment vertical="center"/>
    </xf>
    <xf numFmtId="0" fontId="33" fillId="49" borderId="38" xfId="0" applyFont="1" applyFill="1" applyBorder="1" applyAlignment="1">
      <alignment horizontal="left" vertical="center" wrapText="1"/>
    </xf>
    <xf numFmtId="8" fontId="34" fillId="51" borderId="38" xfId="0" applyNumberFormat="1" applyFont="1" applyFill="1" applyBorder="1" applyAlignment="1">
      <alignment horizontal="right" vertical="center" wrapText="1"/>
    </xf>
    <xf numFmtId="8" fontId="34" fillId="49" borderId="38" xfId="0" applyNumberFormat="1" applyFont="1" applyFill="1" applyBorder="1" applyAlignment="1">
      <alignment horizontal="right" vertical="center" wrapText="1"/>
    </xf>
    <xf numFmtId="0" fontId="40" fillId="0" borderId="48" xfId="0" applyFont="1" applyBorder="1" applyAlignment="1">
      <alignment horizontal="left"/>
    </xf>
    <xf numFmtId="0" fontId="40" fillId="0" borderId="48" xfId="0" applyFont="1" applyBorder="1"/>
    <xf numFmtId="8" fontId="34" fillId="51" borderId="49" xfId="0" applyNumberFormat="1" applyFont="1" applyFill="1" applyBorder="1" applyAlignment="1">
      <alignment horizontal="right" vertical="center" wrapText="1"/>
    </xf>
    <xf numFmtId="0" fontId="43" fillId="51" borderId="38" xfId="0" applyFont="1" applyFill="1" applyBorder="1" applyAlignment="1">
      <alignment vertical="center"/>
    </xf>
    <xf numFmtId="0" fontId="35" fillId="50" borderId="38" xfId="0" applyFont="1" applyFill="1" applyBorder="1" applyAlignment="1">
      <alignment vertical="center"/>
    </xf>
    <xf numFmtId="0" fontId="43" fillId="0" borderId="0" xfId="0" applyFont="1" applyAlignment="1">
      <alignment vertical="center"/>
    </xf>
    <xf numFmtId="0" fontId="35" fillId="50" borderId="0" xfId="0" applyFont="1" applyFill="1" applyAlignment="1">
      <alignment vertical="center"/>
    </xf>
    <xf numFmtId="0" fontId="43" fillId="0" borderId="50" xfId="0" applyFont="1" applyBorder="1" applyAlignment="1">
      <alignment vertical="center"/>
    </xf>
    <xf numFmtId="0" fontId="40" fillId="51" borderId="38" xfId="0" applyFont="1" applyFill="1" applyBorder="1" applyAlignment="1">
      <alignment vertical="center"/>
    </xf>
    <xf numFmtId="0" fontId="40" fillId="50" borderId="38" xfId="0" applyFont="1" applyFill="1" applyBorder="1" applyAlignment="1">
      <alignment vertical="center"/>
    </xf>
    <xf numFmtId="0" fontId="44" fillId="51" borderId="38" xfId="0" applyFont="1" applyFill="1" applyBorder="1" applyAlignment="1">
      <alignment vertical="center"/>
    </xf>
    <xf numFmtId="0" fontId="44" fillId="51" borderId="38" xfId="0" applyFont="1" applyFill="1" applyBorder="1" applyAlignment="1">
      <alignment horizontal="left" vertical="center" wrapText="1"/>
    </xf>
    <xf numFmtId="0" fontId="45" fillId="50" borderId="38" xfId="0" applyFont="1" applyFill="1" applyBorder="1" applyAlignment="1">
      <alignment vertical="center"/>
    </xf>
    <xf numFmtId="0" fontId="45" fillId="50" borderId="38" xfId="0" applyFont="1" applyFill="1" applyBorder="1" applyAlignment="1">
      <alignment horizontal="left" vertical="center" wrapText="1"/>
    </xf>
    <xf numFmtId="14" fontId="33" fillId="49" borderId="39" xfId="0" applyNumberFormat="1" applyFont="1" applyFill="1" applyBorder="1" applyAlignment="1">
      <alignment horizontal="left" vertical="center" wrapText="1"/>
    </xf>
    <xf numFmtId="0" fontId="44" fillId="51" borderId="50" xfId="0" applyFont="1" applyFill="1" applyBorder="1" applyAlignment="1">
      <alignment vertical="center"/>
    </xf>
    <xf numFmtId="0" fontId="44" fillId="0" borderId="0" xfId="0" applyFont="1" applyAlignment="1">
      <alignment vertical="center"/>
    </xf>
    <xf numFmtId="0" fontId="45" fillId="50" borderId="0" xfId="0" applyFont="1" applyFill="1" applyAlignment="1">
      <alignment vertical="center"/>
    </xf>
    <xf numFmtId="0" fontId="45" fillId="50" borderId="50" xfId="0" applyFont="1" applyFill="1" applyBorder="1" applyAlignment="1">
      <alignment vertical="center"/>
    </xf>
    <xf numFmtId="0" fontId="40" fillId="0" borderId="38" xfId="0" applyFont="1" applyBorder="1" applyAlignment="1">
      <alignment horizontal="center"/>
    </xf>
    <xf numFmtId="0" fontId="43" fillId="51" borderId="38" xfId="0" applyFont="1" applyFill="1" applyBorder="1" applyAlignment="1">
      <alignment horizontal="center" vertical="center" wrapText="1"/>
    </xf>
    <xf numFmtId="0" fontId="35" fillId="50" borderId="38" xfId="0" applyFont="1" applyFill="1" applyBorder="1" applyAlignment="1">
      <alignment horizontal="center" vertical="center" wrapText="1"/>
    </xf>
    <xf numFmtId="0" fontId="43" fillId="0" borderId="38" xfId="0" applyFont="1" applyBorder="1" applyAlignment="1">
      <alignment vertical="center"/>
    </xf>
    <xf numFmtId="0" fontId="43" fillId="0" borderId="38" xfId="0" applyFont="1" applyBorder="1" applyAlignment="1">
      <alignment horizontal="center" vertical="center" wrapText="1"/>
    </xf>
    <xf numFmtId="0" fontId="43" fillId="51" borderId="0" xfId="0" applyFont="1" applyFill="1" applyAlignment="1">
      <alignment vertical="center"/>
    </xf>
    <xf numFmtId="0" fontId="43" fillId="51" borderId="0" xfId="0" applyFont="1" applyFill="1" applyAlignment="1">
      <alignment horizontal="center" vertical="center" wrapText="1"/>
    </xf>
    <xf numFmtId="0" fontId="35" fillId="50" borderId="0" xfId="0" applyFont="1" applyFill="1" applyAlignment="1">
      <alignment horizontal="center" vertical="center" wrapText="1"/>
    </xf>
    <xf numFmtId="0" fontId="45" fillId="50" borderId="38" xfId="0" applyFont="1" applyFill="1" applyBorder="1" applyAlignment="1">
      <alignment horizontal="center" vertical="center" wrapText="1"/>
    </xf>
    <xf numFmtId="0" fontId="44" fillId="0" borderId="38" xfId="0" applyFont="1" applyBorder="1" applyAlignment="1">
      <alignment vertical="center"/>
    </xf>
    <xf numFmtId="0" fontId="44" fillId="0" borderId="38" xfId="0" applyFont="1" applyBorder="1" applyAlignment="1">
      <alignment horizontal="center" vertical="center" wrapText="1"/>
    </xf>
    <xf numFmtId="0" fontId="44" fillId="51" borderId="38" xfId="0" applyFont="1" applyFill="1" applyBorder="1" applyAlignment="1">
      <alignment horizontal="center" vertical="center" wrapText="1"/>
    </xf>
    <xf numFmtId="0" fontId="34" fillId="51" borderId="38" xfId="0" applyFont="1" applyFill="1" applyBorder="1" applyAlignment="1">
      <alignment vertical="top" wrapText="1"/>
    </xf>
    <xf numFmtId="8" fontId="34" fillId="51" borderId="38" xfId="0" applyNumberFormat="1" applyFont="1" applyFill="1" applyBorder="1" applyAlignment="1">
      <alignment vertical="top" wrapText="1"/>
    </xf>
    <xf numFmtId="8" fontId="40" fillId="0" borderId="38" xfId="0" applyNumberFormat="1" applyFont="1" applyBorder="1" applyAlignment="1">
      <alignment horizontal="right"/>
    </xf>
    <xf numFmtId="14" fontId="40" fillId="0" borderId="0" xfId="0" applyNumberFormat="1" applyFont="1"/>
    <xf numFmtId="0" fontId="40" fillId="0" borderId="0" xfId="0" applyFont="1" applyAlignment="1">
      <alignment horizontal="center"/>
    </xf>
    <xf numFmtId="14" fontId="33" fillId="52" borderId="38" xfId="0" applyNumberFormat="1" applyFont="1" applyFill="1" applyBorder="1" applyAlignment="1">
      <alignment horizontal="left" vertical="center" wrapText="1"/>
    </xf>
    <xf numFmtId="0" fontId="34" fillId="49" borderId="38" xfId="0" applyFont="1" applyFill="1" applyBorder="1" applyAlignment="1">
      <alignment horizontal="left" vertical="center" wrapText="1"/>
    </xf>
    <xf numFmtId="0" fontId="34" fillId="51" borderId="38" xfId="0" applyFont="1" applyFill="1" applyBorder="1" applyAlignment="1">
      <alignment horizontal="left" vertical="center" wrapText="1"/>
    </xf>
    <xf numFmtId="0" fontId="36" fillId="51" borderId="38" xfId="0" applyFont="1" applyFill="1" applyBorder="1" applyAlignment="1">
      <alignment horizontal="left" vertical="center" wrapText="1"/>
    </xf>
    <xf numFmtId="0" fontId="36" fillId="49" borderId="38" xfId="0" applyFont="1" applyFill="1" applyBorder="1" applyAlignment="1">
      <alignment horizontal="left" vertical="center" wrapText="1"/>
    </xf>
    <xf numFmtId="8" fontId="40" fillId="0" borderId="38" xfId="0" applyNumberFormat="1" applyFont="1" applyBorder="1" applyAlignment="1">
      <alignment horizontal="left"/>
    </xf>
    <xf numFmtId="44" fontId="5" fillId="40" borderId="6" xfId="1" applyFont="1" applyFill="1" applyBorder="1"/>
    <xf numFmtId="44" fontId="5" fillId="0" borderId="6" xfId="1" applyFont="1" applyBorder="1" applyAlignment="1">
      <alignment vertical="center"/>
    </xf>
    <xf numFmtId="44" fontId="5" fillId="0" borderId="6" xfId="1" applyFont="1" applyBorder="1"/>
    <xf numFmtId="44" fontId="40" fillId="0" borderId="6" xfId="1" applyFont="1" applyBorder="1" applyAlignment="1">
      <alignment vertical="center"/>
    </xf>
    <xf numFmtId="0" fontId="0" fillId="41" borderId="0" xfId="0" applyFill="1"/>
    <xf numFmtId="0" fontId="0" fillId="41" borderId="11" xfId="0" applyFill="1" applyBorder="1"/>
    <xf numFmtId="14" fontId="0" fillId="0" borderId="15" xfId="0" applyNumberFormat="1" applyBorder="1"/>
    <xf numFmtId="0" fontId="0" fillId="0" borderId="52" xfId="0" applyBorder="1"/>
    <xf numFmtId="44" fontId="4" fillId="5" borderId="15" xfId="1" applyFont="1" applyFill="1" applyBorder="1"/>
    <xf numFmtId="44" fontId="4" fillId="0" borderId="52" xfId="1" applyFont="1" applyBorder="1"/>
    <xf numFmtId="44" fontId="0" fillId="0" borderId="53" xfId="1" applyFont="1" applyBorder="1"/>
    <xf numFmtId="0" fontId="4" fillId="0" borderId="52" xfId="0" applyFont="1" applyBorder="1"/>
    <xf numFmtId="9" fontId="4" fillId="5" borderId="15" xfId="2" applyFont="1" applyFill="1" applyBorder="1"/>
    <xf numFmtId="0" fontId="0" fillId="41" borderId="18" xfId="0" applyFill="1" applyBorder="1"/>
    <xf numFmtId="0" fontId="0" fillId="0" borderId="13" xfId="0" applyBorder="1" applyAlignment="1">
      <alignment horizontal="center" vertical="center"/>
    </xf>
    <xf numFmtId="0" fontId="0" fillId="0" borderId="53" xfId="0" applyBorder="1"/>
    <xf numFmtId="0" fontId="0" fillId="41" borderId="53" xfId="0" applyFill="1" applyBorder="1"/>
    <xf numFmtId="0" fontId="0" fillId="41" borderId="56" xfId="0" applyFill="1" applyBorder="1"/>
    <xf numFmtId="44" fontId="0" fillId="0" borderId="53" xfId="1" applyFont="1" applyBorder="1" applyAlignment="1">
      <alignment horizontal="center" vertical="center"/>
    </xf>
    <xf numFmtId="0" fontId="0" fillId="0" borderId="57" xfId="0" applyBorder="1"/>
    <xf numFmtId="0" fontId="29" fillId="5" borderId="37" xfId="0" applyFont="1" applyFill="1" applyBorder="1"/>
    <xf numFmtId="0" fontId="0" fillId="44" borderId="13" xfId="0" applyFill="1" applyBorder="1"/>
    <xf numFmtId="0" fontId="29" fillId="0" borderId="57" xfId="0" applyFont="1" applyBorder="1"/>
    <xf numFmtId="44" fontId="0" fillId="44" borderId="53" xfId="0" applyNumberFormat="1" applyFill="1" applyBorder="1"/>
    <xf numFmtId="0" fontId="39" fillId="0" borderId="11" xfId="0" applyFont="1" applyBorder="1" applyAlignment="1">
      <alignment vertical="center"/>
    </xf>
    <xf numFmtId="0" fontId="29" fillId="5" borderId="52" xfId="0" applyFont="1" applyFill="1" applyBorder="1"/>
    <xf numFmtId="44" fontId="4" fillId="0" borderId="54" xfId="1" applyFont="1" applyBorder="1"/>
    <xf numFmtId="44" fontId="4" fillId="5" borderId="58" xfId="1" applyFont="1" applyFill="1" applyBorder="1"/>
    <xf numFmtId="44" fontId="4" fillId="0" borderId="11" xfId="1" applyFont="1" applyBorder="1"/>
    <xf numFmtId="0" fontId="29" fillId="5" borderId="21" xfId="0" applyFont="1" applyFill="1" applyBorder="1"/>
    <xf numFmtId="44" fontId="4" fillId="5" borderId="20" xfId="1" applyFont="1" applyFill="1" applyBorder="1"/>
    <xf numFmtId="0" fontId="29" fillId="0" borderId="11" xfId="0" applyFont="1" applyBorder="1"/>
    <xf numFmtId="0" fontId="4" fillId="0" borderId="11" xfId="0" applyFont="1" applyBorder="1"/>
    <xf numFmtId="0" fontId="29" fillId="5" borderId="33" xfId="0" applyFont="1" applyFill="1" applyBorder="1"/>
    <xf numFmtId="9" fontId="4" fillId="5" borderId="28" xfId="2" applyFont="1" applyFill="1" applyBorder="1"/>
    <xf numFmtId="0" fontId="29" fillId="41" borderId="11" xfId="0" applyFont="1" applyFill="1" applyBorder="1"/>
    <xf numFmtId="9" fontId="4" fillId="41" borderId="11" xfId="2" applyFont="1" applyFill="1" applyBorder="1"/>
    <xf numFmtId="0" fontId="29" fillId="0" borderId="15" xfId="0" applyFont="1" applyBorder="1"/>
    <xf numFmtId="0" fontId="29" fillId="5" borderId="15" xfId="0" applyFont="1" applyFill="1" applyBorder="1"/>
    <xf numFmtId="0" fontId="0" fillId="0" borderId="59" xfId="0" applyBorder="1"/>
    <xf numFmtId="0" fontId="0" fillId="0" borderId="60" xfId="0" applyBorder="1"/>
    <xf numFmtId="44" fontId="4" fillId="41" borderId="11" xfId="1" applyFont="1" applyFill="1" applyBorder="1"/>
    <xf numFmtId="44" fontId="0" fillId="0" borderId="56" xfId="1" applyFont="1" applyBorder="1"/>
    <xf numFmtId="167" fontId="0" fillId="0" borderId="11" xfId="0" applyNumberFormat="1" applyBorder="1"/>
    <xf numFmtId="44" fontId="0" fillId="0" borderId="60" xfId="1" applyFont="1" applyBorder="1"/>
    <xf numFmtId="44" fontId="0" fillId="0" borderId="59" xfId="1" applyFont="1" applyBorder="1"/>
    <xf numFmtId="0" fontId="0" fillId="0" borderId="61" xfId="0" applyBorder="1"/>
    <xf numFmtId="14" fontId="0" fillId="0" borderId="61" xfId="0" applyNumberFormat="1" applyBorder="1"/>
    <xf numFmtId="0" fontId="29" fillId="5" borderId="61" xfId="0" applyFont="1" applyFill="1" applyBorder="1"/>
    <xf numFmtId="44" fontId="4" fillId="5" borderId="61" xfId="1" applyFont="1" applyFill="1" applyBorder="1"/>
    <xf numFmtId="0" fontId="29" fillId="0" borderId="61" xfId="0" applyFont="1" applyBorder="1"/>
    <xf numFmtId="44" fontId="4" fillId="0" borderId="61" xfId="1" applyFont="1" applyBorder="1"/>
    <xf numFmtId="44" fontId="0" fillId="0" borderId="61" xfId="1" applyFont="1" applyBorder="1"/>
    <xf numFmtId="0" fontId="4" fillId="0" borderId="61" xfId="0" applyFont="1" applyBorder="1"/>
    <xf numFmtId="9" fontId="4" fillId="5" borderId="61" xfId="2" applyFont="1" applyFill="1" applyBorder="1"/>
    <xf numFmtId="0" fontId="0" fillId="44" borderId="61" xfId="0" applyFill="1" applyBorder="1"/>
    <xf numFmtId="44" fontId="0" fillId="44" borderId="61" xfId="0" applyNumberFormat="1" applyFill="1" applyBorder="1"/>
    <xf numFmtId="0" fontId="1" fillId="0" borderId="61" xfId="0" applyFont="1" applyBorder="1"/>
    <xf numFmtId="44" fontId="1" fillId="0" borderId="61" xfId="1" applyFont="1" applyBorder="1"/>
    <xf numFmtId="9" fontId="0" fillId="0" borderId="61" xfId="2" applyFont="1" applyBorder="1"/>
    <xf numFmtId="44" fontId="0" fillId="0" borderId="61" xfId="0" applyNumberFormat="1" applyBorder="1"/>
    <xf numFmtId="0" fontId="0" fillId="0" borderId="62" xfId="0" applyBorder="1"/>
    <xf numFmtId="44" fontId="0" fillId="0" borderId="62" xfId="1" applyFont="1" applyBorder="1"/>
    <xf numFmtId="0" fontId="29" fillId="0" borderId="62" xfId="0" applyFont="1" applyBorder="1"/>
    <xf numFmtId="44" fontId="4" fillId="0" borderId="62" xfId="1" applyFont="1" applyBorder="1"/>
    <xf numFmtId="0" fontId="4" fillId="0" borderId="62" xfId="0" applyFont="1" applyBorder="1"/>
    <xf numFmtId="0" fontId="0" fillId="0" borderId="38" xfId="0" applyBorder="1"/>
    <xf numFmtId="0" fontId="45" fillId="48" borderId="38" xfId="0" applyFont="1" applyFill="1" applyBorder="1" applyAlignment="1">
      <alignment vertical="center"/>
    </xf>
    <xf numFmtId="0" fontId="45" fillId="48" borderId="38" xfId="0" applyFont="1" applyFill="1" applyBorder="1" applyAlignment="1">
      <alignment horizontal="left" vertical="center" wrapText="1"/>
    </xf>
    <xf numFmtId="167" fontId="0" fillId="0" borderId="38" xfId="0" applyNumberFormat="1" applyBorder="1"/>
    <xf numFmtId="0" fontId="44" fillId="44" borderId="38" xfId="0" applyFont="1" applyFill="1" applyBorder="1" applyAlignment="1">
      <alignment vertical="center"/>
    </xf>
    <xf numFmtId="0" fontId="44" fillId="44" borderId="38" xfId="0" applyFont="1" applyFill="1" applyBorder="1" applyAlignment="1">
      <alignment horizontal="left" vertical="center" wrapText="1"/>
    </xf>
    <xf numFmtId="0" fontId="0" fillId="0" borderId="38" xfId="0" applyBorder="1" applyAlignment="1">
      <alignment horizontal="left"/>
    </xf>
    <xf numFmtId="14" fontId="33" fillId="53" borderId="38" xfId="0" applyNumberFormat="1" applyFont="1" applyFill="1" applyBorder="1" applyAlignment="1">
      <alignment horizontal="left" vertical="center" wrapText="1"/>
    </xf>
    <xf numFmtId="0" fontId="2" fillId="53" borderId="38" xfId="0" applyFont="1" applyFill="1" applyBorder="1" applyAlignment="1">
      <alignment horizontal="left"/>
    </xf>
    <xf numFmtId="167" fontId="2" fillId="53" borderId="38" xfId="1" applyNumberFormat="1" applyFont="1" applyFill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7" fontId="0" fillId="0" borderId="0" xfId="0" applyNumberFormat="1" applyAlignment="1">
      <alignment vertical="center"/>
    </xf>
    <xf numFmtId="14" fontId="0" fillId="0" borderId="0" xfId="0" applyNumberFormat="1"/>
    <xf numFmtId="167" fontId="0" fillId="0" borderId="0" xfId="0" applyNumberFormat="1"/>
    <xf numFmtId="14" fontId="33" fillId="47" borderId="38" xfId="0" applyNumberFormat="1" applyFont="1" applyFill="1" applyBorder="1" applyAlignment="1">
      <alignment horizontal="left" vertical="center" wrapText="1"/>
    </xf>
    <xf numFmtId="1" fontId="0" fillId="0" borderId="38" xfId="0" applyNumberFormat="1" applyBorder="1" applyAlignment="1">
      <alignment horizontal="center"/>
    </xf>
    <xf numFmtId="0" fontId="40" fillId="0" borderId="45" xfId="3" applyFont="1" applyBorder="1"/>
    <xf numFmtId="0" fontId="0" fillId="0" borderId="38" xfId="0" applyBorder="1" applyAlignment="1">
      <alignment horizontal="center"/>
    </xf>
    <xf numFmtId="0" fontId="43" fillId="44" borderId="38" xfId="0" applyFont="1" applyFill="1" applyBorder="1" applyAlignment="1">
      <alignment horizontal="center" vertical="center" wrapText="1"/>
    </xf>
    <xf numFmtId="0" fontId="35" fillId="48" borderId="38" xfId="0" applyFont="1" applyFill="1" applyBorder="1" applyAlignment="1">
      <alignment vertical="center"/>
    </xf>
    <xf numFmtId="0" fontId="35" fillId="48" borderId="38" xfId="0" applyFont="1" applyFill="1" applyBorder="1" applyAlignment="1">
      <alignment horizontal="center" vertical="center" wrapText="1"/>
    </xf>
    <xf numFmtId="0" fontId="43" fillId="44" borderId="38" xfId="0" applyFont="1" applyFill="1" applyBorder="1" applyAlignment="1">
      <alignment vertical="center"/>
    </xf>
    <xf numFmtId="0" fontId="0" fillId="0" borderId="38" xfId="0" applyBorder="1" applyAlignment="1">
      <alignment horizontal="left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48" xfId="0" applyBorder="1"/>
    <xf numFmtId="0" fontId="2" fillId="0" borderId="48" xfId="0" applyFont="1" applyBorder="1"/>
    <xf numFmtId="0" fontId="0" fillId="0" borderId="38" xfId="0" applyBorder="1" applyAlignment="1">
      <alignment horizontal="right"/>
    </xf>
    <xf numFmtId="167" fontId="0" fillId="0" borderId="38" xfId="0" applyNumberFormat="1" applyBorder="1" applyAlignment="1">
      <alignment horizontal="right"/>
    </xf>
    <xf numFmtId="0" fontId="5" fillId="0" borderId="63" xfId="3" applyBorder="1"/>
    <xf numFmtId="14" fontId="33" fillId="47" borderId="41" xfId="0" applyNumberFormat="1" applyFont="1" applyFill="1" applyBorder="1" applyAlignment="1">
      <alignment horizontal="left" vertical="center" wrapText="1"/>
    </xf>
    <xf numFmtId="0" fontId="0" fillId="0" borderId="41" xfId="0" applyBorder="1"/>
    <xf numFmtId="0" fontId="2" fillId="0" borderId="41" xfId="0" applyFont="1" applyBorder="1"/>
    <xf numFmtId="167" fontId="0" fillId="0" borderId="41" xfId="0" applyNumberFormat="1" applyBorder="1"/>
    <xf numFmtId="167" fontId="0" fillId="0" borderId="48" xfId="0" applyNumberFormat="1" applyBorder="1"/>
    <xf numFmtId="0" fontId="0" fillId="0" borderId="38" xfId="0" applyBorder="1" applyAlignment="1">
      <alignment vertical="center"/>
    </xf>
    <xf numFmtId="0" fontId="0" fillId="0" borderId="39" xfId="0" applyBorder="1"/>
    <xf numFmtId="167" fontId="0" fillId="0" borderId="39" xfId="0" applyNumberFormat="1" applyBorder="1"/>
    <xf numFmtId="167" fontId="2" fillId="0" borderId="38" xfId="0" applyNumberFormat="1" applyFont="1" applyBorder="1" applyAlignment="1">
      <alignment vertical="center"/>
    </xf>
    <xf numFmtId="14" fontId="33" fillId="41" borderId="38" xfId="0" applyNumberFormat="1" applyFont="1" applyFill="1" applyBorder="1" applyAlignment="1">
      <alignment horizontal="left" vertical="center" wrapText="1"/>
    </xf>
    <xf numFmtId="0" fontId="0" fillId="41" borderId="38" xfId="0" applyFill="1" applyBorder="1"/>
    <xf numFmtId="167" fontId="2" fillId="41" borderId="38" xfId="0" applyNumberFormat="1" applyFont="1" applyFill="1" applyBorder="1" applyAlignment="1">
      <alignment vertical="center"/>
    </xf>
    <xf numFmtId="0" fontId="35" fillId="41" borderId="38" xfId="0" applyFont="1" applyFill="1" applyBorder="1" applyAlignment="1">
      <alignment horizontal="left" vertical="center"/>
    </xf>
    <xf numFmtId="167" fontId="35" fillId="41" borderId="38" xfId="0" applyNumberFormat="1" applyFont="1" applyFill="1" applyBorder="1" applyAlignment="1">
      <alignment horizontal="right" vertical="center"/>
    </xf>
    <xf numFmtId="167" fontId="34" fillId="44" borderId="38" xfId="0" applyNumberFormat="1" applyFont="1" applyFill="1" applyBorder="1" applyAlignment="1">
      <alignment horizontal="right" vertical="center" wrapText="1"/>
    </xf>
    <xf numFmtId="0" fontId="0" fillId="0" borderId="48" xfId="0" applyBorder="1" applyAlignment="1">
      <alignment horizontal="left"/>
    </xf>
    <xf numFmtId="167" fontId="34" fillId="47" borderId="49" xfId="0" applyNumberFormat="1" applyFont="1" applyFill="1" applyBorder="1" applyAlignment="1">
      <alignment horizontal="right" vertical="center" wrapText="1"/>
    </xf>
    <xf numFmtId="167" fontId="34" fillId="47" borderId="38" xfId="0" applyNumberFormat="1" applyFont="1" applyFill="1" applyBorder="1" applyAlignment="1">
      <alignment horizontal="right" vertical="center" wrapText="1"/>
    </xf>
    <xf numFmtId="0" fontId="2" fillId="0" borderId="39" xfId="0" applyFont="1" applyBorder="1"/>
    <xf numFmtId="167" fontId="34" fillId="47" borderId="47" xfId="0" applyNumberFormat="1" applyFont="1" applyFill="1" applyBorder="1" applyAlignment="1">
      <alignment horizontal="right" vertical="center" wrapText="1"/>
    </xf>
    <xf numFmtId="167" fontId="34" fillId="44" borderId="47" xfId="0" applyNumberFormat="1" applyFont="1" applyFill="1" applyBorder="1" applyAlignment="1">
      <alignment horizontal="right" vertical="center" wrapText="1"/>
    </xf>
    <xf numFmtId="167" fontId="49" fillId="0" borderId="38" xfId="0" applyNumberFormat="1" applyFont="1" applyBorder="1" applyAlignment="1">
      <alignment horizontal="center" vertical="center"/>
    </xf>
    <xf numFmtId="167" fontId="48" fillId="0" borderId="38" xfId="0" applyNumberFormat="1" applyFont="1" applyBorder="1"/>
    <xf numFmtId="164" fontId="0" fillId="0" borderId="0" xfId="0" applyNumberFormat="1"/>
    <xf numFmtId="44" fontId="0" fillId="0" borderId="11" xfId="1" applyFont="1" applyBorder="1" applyAlignment="1">
      <alignment horizontal="center" vertical="center"/>
    </xf>
    <xf numFmtId="44" fontId="0" fillId="0" borderId="61" xfId="1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4" fontId="2" fillId="0" borderId="11" xfId="1" applyFont="1" applyBorder="1" applyAlignment="1">
      <alignment horizontal="center" vertical="center"/>
    </xf>
    <xf numFmtId="44" fontId="50" fillId="0" borderId="11" xfId="1" applyFont="1" applyBorder="1" applyAlignment="1">
      <alignment horizontal="center" vertical="center"/>
    </xf>
    <xf numFmtId="8" fontId="0" fillId="0" borderId="0" xfId="0" applyNumberFormat="1"/>
    <xf numFmtId="44" fontId="1" fillId="0" borderId="65" xfId="1" applyFont="1" applyBorder="1"/>
    <xf numFmtId="44" fontId="0" fillId="0" borderId="65" xfId="1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4" fontId="0" fillId="0" borderId="65" xfId="0" applyNumberFormat="1" applyBorder="1"/>
    <xf numFmtId="0" fontId="1" fillId="0" borderId="66" xfId="0" applyFont="1" applyBorder="1"/>
    <xf numFmtId="9" fontId="0" fillId="0" borderId="66" xfId="2" applyFont="1" applyBorder="1"/>
    <xf numFmtId="0" fontId="0" fillId="0" borderId="66" xfId="0" applyBorder="1"/>
    <xf numFmtId="44" fontId="0" fillId="0" borderId="67" xfId="0" applyNumberFormat="1" applyBorder="1"/>
    <xf numFmtId="44" fontId="0" fillId="0" borderId="12" xfId="0" applyNumberFormat="1" applyBorder="1"/>
    <xf numFmtId="44" fontId="0" fillId="0" borderId="69" xfId="0" applyNumberFormat="1" applyBorder="1"/>
    <xf numFmtId="0" fontId="0" fillId="0" borderId="68" xfId="0" applyBorder="1"/>
    <xf numFmtId="44" fontId="0" fillId="54" borderId="68" xfId="0" applyNumberFormat="1" applyFill="1" applyBorder="1"/>
    <xf numFmtId="44" fontId="0" fillId="54" borderId="67" xfId="0" applyNumberFormat="1" applyFill="1" applyBorder="1"/>
    <xf numFmtId="44" fontId="0" fillId="54" borderId="12" xfId="0" applyNumberFormat="1" applyFill="1" applyBorder="1"/>
    <xf numFmtId="44" fontId="0" fillId="0" borderId="71" xfId="1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4" fontId="0" fillId="0" borderId="70" xfId="1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55" borderId="12" xfId="0" applyFont="1" applyFill="1" applyBorder="1" applyAlignment="1">
      <alignment horizontal="center" vertical="center"/>
    </xf>
    <xf numFmtId="167" fontId="4" fillId="55" borderId="12" xfId="0" applyNumberFormat="1" applyFont="1" applyFill="1" applyBorder="1" applyAlignment="1">
      <alignment horizontal="center" vertical="center"/>
    </xf>
    <xf numFmtId="44" fontId="52" fillId="41" borderId="12" xfId="1" applyFont="1" applyFill="1" applyBorder="1" applyAlignment="1">
      <alignment horizontal="right" vertical="center"/>
    </xf>
    <xf numFmtId="0" fontId="53" fillId="41" borderId="12" xfId="0" applyFont="1" applyFill="1" applyBorder="1" applyAlignment="1">
      <alignment horizontal="right" vertical="center"/>
    </xf>
    <xf numFmtId="44" fontId="0" fillId="0" borderId="11" xfId="1" applyFont="1" applyBorder="1" applyAlignment="1">
      <alignment vertical="center"/>
    </xf>
    <xf numFmtId="0" fontId="4" fillId="55" borderId="11" xfId="0" applyFont="1" applyFill="1" applyBorder="1" applyAlignment="1">
      <alignment horizontal="center" vertical="center"/>
    </xf>
    <xf numFmtId="44" fontId="55" fillId="55" borderId="64" xfId="1" applyFont="1" applyFill="1" applyBorder="1" applyAlignment="1">
      <alignment horizontal="center" vertical="center"/>
    </xf>
    <xf numFmtId="44" fontId="0" fillId="0" borderId="44" xfId="1" applyFont="1" applyBorder="1" applyAlignment="1">
      <alignment vertical="center"/>
    </xf>
    <xf numFmtId="0" fontId="0" fillId="0" borderId="82" xfId="0" applyBorder="1"/>
    <xf numFmtId="44" fontId="0" fillId="0" borderId="83" xfId="0" applyNumberFormat="1" applyBorder="1"/>
    <xf numFmtId="0" fontId="0" fillId="0" borderId="86" xfId="0" applyBorder="1"/>
    <xf numFmtId="44" fontId="0" fillId="0" borderId="87" xfId="0" applyNumberFormat="1" applyBorder="1"/>
    <xf numFmtId="0" fontId="0" fillId="0" borderId="80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44" fontId="0" fillId="0" borderId="81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44" fontId="0" fillId="0" borderId="8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4" fontId="0" fillId="0" borderId="81" xfId="0" applyNumberFormat="1" applyBorder="1"/>
    <xf numFmtId="0" fontId="0" fillId="0" borderId="30" xfId="0" applyBorder="1"/>
    <xf numFmtId="0" fontId="0" fillId="0" borderId="80" xfId="0" applyBorder="1"/>
    <xf numFmtId="0" fontId="0" fillId="0" borderId="88" xfId="0" applyBorder="1"/>
    <xf numFmtId="0" fontId="0" fillId="0" borderId="89" xfId="0" applyBorder="1"/>
    <xf numFmtId="0" fontId="0" fillId="0" borderId="90" xfId="0" applyBorder="1"/>
    <xf numFmtId="167" fontId="0" fillId="0" borderId="91" xfId="0" applyNumberFormat="1" applyBorder="1"/>
    <xf numFmtId="167" fontId="0" fillId="0" borderId="92" xfId="0" applyNumberFormat="1" applyBorder="1"/>
    <xf numFmtId="0" fontId="0" fillId="0" borderId="56" xfId="0" applyBorder="1"/>
    <xf numFmtId="44" fontId="52" fillId="0" borderId="93" xfId="1" applyFont="1" applyBorder="1" applyAlignment="1">
      <alignment horizontal="right" vertical="center"/>
    </xf>
    <xf numFmtId="0" fontId="26" fillId="0" borderId="0" xfId="0" applyFont="1" applyAlignment="1">
      <alignment horizontal="center"/>
    </xf>
    <xf numFmtId="167" fontId="30" fillId="40" borderId="19" xfId="1" applyNumberFormat="1" applyFont="1" applyFill="1" applyBorder="1"/>
    <xf numFmtId="167" fontId="5" fillId="0" borderId="0" xfId="1" applyNumberFormat="1" applyFont="1" applyAlignment="1">
      <alignment vertical="center"/>
    </xf>
    <xf numFmtId="167" fontId="40" fillId="0" borderId="0" xfId="1" applyNumberFormat="1" applyFont="1" applyAlignment="1">
      <alignment vertical="center"/>
    </xf>
    <xf numFmtId="167" fontId="0" fillId="0" borderId="0" xfId="1" applyNumberFormat="1" applyFont="1"/>
    <xf numFmtId="0" fontId="0" fillId="0" borderId="0" xfId="0" applyAlignment="1">
      <alignment horizontal="center"/>
    </xf>
    <xf numFmtId="14" fontId="0" fillId="0" borderId="6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164" fontId="0" fillId="0" borderId="6" xfId="0" applyNumberFormat="1" applyBorder="1" applyAlignment="1">
      <alignment horizontal="left" vertical="center"/>
    </xf>
    <xf numFmtId="167" fontId="48" fillId="0" borderId="38" xfId="1" applyNumberFormat="1" applyFont="1" applyBorder="1" applyAlignment="1">
      <alignment horizontal="left"/>
    </xf>
    <xf numFmtId="167" fontId="56" fillId="0" borderId="38" xfId="0" applyNumberFormat="1" applyFont="1" applyBorder="1"/>
    <xf numFmtId="167" fontId="56" fillId="47" borderId="38" xfId="0" applyNumberFormat="1" applyFont="1" applyFill="1" applyBorder="1" applyAlignment="1">
      <alignment horizontal="right" vertical="center" wrapText="1"/>
    </xf>
    <xf numFmtId="167" fontId="56" fillId="44" borderId="38" xfId="0" applyNumberFormat="1" applyFont="1" applyFill="1" applyBorder="1" applyAlignment="1">
      <alignment horizontal="right" vertical="center" wrapText="1"/>
    </xf>
    <xf numFmtId="0" fontId="57" fillId="44" borderId="38" xfId="0" applyFont="1" applyFill="1" applyBorder="1" applyAlignment="1">
      <alignment horizontal="left" vertical="center" wrapText="1"/>
    </xf>
    <xf numFmtId="0" fontId="57" fillId="47" borderId="38" xfId="0" applyFont="1" applyFill="1" applyBorder="1" applyAlignment="1">
      <alignment horizontal="left" vertical="center" wrapText="1"/>
    </xf>
    <xf numFmtId="0" fontId="0" fillId="0" borderId="41" xfId="0" applyBorder="1" applyAlignment="1">
      <alignment horizontal="left"/>
    </xf>
    <xf numFmtId="0" fontId="0" fillId="41" borderId="38" xfId="0" applyFill="1" applyBorder="1" applyAlignment="1">
      <alignment horizontal="left"/>
    </xf>
    <xf numFmtId="167" fontId="56" fillId="44" borderId="41" xfId="0" applyNumberFormat="1" applyFont="1" applyFill="1" applyBorder="1" applyAlignment="1">
      <alignment horizontal="right" vertical="center" wrapText="1"/>
    </xf>
    <xf numFmtId="0" fontId="33" fillId="48" borderId="38" xfId="0" applyFont="1" applyFill="1" applyBorder="1" applyAlignment="1">
      <alignment horizontal="left" vertical="center" wrapText="1"/>
    </xf>
    <xf numFmtId="167" fontId="0" fillId="0" borderId="38" xfId="1" applyNumberFormat="1" applyFont="1" applyBorder="1"/>
    <xf numFmtId="0" fontId="33" fillId="44" borderId="38" xfId="0" applyFont="1" applyFill="1" applyBorder="1" applyAlignment="1">
      <alignment horizontal="left" vertical="center" wrapText="1"/>
    </xf>
    <xf numFmtId="0" fontId="57" fillId="44" borderId="38" xfId="0" applyFont="1" applyFill="1" applyBorder="1" applyAlignment="1">
      <alignment horizontal="center" vertical="center" wrapText="1"/>
    </xf>
    <xf numFmtId="167" fontId="2" fillId="0" borderId="39" xfId="0" applyNumberFormat="1" applyFont="1" applyBorder="1" applyAlignment="1">
      <alignment vertical="center"/>
    </xf>
    <xf numFmtId="167" fontId="2" fillId="0" borderId="41" xfId="0" applyNumberFormat="1" applyFont="1" applyBorder="1" applyAlignment="1">
      <alignment vertical="center"/>
    </xf>
    <xf numFmtId="0" fontId="0" fillId="41" borderId="39" xfId="0" applyFill="1" applyBorder="1"/>
    <xf numFmtId="0" fontId="0" fillId="41" borderId="39" xfId="0" applyFill="1" applyBorder="1" applyAlignment="1">
      <alignment horizontal="left"/>
    </xf>
    <xf numFmtId="167" fontId="2" fillId="41" borderId="39" xfId="0" applyNumberFormat="1" applyFont="1" applyFill="1" applyBorder="1" applyAlignment="1">
      <alignment vertical="center"/>
    </xf>
    <xf numFmtId="0" fontId="35" fillId="41" borderId="41" xfId="0" applyFont="1" applyFill="1" applyBorder="1" applyAlignment="1">
      <alignment horizontal="left" vertical="center"/>
    </xf>
    <xf numFmtId="0" fontId="0" fillId="41" borderId="41" xfId="0" applyFill="1" applyBorder="1" applyAlignment="1">
      <alignment horizontal="left"/>
    </xf>
    <xf numFmtId="167" fontId="35" fillId="41" borderId="41" xfId="0" applyNumberFormat="1" applyFont="1" applyFill="1" applyBorder="1" applyAlignment="1">
      <alignment horizontal="right" vertical="center"/>
    </xf>
    <xf numFmtId="0" fontId="45" fillId="48" borderId="38" xfId="0" applyFont="1" applyFill="1" applyBorder="1" applyAlignment="1">
      <alignment horizontal="left" vertical="center"/>
    </xf>
    <xf numFmtId="167" fontId="45" fillId="48" borderId="38" xfId="0" applyNumberFormat="1" applyFont="1" applyFill="1" applyBorder="1" applyAlignment="1">
      <alignment horizontal="right" vertical="center"/>
    </xf>
    <xf numFmtId="0" fontId="45" fillId="44" borderId="38" xfId="0" applyFont="1" applyFill="1" applyBorder="1" applyAlignment="1">
      <alignment horizontal="left" vertical="center"/>
    </xf>
    <xf numFmtId="167" fontId="45" fillId="44" borderId="38" xfId="0" applyNumberFormat="1" applyFont="1" applyFill="1" applyBorder="1" applyAlignment="1">
      <alignment horizontal="right" vertical="center"/>
    </xf>
    <xf numFmtId="0" fontId="58" fillId="0" borderId="38" xfId="0" applyFont="1" applyBorder="1" applyAlignment="1">
      <alignment horizontal="left" vertical="center" wrapText="1"/>
    </xf>
    <xf numFmtId="0" fontId="59" fillId="0" borderId="38" xfId="0" applyFont="1" applyBorder="1" applyAlignment="1">
      <alignment horizontal="center" vertical="center" wrapText="1"/>
    </xf>
    <xf numFmtId="0" fontId="60" fillId="0" borderId="38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center" vertical="center" wrapText="1"/>
    </xf>
    <xf numFmtId="0" fontId="44" fillId="44" borderId="38" xfId="0" applyFont="1" applyFill="1" applyBorder="1" applyAlignment="1">
      <alignment horizontal="center" vertical="center" wrapText="1"/>
    </xf>
    <xf numFmtId="0" fontId="45" fillId="48" borderId="38" xfId="0" applyFont="1" applyFill="1" applyBorder="1" applyAlignment="1">
      <alignment horizontal="center" vertical="center" wrapText="1"/>
    </xf>
    <xf numFmtId="0" fontId="62" fillId="0" borderId="38" xfId="0" applyFont="1" applyBorder="1" applyAlignment="1">
      <alignment horizontal="left" vertical="center" wrapText="1"/>
    </xf>
    <xf numFmtId="167" fontId="61" fillId="0" borderId="38" xfId="0" applyNumberFormat="1" applyFont="1" applyBorder="1" applyAlignment="1">
      <alignment vertical="center" wrapText="1"/>
    </xf>
    <xf numFmtId="1" fontId="0" fillId="0" borderId="38" xfId="0" applyNumberFormat="1" applyBorder="1" applyAlignment="1">
      <alignment horizontal="left"/>
    </xf>
    <xf numFmtId="0" fontId="43" fillId="44" borderId="38" xfId="0" applyFont="1" applyFill="1" applyBorder="1" applyAlignment="1">
      <alignment horizontal="left" vertical="center" wrapText="1"/>
    </xf>
    <xf numFmtId="0" fontId="35" fillId="48" borderId="38" xfId="0" applyFont="1" applyFill="1" applyBorder="1" applyAlignment="1">
      <alignment horizontal="left" vertical="center" wrapText="1"/>
    </xf>
    <xf numFmtId="0" fontId="59" fillId="0" borderId="38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left" vertical="center" wrapText="1"/>
    </xf>
    <xf numFmtId="0" fontId="1" fillId="0" borderId="0" xfId="0" applyFont="1" applyAlignment="1">
      <alignment horizontal="center"/>
    </xf>
    <xf numFmtId="1" fontId="5" fillId="0" borderId="6" xfId="3" applyNumberFormat="1" applyBorder="1" applyAlignment="1">
      <alignment horizontal="center"/>
    </xf>
    <xf numFmtId="0" fontId="5" fillId="0" borderId="6" xfId="3" applyBorder="1" applyAlignment="1">
      <alignment horizontal="center"/>
    </xf>
    <xf numFmtId="0" fontId="5" fillId="3" borderId="6" xfId="3" applyFill="1" applyBorder="1" applyAlignment="1">
      <alignment horizontal="center" vertical="center" wrapText="1"/>
    </xf>
    <xf numFmtId="0" fontId="5" fillId="4" borderId="6" xfId="3" applyFill="1" applyBorder="1" applyAlignment="1">
      <alignment horizontal="center" vertical="center" wrapText="1"/>
    </xf>
    <xf numFmtId="0" fontId="7" fillId="4" borderId="6" xfId="3" applyFont="1" applyFill="1" applyBorder="1" applyAlignment="1">
      <alignment horizontal="center" vertical="center" wrapText="1"/>
    </xf>
    <xf numFmtId="0" fontId="8" fillId="3" borderId="6" xfId="3" applyFont="1" applyFill="1" applyBorder="1" applyAlignment="1">
      <alignment horizontal="center" vertical="center" wrapText="1"/>
    </xf>
    <xf numFmtId="0" fontId="9" fillId="3" borderId="6" xfId="3" applyFont="1" applyFill="1" applyBorder="1" applyAlignment="1">
      <alignment horizontal="center" vertical="top" wrapText="1"/>
    </xf>
    <xf numFmtId="0" fontId="10" fillId="0" borderId="6" xfId="3" applyFont="1" applyBorder="1" applyAlignment="1">
      <alignment horizontal="center"/>
    </xf>
    <xf numFmtId="0" fontId="43" fillId="0" borderId="0" xfId="0" applyFont="1" applyAlignment="1">
      <alignment horizontal="center" vertical="center" wrapText="1"/>
    </xf>
    <xf numFmtId="0" fontId="43" fillId="0" borderId="50" xfId="0" applyFont="1" applyBorder="1" applyAlignment="1">
      <alignment horizontal="center" vertical="center" wrapText="1"/>
    </xf>
    <xf numFmtId="0" fontId="40" fillId="51" borderId="38" xfId="0" applyFont="1" applyFill="1" applyBorder="1" applyAlignment="1">
      <alignment horizontal="center" vertical="center" wrapText="1"/>
    </xf>
    <xf numFmtId="0" fontId="40" fillId="50" borderId="38" xfId="0" applyFont="1" applyFill="1" applyBorder="1" applyAlignment="1">
      <alignment horizontal="center" vertical="center" wrapText="1"/>
    </xf>
    <xf numFmtId="0" fontId="44" fillId="51" borderId="50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45" fillId="50" borderId="0" xfId="0" applyFont="1" applyFill="1" applyAlignment="1">
      <alignment horizontal="center" vertical="center" wrapText="1"/>
    </xf>
    <xf numFmtId="0" fontId="45" fillId="50" borderId="50" xfId="0" applyFont="1" applyFill="1" applyBorder="1" applyAlignment="1">
      <alignment horizontal="center" vertical="center" wrapText="1"/>
    </xf>
    <xf numFmtId="0" fontId="34" fillId="51" borderId="38" xfId="0" applyFont="1" applyFill="1" applyBorder="1" applyAlignment="1">
      <alignment horizontal="center" vertical="top" wrapText="1"/>
    </xf>
    <xf numFmtId="0" fontId="2" fillId="0" borderId="48" xfId="0" applyFont="1" applyBorder="1" applyAlignment="1">
      <alignment horizontal="center"/>
    </xf>
    <xf numFmtId="0" fontId="34" fillId="44" borderId="38" xfId="0" applyFont="1" applyFill="1" applyBorder="1" applyAlignment="1">
      <alignment vertical="top" wrapText="1"/>
    </xf>
    <xf numFmtId="0" fontId="34" fillId="44" borderId="38" xfId="0" applyFont="1" applyFill="1" applyBorder="1" applyAlignment="1">
      <alignment horizontal="right" vertical="top" wrapText="1"/>
    </xf>
    <xf numFmtId="167" fontId="34" fillId="44" borderId="38" xfId="0" applyNumberFormat="1" applyFont="1" applyFill="1" applyBorder="1" applyAlignment="1">
      <alignment vertical="top" wrapText="1"/>
    </xf>
    <xf numFmtId="167" fontId="63" fillId="0" borderId="38" xfId="0" applyNumberFormat="1" applyFont="1" applyBorder="1" applyAlignment="1">
      <alignment vertical="center" wrapText="1"/>
    </xf>
    <xf numFmtId="0" fontId="60" fillId="0" borderId="0" xfId="0" applyFont="1" applyAlignment="1">
      <alignment horizontal="left" vertical="center" wrapText="1"/>
    </xf>
    <xf numFmtId="0" fontId="61" fillId="0" borderId="0" xfId="0" applyFont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horizontal="left" vertical="center" wrapText="1"/>
    </xf>
    <xf numFmtId="14" fontId="33" fillId="46" borderId="39" xfId="0" applyNumberFormat="1" applyFont="1" applyFill="1" applyBorder="1" applyAlignment="1">
      <alignment horizontal="left" vertical="center" wrapText="1"/>
    </xf>
    <xf numFmtId="0" fontId="33" fillId="46" borderId="41" xfId="0" applyFont="1" applyFill="1" applyBorder="1" applyAlignment="1">
      <alignment vertical="center" wrapText="1"/>
    </xf>
    <xf numFmtId="0" fontId="33" fillId="46" borderId="41" xfId="0" applyFont="1" applyFill="1" applyBorder="1" applyAlignment="1">
      <alignment horizontal="center" vertical="center" wrapText="1"/>
    </xf>
    <xf numFmtId="167" fontId="33" fillId="46" borderId="41" xfId="0" applyNumberFormat="1" applyFont="1" applyFill="1" applyBorder="1" applyAlignment="1">
      <alignment horizontal="right" vertical="center" wrapText="1"/>
    </xf>
    <xf numFmtId="0" fontId="46" fillId="0" borderId="38" xfId="0" applyFont="1" applyBorder="1" applyAlignment="1">
      <alignment horizontal="left" vertical="center" wrapText="1"/>
    </xf>
    <xf numFmtId="0" fontId="47" fillId="0" borderId="38" xfId="0" applyFont="1" applyBorder="1" applyAlignment="1">
      <alignment horizontal="left" vertical="center" wrapText="1"/>
    </xf>
    <xf numFmtId="14" fontId="33" fillId="46" borderId="48" xfId="0" applyNumberFormat="1" applyFont="1" applyFill="1" applyBorder="1" applyAlignment="1">
      <alignment horizontal="left" vertical="center" wrapText="1"/>
    </xf>
    <xf numFmtId="0" fontId="2" fillId="0" borderId="41" xfId="0" applyFont="1" applyBorder="1" applyAlignment="1">
      <alignment horizontal="left"/>
    </xf>
    <xf numFmtId="167" fontId="2" fillId="0" borderId="41" xfId="1" applyNumberFormat="1" applyFont="1" applyBorder="1" applyAlignment="1">
      <alignment horizontal="left"/>
    </xf>
    <xf numFmtId="166" fontId="0" fillId="0" borderId="0" xfId="0" applyNumberFormat="1" applyAlignment="1">
      <alignment vertical="center"/>
    </xf>
    <xf numFmtId="0" fontId="0" fillId="37" borderId="61" xfId="0" applyFill="1" applyBorder="1" applyAlignment="1">
      <alignment horizontal="center" vertical="center"/>
    </xf>
    <xf numFmtId="44" fontId="0" fillId="0" borderId="61" xfId="1" applyFont="1" applyBorder="1" applyAlignment="1">
      <alignment horizontal="center" vertical="center"/>
    </xf>
    <xf numFmtId="44" fontId="0" fillId="38" borderId="61" xfId="1" applyFont="1" applyFill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7" fillId="0" borderId="59" xfId="0" applyFont="1" applyBorder="1" applyAlignment="1">
      <alignment horizontal="center" vertical="center"/>
    </xf>
    <xf numFmtId="0" fontId="0" fillId="43" borderId="61" xfId="0" applyFill="1" applyBorder="1" applyAlignment="1">
      <alignment horizontal="center"/>
    </xf>
    <xf numFmtId="44" fontId="0" fillId="0" borderId="72" xfId="1" applyFont="1" applyBorder="1" applyAlignment="1">
      <alignment horizontal="center" vertical="center"/>
    </xf>
    <xf numFmtId="44" fontId="0" fillId="0" borderId="73" xfId="1" applyFont="1" applyBorder="1" applyAlignment="1">
      <alignment horizontal="center" vertical="center"/>
    </xf>
    <xf numFmtId="44" fontId="0" fillId="39" borderId="72" xfId="1" applyFont="1" applyFill="1" applyBorder="1" applyAlignment="1">
      <alignment horizontal="center" vertical="center"/>
    </xf>
    <xf numFmtId="44" fontId="0" fillId="39" borderId="73" xfId="1" applyFont="1" applyFill="1" applyBorder="1" applyAlignment="1">
      <alignment horizontal="center" vertical="center"/>
    </xf>
    <xf numFmtId="44" fontId="0" fillId="0" borderId="61" xfId="0" applyNumberFormat="1" applyBorder="1" applyAlignment="1">
      <alignment horizontal="center"/>
    </xf>
    <xf numFmtId="44" fontId="0" fillId="39" borderId="61" xfId="1" applyFont="1" applyFill="1" applyBorder="1" applyAlignment="1">
      <alignment horizontal="center" vertical="center"/>
    </xf>
    <xf numFmtId="0" fontId="0" fillId="42" borderId="61" xfId="0" applyFill="1" applyBorder="1" applyAlignment="1">
      <alignment horizontal="center" vertical="center"/>
    </xf>
    <xf numFmtId="0" fontId="0" fillId="37" borderId="72" xfId="0" applyFill="1" applyBorder="1" applyAlignment="1">
      <alignment horizontal="center" vertical="center"/>
    </xf>
    <xf numFmtId="0" fontId="0" fillId="37" borderId="73" xfId="0" applyFill="1" applyBorder="1" applyAlignment="1">
      <alignment horizontal="center" vertical="center"/>
    </xf>
    <xf numFmtId="0" fontId="3" fillId="0" borderId="78" xfId="50" applyFont="1" applyBorder="1" applyAlignment="1">
      <alignment horizontal="center" vertical="center"/>
    </xf>
    <xf numFmtId="0" fontId="3" fillId="0" borderId="79" xfId="50" applyFont="1" applyBorder="1" applyAlignment="1">
      <alignment horizontal="center" vertical="center"/>
    </xf>
    <xf numFmtId="0" fontId="3" fillId="0" borderId="78" xfId="50" applyFont="1" applyBorder="1" applyAlignment="1">
      <alignment horizontal="center" vertical="center" wrapText="1"/>
    </xf>
    <xf numFmtId="0" fontId="3" fillId="0" borderId="79" xfId="50" applyFont="1" applyBorder="1" applyAlignment="1">
      <alignment horizontal="center" vertical="center" wrapText="1"/>
    </xf>
    <xf numFmtId="0" fontId="0" fillId="56" borderId="54" xfId="0" applyFill="1" applyBorder="1" applyAlignment="1">
      <alignment horizontal="center" vertical="center"/>
    </xf>
    <xf numFmtId="0" fontId="0" fillId="56" borderId="74" xfId="0" applyFill="1" applyBorder="1" applyAlignment="1">
      <alignment horizontal="center" vertical="center"/>
    </xf>
    <xf numFmtId="44" fontId="0" fillId="41" borderId="76" xfId="0" applyNumberFormat="1" applyFill="1" applyBorder="1" applyAlignment="1">
      <alignment horizontal="center" vertical="center"/>
    </xf>
    <xf numFmtId="44" fontId="0" fillId="41" borderId="77" xfId="0" applyNumberFormat="1" applyFill="1" applyBorder="1" applyAlignment="1">
      <alignment horizontal="center" vertical="center"/>
    </xf>
    <xf numFmtId="44" fontId="0" fillId="38" borderId="75" xfId="1" applyFont="1" applyFill="1" applyBorder="1" applyAlignment="1">
      <alignment horizontal="center" vertical="center"/>
    </xf>
    <xf numFmtId="44" fontId="0" fillId="38" borderId="51" xfId="1" applyFont="1" applyFill="1" applyBorder="1" applyAlignment="1">
      <alignment horizontal="center" vertical="center"/>
    </xf>
    <xf numFmtId="44" fontId="0" fillId="0" borderId="75" xfId="1" applyFont="1" applyBorder="1" applyAlignment="1">
      <alignment horizontal="center" vertical="center"/>
    </xf>
    <xf numFmtId="44" fontId="0" fillId="0" borderId="51" xfId="1" applyFont="1" applyBorder="1" applyAlignment="1">
      <alignment horizontal="center" vertical="center"/>
    </xf>
    <xf numFmtId="0" fontId="0" fillId="42" borderId="75" xfId="0" applyFill="1" applyBorder="1" applyAlignment="1">
      <alignment horizontal="center" vertical="center"/>
    </xf>
    <xf numFmtId="0" fontId="0" fillId="42" borderId="51" xfId="0" applyFill="1" applyBorder="1" applyAlignment="1">
      <alignment horizontal="center" vertical="center"/>
    </xf>
    <xf numFmtId="44" fontId="0" fillId="0" borderId="12" xfId="0" applyNumberFormat="1" applyBorder="1" applyAlignment="1">
      <alignment horizontal="center" vertical="center"/>
    </xf>
    <xf numFmtId="0" fontId="54" fillId="0" borderId="84" xfId="50" applyFont="1" applyBorder="1" applyAlignment="1">
      <alignment horizontal="center"/>
    </xf>
    <xf numFmtId="0" fontId="54" fillId="0" borderId="85" xfId="50" applyFont="1" applyBorder="1" applyAlignment="1">
      <alignment horizontal="center"/>
    </xf>
    <xf numFmtId="0" fontId="0" fillId="43" borderId="20" xfId="0" applyFill="1" applyBorder="1" applyAlignment="1">
      <alignment horizontal="center" vertical="center"/>
    </xf>
    <xf numFmtId="0" fontId="0" fillId="43" borderId="21" xfId="0" applyFill="1" applyBorder="1" applyAlignment="1">
      <alignment horizontal="center" vertical="center"/>
    </xf>
    <xf numFmtId="0" fontId="0" fillId="43" borderId="22" xfId="0" applyFill="1" applyBorder="1" applyAlignment="1">
      <alignment horizontal="center" vertical="center"/>
    </xf>
    <xf numFmtId="0" fontId="0" fillId="43" borderId="23" xfId="0" applyFill="1" applyBorder="1" applyAlignment="1">
      <alignment horizontal="center" vertical="center"/>
    </xf>
    <xf numFmtId="44" fontId="0" fillId="39" borderId="28" xfId="1" applyFont="1" applyFill="1" applyBorder="1" applyAlignment="1">
      <alignment horizontal="center" vertical="center"/>
    </xf>
    <xf numFmtId="44" fontId="0" fillId="0" borderId="11" xfId="1" applyFont="1" applyBorder="1" applyAlignment="1">
      <alignment horizontal="center" vertical="center"/>
    </xf>
    <xf numFmtId="44" fontId="0" fillId="38" borderId="55" xfId="1" applyFont="1" applyFill="1" applyBorder="1" applyAlignment="1">
      <alignment horizontal="center" vertical="center"/>
    </xf>
    <xf numFmtId="44" fontId="0" fillId="38" borderId="0" xfId="1" applyFont="1" applyFill="1" applyBorder="1" applyAlignment="1">
      <alignment horizontal="center" vertical="center"/>
    </xf>
    <xf numFmtId="44" fontId="0" fillId="0" borderId="43" xfId="0" applyNumberFormat="1" applyBorder="1" applyAlignment="1">
      <alignment horizontal="center" vertical="center"/>
    </xf>
    <xf numFmtId="44" fontId="0" fillId="0" borderId="56" xfId="0" applyNumberFormat="1" applyBorder="1" applyAlignment="1">
      <alignment horizontal="center" vertical="center"/>
    </xf>
    <xf numFmtId="44" fontId="0" fillId="0" borderId="44" xfId="1" applyFont="1" applyBorder="1" applyAlignment="1">
      <alignment horizontal="center" vertical="center"/>
    </xf>
    <xf numFmtId="44" fontId="0" fillId="0" borderId="55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44" fontId="0" fillId="38" borderId="34" xfId="1" applyFont="1" applyFill="1" applyBorder="1" applyAlignment="1">
      <alignment horizontal="center" vertical="center"/>
    </xf>
    <xf numFmtId="44" fontId="0" fillId="38" borderId="36" xfId="1" applyFont="1" applyFill="1" applyBorder="1" applyAlignment="1">
      <alignment horizontal="center" vertical="center"/>
    </xf>
    <xf numFmtId="44" fontId="0" fillId="0" borderId="35" xfId="1" applyFont="1" applyBorder="1" applyAlignment="1">
      <alignment horizontal="center" vertical="center"/>
    </xf>
    <xf numFmtId="44" fontId="0" fillId="0" borderId="33" xfId="1" applyFont="1" applyBorder="1" applyAlignment="1">
      <alignment horizontal="center" vertical="center"/>
    </xf>
    <xf numFmtId="0" fontId="0" fillId="43" borderId="54" xfId="0" applyFill="1" applyBorder="1" applyAlignment="1">
      <alignment horizontal="center" vertical="center"/>
    </xf>
    <xf numFmtId="0" fontId="0" fillId="43" borderId="51" xfId="0" applyFill="1" applyBorder="1" applyAlignment="1">
      <alignment horizontal="center" vertical="center"/>
    </xf>
    <xf numFmtId="44" fontId="0" fillId="39" borderId="44" xfId="1" applyFont="1" applyFill="1" applyBorder="1" applyAlignment="1">
      <alignment horizontal="center" vertical="center"/>
    </xf>
    <xf numFmtId="44" fontId="0" fillId="39" borderId="51" xfId="1" applyFont="1" applyFill="1" applyBorder="1" applyAlignment="1">
      <alignment horizontal="center" vertical="center"/>
    </xf>
    <xf numFmtId="0" fontId="0" fillId="42" borderId="17" xfId="0" applyFill="1" applyBorder="1" applyAlignment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37" borderId="44" xfId="0" applyFill="1" applyBorder="1" applyAlignment="1">
      <alignment horizontal="center" vertical="center"/>
    </xf>
    <xf numFmtId="0" fontId="0" fillId="37" borderId="51" xfId="0" applyFill="1" applyBorder="1" applyAlignment="1">
      <alignment horizontal="center" vertical="center"/>
    </xf>
    <xf numFmtId="0" fontId="0" fillId="42" borderId="30" xfId="0" applyFill="1" applyBorder="1" applyAlignment="1">
      <alignment horizontal="center" vertical="center"/>
    </xf>
    <xf numFmtId="0" fontId="0" fillId="42" borderId="24" xfId="0" applyFill="1" applyBorder="1" applyAlignment="1">
      <alignment horizontal="center" vertical="center"/>
    </xf>
    <xf numFmtId="44" fontId="0" fillId="0" borderId="31" xfId="0" applyNumberFormat="1" applyBorder="1" applyAlignment="1">
      <alignment horizontal="center"/>
    </xf>
    <xf numFmtId="44" fontId="0" fillId="0" borderId="25" xfId="0" applyNumberFormat="1" applyBorder="1" applyAlignment="1">
      <alignment horizontal="center"/>
    </xf>
    <xf numFmtId="0" fontId="0" fillId="37" borderId="32" xfId="0" applyFill="1" applyBorder="1" applyAlignment="1">
      <alignment horizontal="center" vertical="center"/>
    </xf>
    <xf numFmtId="0" fontId="0" fillId="37" borderId="28" xfId="0" applyFill="1" applyBorder="1" applyAlignment="1">
      <alignment horizontal="center" vertical="center"/>
    </xf>
    <xf numFmtId="44" fontId="0" fillId="0" borderId="29" xfId="1" applyFont="1" applyBorder="1" applyAlignment="1">
      <alignment horizontal="center" vertical="center"/>
    </xf>
    <xf numFmtId="0" fontId="0" fillId="0" borderId="59" xfId="0" applyBorder="1" applyAlignment="1">
      <alignment horizontal="center"/>
    </xf>
    <xf numFmtId="0" fontId="0" fillId="42" borderId="72" xfId="0" applyFill="1" applyBorder="1" applyAlignment="1">
      <alignment horizontal="center" vertical="center"/>
    </xf>
    <xf numFmtId="0" fontId="0" fillId="42" borderId="73" xfId="0" applyFill="1" applyBorder="1" applyAlignment="1">
      <alignment horizontal="center" vertical="center"/>
    </xf>
    <xf numFmtId="44" fontId="0" fillId="0" borderId="72" xfId="0" applyNumberFormat="1" applyBorder="1" applyAlignment="1">
      <alignment horizontal="center"/>
    </xf>
    <xf numFmtId="44" fontId="0" fillId="0" borderId="73" xfId="0" applyNumberFormat="1" applyBorder="1" applyAlignment="1">
      <alignment horizontal="center"/>
    </xf>
    <xf numFmtId="0" fontId="50" fillId="0" borderId="78" xfId="50" applyFont="1" applyBorder="1" applyAlignment="1">
      <alignment horizontal="center" vertical="center" wrapText="1"/>
    </xf>
    <xf numFmtId="0" fontId="50" fillId="0" borderId="79" xfId="50" applyFont="1" applyBorder="1" applyAlignment="1">
      <alignment horizontal="center" vertical="center" wrapText="1"/>
    </xf>
    <xf numFmtId="44" fontId="0" fillId="41" borderId="54" xfId="0" applyNumberFormat="1" applyFill="1" applyBorder="1" applyAlignment="1">
      <alignment horizontal="center" vertical="center"/>
    </xf>
    <xf numFmtId="44" fontId="0" fillId="41" borderId="74" xfId="0" applyNumberFormat="1" applyFill="1" applyBorder="1" applyAlignment="1">
      <alignment horizontal="center" vertical="center"/>
    </xf>
    <xf numFmtId="0" fontId="50" fillId="0" borderId="78" xfId="50" applyFont="1" applyBorder="1" applyAlignment="1">
      <alignment horizontal="center" vertical="center"/>
    </xf>
    <xf numFmtId="0" fontId="50" fillId="0" borderId="79" xfId="50" applyFont="1" applyBorder="1" applyAlignment="1">
      <alignment horizontal="center" vertical="center"/>
    </xf>
    <xf numFmtId="44" fontId="0" fillId="38" borderId="72" xfId="1" applyFont="1" applyFill="1" applyBorder="1" applyAlignment="1">
      <alignment horizontal="center" vertical="center"/>
    </xf>
    <xf numFmtId="44" fontId="0" fillId="38" borderId="73" xfId="1" applyFont="1" applyFill="1" applyBorder="1" applyAlignment="1">
      <alignment horizontal="center" vertical="center"/>
    </xf>
  </cellXfs>
  <cellStyles count="51">
    <cellStyle name="20% - Ênfase1 2" xfId="22" xr:uid="{86640C99-3E36-4945-82AD-0854A7531A01}"/>
    <cellStyle name="20% - Ênfase2 2" xfId="26" xr:uid="{8611CA71-7718-4EA5-A395-15119CE3BDF9}"/>
    <cellStyle name="20% - Ênfase3 2" xfId="30" xr:uid="{E3AFC981-F6D2-4602-B9DA-2E7C690F7078}"/>
    <cellStyle name="20% - Ênfase4 2" xfId="34" xr:uid="{691BB94E-C5B4-4A6A-B390-73736522FF20}"/>
    <cellStyle name="20% - Ênfase5 2" xfId="38" xr:uid="{A279BC70-D62C-4593-B907-D84BE6067F44}"/>
    <cellStyle name="20% - Ênfase6 2" xfId="42" xr:uid="{8BDC0BF4-6E7B-40A4-8538-356483280867}"/>
    <cellStyle name="40% - Ênfase1 2" xfId="23" xr:uid="{3B5C576A-9304-47A9-8534-D92AFBAC4575}"/>
    <cellStyle name="40% - Ênfase2 2" xfId="27" xr:uid="{E856D941-8AD2-4D9E-9926-985ABB368A84}"/>
    <cellStyle name="40% - Ênfase3 2" xfId="31" xr:uid="{20262139-6056-4237-A10E-531E85B89F4D}"/>
    <cellStyle name="40% - Ênfase4 2" xfId="35" xr:uid="{702B8F38-2A5B-4437-854A-06D6ADCD8980}"/>
    <cellStyle name="40% - Ênfase5 2" xfId="39" xr:uid="{66B5A1EA-783B-46C9-8BCA-212B20D04649}"/>
    <cellStyle name="40% - Ênfase6 2" xfId="43" xr:uid="{46689240-B95C-4B61-B25A-E64D8CC6EE62}"/>
    <cellStyle name="60% - Ênfase1 2" xfId="24" xr:uid="{A03B260A-3AB5-41EC-BD43-184948AE7E95}"/>
    <cellStyle name="60% - Ênfase2 2" xfId="28" xr:uid="{20EE2348-9ABF-4490-BAF8-9705CB83F0CF}"/>
    <cellStyle name="60% - Ênfase3 2" xfId="32" xr:uid="{1A7F6987-D78E-4D86-911F-FED57AD75518}"/>
    <cellStyle name="60% - Ênfase4 2" xfId="36" xr:uid="{C5C37320-0981-4492-92DC-83D9216C5947}"/>
    <cellStyle name="60% - Ênfase5 2" xfId="40" xr:uid="{5DD08AB0-A7CA-47E3-B898-1B4775668BF8}"/>
    <cellStyle name="60% - Ênfase6 2" xfId="44" xr:uid="{5BDB9C4A-70F9-43BC-82FA-7C00A31DCF04}"/>
    <cellStyle name="Bom 2" xfId="10" xr:uid="{5704B6B4-A020-40DC-9771-38CCC677AA24}"/>
    <cellStyle name="Cálculo 2" xfId="14" xr:uid="{D87E0FEF-0F9C-4664-B588-D5AF3DCE33FD}"/>
    <cellStyle name="Célula de Verificação 2" xfId="16" xr:uid="{CB2381DB-0BDF-4301-B773-E2A9109ED942}"/>
    <cellStyle name="Célula Vinculada 2" xfId="15" xr:uid="{EAD94C5E-6ACC-4A23-B97A-F51192481359}"/>
    <cellStyle name="Ênfase1 2" xfId="21" xr:uid="{C9D234A9-136A-435B-8C9D-A1E051D2B71A}"/>
    <cellStyle name="Ênfase2 2" xfId="25" xr:uid="{7B1676B8-38DD-4E9F-9CBC-5AFAE48BE7EE}"/>
    <cellStyle name="Ênfase3 2" xfId="29" xr:uid="{BACE065B-B383-477E-A23B-17B4EA4B3BB7}"/>
    <cellStyle name="Ênfase4 2" xfId="33" xr:uid="{D55F40F8-C1C7-403F-B1F2-AC392AC7E3F2}"/>
    <cellStyle name="Ênfase5 2" xfId="37" xr:uid="{360437B6-B62F-4B95-97A7-4052B6D8CB19}"/>
    <cellStyle name="Ênfase6 2" xfId="41" xr:uid="{33299BE1-3783-4B56-8155-B2969E32E34D}"/>
    <cellStyle name="Entrada" xfId="47" builtinId="20"/>
    <cellStyle name="Entrada 2" xfId="12" xr:uid="{CAC53CC2-6197-4B7F-8A98-78533B3C787E}"/>
    <cellStyle name="Hiperlink" xfId="50" builtinId="8"/>
    <cellStyle name="Incorreto" xfId="45" xr:uid="{0AFE1BC9-1430-4757-B59A-E414CFD73573}"/>
    <cellStyle name="Moeda" xfId="1" builtinId="4"/>
    <cellStyle name="Moeda 2" xfId="4" xr:uid="{C229AE2F-E104-4DF9-9A78-6FDE9EEA41B2}"/>
    <cellStyle name="Moeda 3" xfId="49" xr:uid="{9FB33FA3-BD81-48E7-B268-09D899D21076}"/>
    <cellStyle name="Neutra" xfId="46" xr:uid="{71C47A3D-F8EA-436D-B5F3-B9798E3D4D87}"/>
    <cellStyle name="Normal" xfId="0" builtinId="0"/>
    <cellStyle name="Normal 2" xfId="3" xr:uid="{8A134199-6F72-4389-9A56-3113475BD73F}"/>
    <cellStyle name="Normal 5" xfId="48" xr:uid="{6145DEA6-CAD2-450E-B31B-678F6738C20F}"/>
    <cellStyle name="Nota 2" xfId="18" xr:uid="{52016B9B-9320-41D1-9D65-DE9C737C677A}"/>
    <cellStyle name="Porcentagem" xfId="2" builtinId="5"/>
    <cellStyle name="Ruim 2" xfId="11" xr:uid="{E1254AC3-6F0D-4CFC-8337-2F623C0D84D4}"/>
    <cellStyle name="Saída 2" xfId="13" xr:uid="{DC84CF5B-F875-444C-B560-CF76A89C66C6}"/>
    <cellStyle name="Texto de Aviso 2" xfId="17" xr:uid="{DFFA1A61-755F-442F-823B-8950E7E9B305}"/>
    <cellStyle name="Texto Explicativo 2" xfId="19" xr:uid="{A084F42B-E59F-4767-9EB1-D66B2D7DD143}"/>
    <cellStyle name="Título 1 2" xfId="6" xr:uid="{C7E708D2-E428-4230-AB6F-A93CF2CC9297}"/>
    <cellStyle name="Título 2 2" xfId="7" xr:uid="{AD733E0D-46C5-475C-834F-6388FE18B963}"/>
    <cellStyle name="Título 3 2" xfId="8" xr:uid="{F12A9BAB-86BA-4935-A0EF-4EE8EBB905DF}"/>
    <cellStyle name="Título 4 2" xfId="9" xr:uid="{6B92CC51-B3C9-4E00-BDEF-ED606A875DDC}"/>
    <cellStyle name="Título 5" xfId="5" xr:uid="{05B6EDB2-8056-4DFC-A9AB-713168296FE9}"/>
    <cellStyle name="Total 2" xfId="20" xr:uid="{804A0EA4-D9CA-49AF-9A38-68E6E6213C4D}"/>
  </cellStyles>
  <dxfs count="2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fgColor theme="0"/>
          <bgColor rgb="FF00B05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fgColor theme="0"/>
          <bgColor rgb="FF00B05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fgColor theme="0"/>
          <bgColor rgb="FF00B05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DRE FINANCEIRO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('Max Led Consolidada'!$A$5,'Max Led Consolidada'!$A$15:$A$19)</c:f>
              <c:strCache>
                <c:ptCount val="5"/>
                <c:pt idx="1">
                  <c:v>Entrada</c:v>
                </c:pt>
                <c:pt idx="4">
                  <c:v> Saídas </c:v>
                </c:pt>
              </c:strCache>
            </c:strRef>
          </c:cat>
          <c:val>
            <c:numRef>
              <c:f>('Max Led Consolidada'!$B$5,'Max Led Consolidada'!$B$15:$B$19)</c:f>
              <c:numCache>
                <c:formatCode>_("R$"* #,##0.00_);_("R$"* \(#,##0.00\);_("R$"* "-"??_);_(@_)</c:formatCode>
                <c:ptCount val="6"/>
                <c:pt idx="1">
                  <c:v>1320363.173</c:v>
                </c:pt>
                <c:pt idx="4">
                  <c:v>1403480.6800000002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E-48BA-BFC0-34DFE0262D22}"/>
            </c:ext>
          </c:extLst>
        </c:ser>
        <c:ser>
          <c:idx val="1"/>
          <c:order val="1"/>
          <c:tx>
            <c:strRef>
              <c:f>'Max Led Consolidada'!$G$4</c:f>
              <c:strCache>
                <c:ptCount val="1"/>
                <c:pt idx="0">
                  <c:v>DRE NFE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('Max Led Consolidada'!$A$5,'Max Led Consolidada'!$A$15:$A$19)</c:f>
              <c:strCache>
                <c:ptCount val="5"/>
                <c:pt idx="1">
                  <c:v>Entrada</c:v>
                </c:pt>
                <c:pt idx="4">
                  <c:v> Saídas </c:v>
                </c:pt>
              </c:strCache>
            </c:strRef>
          </c:cat>
          <c:val>
            <c:numRef>
              <c:f>('Max Led Consolidada'!$G$5,'Max Led Consolidada'!$G$15:$G$19)</c:f>
              <c:numCache>
                <c:formatCode>General</c:formatCode>
                <c:ptCount val="6"/>
                <c:pt idx="1">
                  <c:v>0</c:v>
                </c:pt>
                <c:pt idx="4" formatCode="_(&quot;R$&quot;* #,##0.00_);_(&quot;R$&quot;* \(#,##0.00\);_(&quot;R$&quot;* &quot;-&quot;??_);_(@_)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4E-48BA-BFC0-34DFE0262D22}"/>
            </c:ext>
          </c:extLst>
        </c:ser>
        <c:ser>
          <c:idx val="2"/>
          <c:order val="2"/>
          <c:tx>
            <c:v>DRE NFE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('Max Led Consolidada'!$A$5,'Max Led Consolidada'!$A$15:$A$19)</c:f>
              <c:strCache>
                <c:ptCount val="5"/>
                <c:pt idx="1">
                  <c:v>Entrada</c:v>
                </c:pt>
                <c:pt idx="4">
                  <c:v> Saídas </c:v>
                </c:pt>
              </c:strCache>
            </c:strRef>
          </c:cat>
          <c:val>
            <c:numRef>
              <c:f>('Max Led Consolidada'!$H$5,'Max Led Consolidada'!$H$15:$H$19)</c:f>
              <c:numCache>
                <c:formatCode>_("R$"* #,##0.00_);_("R$"* \(#,##0.00\);_("R$"* "-"??_);_(@_)</c:formatCode>
                <c:ptCount val="6"/>
                <c:pt idx="1">
                  <c:v>1329627.7099999979</c:v>
                </c:pt>
                <c:pt idx="4">
                  <c:v>731857.52999999968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4E-48BA-BFC0-34DFE0262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076159"/>
        <c:axId val="2114071839"/>
      </c:barChart>
      <c:catAx>
        <c:axId val="211407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071839"/>
        <c:crosses val="autoZero"/>
        <c:auto val="1"/>
        <c:lblAlgn val="ctr"/>
        <c:lblOffset val="100"/>
        <c:noMultiLvlLbl val="0"/>
      </c:catAx>
      <c:valAx>
        <c:axId val="21140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4076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648928258967633"/>
          <c:y val="0.89409667541557303"/>
          <c:w val="0.53813232720909887"/>
          <c:h val="7.81255468066491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DRE</a:t>
            </a:r>
            <a:r>
              <a:rPr lang="pt-BR" baseline="0"/>
              <a:t> FINANCEIRO</a:t>
            </a:r>
          </a:p>
        </c:rich>
      </c:tx>
      <c:layout>
        <c:manualLayout>
          <c:xMode val="edge"/>
          <c:yMode val="edge"/>
          <c:x val="0.2979035213537717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'Max Led Consolidada'!$D$15:$D$27</c:f>
              <c:strCache>
                <c:ptCount val="13"/>
                <c:pt idx="0">
                  <c:v>Funcionários</c:v>
                </c:pt>
                <c:pt idx="1">
                  <c:v>Gastos Fixos</c:v>
                </c:pt>
                <c:pt idx="2">
                  <c:v>Manutenção</c:v>
                </c:pt>
                <c:pt idx="3">
                  <c:v>Transporte</c:v>
                </c:pt>
                <c:pt idx="4">
                  <c:v>Emprestimo</c:v>
                </c:pt>
                <c:pt idx="5">
                  <c:v>Socios</c:v>
                </c:pt>
                <c:pt idx="6">
                  <c:v>Consumo</c:v>
                </c:pt>
                <c:pt idx="7">
                  <c:v>Marketing</c:v>
                </c:pt>
                <c:pt idx="8">
                  <c:v>Banco</c:v>
                </c:pt>
                <c:pt idx="9">
                  <c:v>Brinde</c:v>
                </c:pt>
                <c:pt idx="10">
                  <c:v>Seguro</c:v>
                </c:pt>
                <c:pt idx="11">
                  <c:v>Importação</c:v>
                </c:pt>
                <c:pt idx="12">
                  <c:v>Outras Despesas Operacionais</c:v>
                </c:pt>
              </c:strCache>
            </c:strRef>
          </c:cat>
          <c:val>
            <c:numRef>
              <c:f>'Max Led Consolidada'!$E$15:$E$27</c:f>
              <c:numCache>
                <c:formatCode>_("R$"* #,##0.00_);_("R$"* \(#,##0.00\);_("R$"* "-"??_);_(@_)</c:formatCode>
                <c:ptCount val="13"/>
                <c:pt idx="0">
                  <c:v>94536.140000000029</c:v>
                </c:pt>
                <c:pt idx="1">
                  <c:v>65481.830000000009</c:v>
                </c:pt>
                <c:pt idx="2">
                  <c:v>1585</c:v>
                </c:pt>
                <c:pt idx="3">
                  <c:v>24967.74</c:v>
                </c:pt>
                <c:pt idx="4">
                  <c:v>42296.57</c:v>
                </c:pt>
                <c:pt idx="5">
                  <c:v>126214.47</c:v>
                </c:pt>
                <c:pt idx="6">
                  <c:v>12262.210000000001</c:v>
                </c:pt>
                <c:pt idx="7">
                  <c:v>147</c:v>
                </c:pt>
                <c:pt idx="8">
                  <c:v>292.13000000000011</c:v>
                </c:pt>
                <c:pt idx="9">
                  <c:v>2569</c:v>
                </c:pt>
                <c:pt idx="10">
                  <c:v>219.58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B3-4C32-8DAA-8959971F4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73048719"/>
        <c:axId val="1873049199"/>
      </c:barChart>
      <c:catAx>
        <c:axId val="1873048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3049199"/>
        <c:crosses val="autoZero"/>
        <c:auto val="1"/>
        <c:lblAlgn val="ctr"/>
        <c:lblOffset val="100"/>
        <c:noMultiLvlLbl val="0"/>
      </c:catAx>
      <c:valAx>
        <c:axId val="1873049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304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DRE NFE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'Max Led Consolidada'!$J$17:$J$30</c:f>
              <c:strCache>
                <c:ptCount val="14"/>
                <c:pt idx="0">
                  <c:v>Devolução</c:v>
                </c:pt>
                <c:pt idx="1">
                  <c:v>Funcionários</c:v>
                </c:pt>
                <c:pt idx="2">
                  <c:v>Gastos Fixos</c:v>
                </c:pt>
                <c:pt idx="3">
                  <c:v>Manutenção</c:v>
                </c:pt>
                <c:pt idx="4">
                  <c:v>Transporte</c:v>
                </c:pt>
                <c:pt idx="5">
                  <c:v>Emprestimo</c:v>
                </c:pt>
                <c:pt idx="6">
                  <c:v>Socios</c:v>
                </c:pt>
                <c:pt idx="7">
                  <c:v>Consumo</c:v>
                </c:pt>
                <c:pt idx="8">
                  <c:v>Marketing</c:v>
                </c:pt>
                <c:pt idx="9">
                  <c:v>Banco</c:v>
                </c:pt>
                <c:pt idx="10">
                  <c:v>Brinde</c:v>
                </c:pt>
                <c:pt idx="11">
                  <c:v>Seguro</c:v>
                </c:pt>
                <c:pt idx="12">
                  <c:v>Importação</c:v>
                </c:pt>
                <c:pt idx="13">
                  <c:v>Outras Despesas Operacionais</c:v>
                </c:pt>
              </c:strCache>
            </c:strRef>
          </c:cat>
          <c:val>
            <c:numRef>
              <c:f>'Max Led Consolidada'!$K$17:$K$30</c:f>
              <c:numCache>
                <c:formatCode>_("R$"* #,##0.00_);_("R$"* \(#,##0.00\);_("R$"* "-"??_);_(@_)</c:formatCode>
                <c:ptCount val="14"/>
                <c:pt idx="0">
                  <c:v>0</c:v>
                </c:pt>
                <c:pt idx="1">
                  <c:v>94536.140000000029</c:v>
                </c:pt>
                <c:pt idx="2">
                  <c:v>65481.830000000009</c:v>
                </c:pt>
                <c:pt idx="3">
                  <c:v>1585</c:v>
                </c:pt>
                <c:pt idx="4">
                  <c:v>24967.74</c:v>
                </c:pt>
                <c:pt idx="5">
                  <c:v>42296.57</c:v>
                </c:pt>
                <c:pt idx="6">
                  <c:v>126214.47</c:v>
                </c:pt>
                <c:pt idx="7">
                  <c:v>12262.210000000001</c:v>
                </c:pt>
                <c:pt idx="8">
                  <c:v>147</c:v>
                </c:pt>
                <c:pt idx="9">
                  <c:v>292.13000000000011</c:v>
                </c:pt>
                <c:pt idx="10">
                  <c:v>2569</c:v>
                </c:pt>
                <c:pt idx="11">
                  <c:v>219.58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4-4CA0-AAAB-5B71AF194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38819807"/>
        <c:axId val="438800607"/>
      </c:barChart>
      <c:catAx>
        <c:axId val="438819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8800607"/>
        <c:crosses val="autoZero"/>
        <c:auto val="1"/>
        <c:lblAlgn val="ctr"/>
        <c:lblOffset val="100"/>
        <c:noMultiLvlLbl val="0"/>
      </c:catAx>
      <c:valAx>
        <c:axId val="438800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8819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('Max Led Consolidada'!$A$25:$A$26,'Max Led Consolidada'!$A$30:$A$31)</c:f>
              <c:strCache>
                <c:ptCount val="4"/>
                <c:pt idx="0">
                  <c:v>Entrada Import</c:v>
                </c:pt>
                <c:pt idx="1">
                  <c:v>Saída Import</c:v>
                </c:pt>
                <c:pt idx="2">
                  <c:v>Entrada Iluminação</c:v>
                </c:pt>
                <c:pt idx="3">
                  <c:v>Saída Iluminação</c:v>
                </c:pt>
              </c:strCache>
            </c:strRef>
          </c:cat>
          <c:val>
            <c:numRef>
              <c:f>('Max Led Consolidada'!$B$25:$B$26,'Max Led Consolidada'!$B$30:$B$31)</c:f>
              <c:numCache>
                <c:formatCode>_("R$"* #,##0.00_);_("R$"* \(#,##0.00\);_("R$"* "-"??_);_(@_)</c:formatCode>
                <c:ptCount val="4"/>
                <c:pt idx="0">
                  <c:v>343602.08000000007</c:v>
                </c:pt>
                <c:pt idx="1">
                  <c:v>414108.55999999982</c:v>
                </c:pt>
                <c:pt idx="2">
                  <c:v>976761.09299999999</c:v>
                </c:pt>
                <c:pt idx="3">
                  <c:v>989372.12000000034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96-498D-9D6E-1C8385B67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4834880"/>
        <c:axId val="1494836800"/>
      </c:barChart>
      <c:catAx>
        <c:axId val="149483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94836800"/>
        <c:crosses val="autoZero"/>
        <c:auto val="1"/>
        <c:lblAlgn val="ctr"/>
        <c:lblOffset val="100"/>
        <c:noMultiLvlLbl val="0"/>
      </c:catAx>
      <c:valAx>
        <c:axId val="149483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94834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0619383899271104"/>
          <c:y val="1.89758636726140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('Max Led Consolidada'!$G$25:$G$26,'Max Led Consolidada'!$G$29:$G$30)</c:f>
              <c:strCache>
                <c:ptCount val="4"/>
                <c:pt idx="0">
                  <c:v>Entrada Import</c:v>
                </c:pt>
                <c:pt idx="1">
                  <c:v>Saída Import</c:v>
                </c:pt>
                <c:pt idx="2">
                  <c:v>Entrada Iluminação</c:v>
                </c:pt>
                <c:pt idx="3">
                  <c:v>Saída Iluminação</c:v>
                </c:pt>
              </c:strCache>
            </c:strRef>
          </c:cat>
          <c:val>
            <c:numRef>
              <c:f>('Max Led Consolidada'!$H$25:$H$26,'Max Led Consolidada'!$H$29:$H$30)</c:f>
              <c:numCache>
                <c:formatCode>_("R$"* #,##0.00_);_("R$"* \(#,##0.00\);_("R$"* "-"??_);_(@_)</c:formatCode>
                <c:ptCount val="4"/>
                <c:pt idx="0">
                  <c:v>349325.9</c:v>
                </c:pt>
                <c:pt idx="1">
                  <c:v>164806.01</c:v>
                </c:pt>
                <c:pt idx="2">
                  <c:v>980301.80999999784</c:v>
                </c:pt>
                <c:pt idx="3">
                  <c:v>567051.51999999967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3A-4CC8-A8AF-D874FDE14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4835360"/>
        <c:axId val="1494835840"/>
      </c:barChart>
      <c:catAx>
        <c:axId val="149483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94835840"/>
        <c:crosses val="autoZero"/>
        <c:auto val="1"/>
        <c:lblAlgn val="ctr"/>
        <c:lblOffset val="100"/>
        <c:noMultiLvlLbl val="0"/>
      </c:catAx>
      <c:valAx>
        <c:axId val="149483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94835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'Resumo Mensal Ilumini'!$I$4</c:f>
              <c:strCache>
                <c:ptCount val="1"/>
                <c:pt idx="0">
                  <c:v> Receita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'Resumo Mensal Ilumini'!$I$5:$I$16</c:f>
              <c:numCache>
                <c:formatCode>_("R$"* #,##0.00_);_("R$"* \(#,##0.00\);_("R$"* "-"??_);_(@_)</c:formatCode>
                <c:ptCount val="12"/>
                <c:pt idx="0">
                  <c:v>132275.39999999997</c:v>
                </c:pt>
                <c:pt idx="1">
                  <c:v>126679.25000000001</c:v>
                </c:pt>
                <c:pt idx="2">
                  <c:v>183424.12</c:v>
                </c:pt>
                <c:pt idx="3">
                  <c:v>214380.68000000005</c:v>
                </c:pt>
                <c:pt idx="4">
                  <c:v>153998.18299999996</c:v>
                </c:pt>
                <c:pt idx="5">
                  <c:v>166003.46000000005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10-4CC4-BC25-4CE5A11BEEC8}"/>
            </c:ext>
          </c:extLst>
        </c:ser>
        <c:ser>
          <c:idx val="1"/>
          <c:order val="1"/>
          <c:tx>
            <c:strRef>
              <c:f>'Resumo Mensal Ilumini'!$J$4</c:f>
              <c:strCache>
                <c:ptCount val="1"/>
                <c:pt idx="0">
                  <c:v> Saida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'Resumo Mensal Ilumini'!$J$5:$J$16</c:f>
              <c:numCache>
                <c:formatCode>_("R$"* #,##0.00_);_("R$"* \(#,##0.00\);_("R$"* "-"??_);_(@_)</c:formatCode>
                <c:ptCount val="12"/>
                <c:pt idx="0">
                  <c:v>116350.31</c:v>
                </c:pt>
                <c:pt idx="1">
                  <c:v>133410.26</c:v>
                </c:pt>
                <c:pt idx="2">
                  <c:v>192968.08000000005</c:v>
                </c:pt>
                <c:pt idx="3">
                  <c:v>231574.29999999984</c:v>
                </c:pt>
                <c:pt idx="4">
                  <c:v>155988.48000000001</c:v>
                </c:pt>
                <c:pt idx="5">
                  <c:v>159080.68999999992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10-4CC4-BC25-4CE5A11BE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1421648"/>
        <c:axId val="1181423088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'Resumo Mensal Ilumini'!$K$4</c15:sqref>
                        </c15:formulaRef>
                      </c:ext>
                    </c:extLst>
                    <c:strCache>
                      <c:ptCount val="1"/>
                      <c:pt idx="0">
                        <c:v> Lucro 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'Resumo Mensal Ilumini'!$K$5:$K$16</c15:sqref>
                        </c15:formulaRef>
                      </c:ext>
                    </c:extLst>
                    <c:numCache>
                      <c:formatCode>_("R$"* #,##0.00_);_("R$"* \(#,##0.00\);_("R$"* "-"??_);_(@_)</c:formatCode>
                      <c:ptCount val="12"/>
                      <c:pt idx="0">
                        <c:v>15925.089999999967</c:v>
                      </c:pt>
                      <c:pt idx="1">
                        <c:v>-6731.0099999999948</c:v>
                      </c:pt>
                      <c:pt idx="2">
                        <c:v>-9543.9600000000501</c:v>
                      </c:pt>
                      <c:pt idx="3">
                        <c:v>-17193.619999999792</c:v>
                      </c:pt>
                      <c:pt idx="4">
                        <c:v>-1990.2970000000496</c:v>
                      </c:pt>
                      <c:pt idx="5">
                        <c:v>6922.770000000135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3010-4CC4-BC25-4CE5A11BEEC8}"/>
                  </c:ext>
                </c:extLst>
              </c15:ser>
            </c15:filteredBarSeries>
          </c:ext>
        </c:extLst>
      </c:barChart>
      <c:catAx>
        <c:axId val="118142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1423088"/>
        <c:crosses val="autoZero"/>
        <c:auto val="1"/>
        <c:lblAlgn val="ctr"/>
        <c:lblOffset val="100"/>
        <c:noMultiLvlLbl val="0"/>
      </c:catAx>
      <c:valAx>
        <c:axId val="118142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142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6511813692002008E-2"/>
          <c:y val="0.12817084712811194"/>
          <c:w val="0.94979625617349728"/>
          <c:h val="0.2972070559972243"/>
        </c:manualLayout>
      </c:layout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70-4E59-9F73-AE72A80BC9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70-4E59-9F73-AE72A80BC9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70-4E59-9F73-AE72A80BC9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70-4E59-9F73-AE72A80BC9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70-4E59-9F73-AE72A80BC9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70-4E59-9F73-AE72A80BC9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70-4E59-9F73-AE72A80BC9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70-4E59-9F73-AE72A80BC9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270-4E59-9F73-AE72A80BC9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270-4E59-9F73-AE72A80BC9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270-4E59-9F73-AE72A80BC985}"/>
              </c:ext>
            </c:extLst>
          </c:dPt>
          <c:cat>
            <c:strRef>
              <c:f>'Resumo Mensal Ilumini'!$D$35:$D$44</c:f>
              <c:strCache>
                <c:ptCount val="10"/>
                <c:pt idx="0">
                  <c:v>Devolução</c:v>
                </c:pt>
                <c:pt idx="1">
                  <c:v>Funcionários</c:v>
                </c:pt>
                <c:pt idx="2">
                  <c:v>Gastos Fixos</c:v>
                </c:pt>
                <c:pt idx="3">
                  <c:v>Manutenção</c:v>
                </c:pt>
                <c:pt idx="4">
                  <c:v>Transporte</c:v>
                </c:pt>
                <c:pt idx="5">
                  <c:v>Emprestimo</c:v>
                </c:pt>
                <c:pt idx="6">
                  <c:v>Socios</c:v>
                </c:pt>
                <c:pt idx="7">
                  <c:v>Consumo</c:v>
                </c:pt>
                <c:pt idx="8">
                  <c:v>Marketing</c:v>
                </c:pt>
                <c:pt idx="9">
                  <c:v>Outras Despesas Operacionais</c:v>
                </c:pt>
              </c:strCache>
            </c:strRef>
          </c:cat>
          <c:val>
            <c:numRef>
              <c:f>'Resumo Mensal Ilumini'!$E$35:$E$44</c:f>
              <c:numCache>
                <c:formatCode>_("R$"* #,##0.00_);_("R$"* \(#,##0.00\);_("R$"* "-"??_);_(@_)</c:formatCode>
                <c:ptCount val="10"/>
                <c:pt idx="0">
                  <c:v>0</c:v>
                </c:pt>
                <c:pt idx="1">
                  <c:v>13100.880000000001</c:v>
                </c:pt>
                <c:pt idx="2">
                  <c:v>8196.66</c:v>
                </c:pt>
                <c:pt idx="3">
                  <c:v>150</c:v>
                </c:pt>
                <c:pt idx="4">
                  <c:v>0</c:v>
                </c:pt>
                <c:pt idx="5">
                  <c:v>6372.54</c:v>
                </c:pt>
                <c:pt idx="6">
                  <c:v>17778.98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58-41F4-8C54-3F7685528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45326635225673184"/>
          <c:w val="0.77399043577352755"/>
          <c:h val="0.546733647743268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05"/>
          <c:y val="0.1739585156022164"/>
          <c:w val="0.93888888888888888"/>
          <c:h val="0.36365449110527853"/>
        </c:manualLayout>
      </c:layout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FB-4361-A131-586F336785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FB-4361-A131-586F336785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FB-4361-A131-586F336785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FB-4361-A131-586F336785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FB-4361-A131-586F336785D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5FB-4361-A131-586F336785D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5FB-4361-A131-586F336785D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5FB-4361-A131-586F336785D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5FB-4361-A131-586F336785D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5FB-4361-A131-586F336785D2}"/>
              </c:ext>
            </c:extLst>
          </c:dPt>
          <c:cat>
            <c:strRef>
              <c:f>'Resumo Mensal Ilumini'!$A$33:$A$41</c:f>
              <c:strCache>
                <c:ptCount val="9"/>
                <c:pt idx="0">
                  <c:v>Funcionários</c:v>
                </c:pt>
                <c:pt idx="1">
                  <c:v>Gastos Fixos</c:v>
                </c:pt>
                <c:pt idx="2">
                  <c:v>Manutenção</c:v>
                </c:pt>
                <c:pt idx="3">
                  <c:v>Transporte</c:v>
                </c:pt>
                <c:pt idx="4">
                  <c:v>Emprestimo</c:v>
                </c:pt>
                <c:pt idx="5">
                  <c:v>Socios</c:v>
                </c:pt>
                <c:pt idx="6">
                  <c:v>Consumo</c:v>
                </c:pt>
                <c:pt idx="7">
                  <c:v>Marketing</c:v>
                </c:pt>
                <c:pt idx="8">
                  <c:v>Outras Despesas Operacionais</c:v>
                </c:pt>
              </c:strCache>
            </c:strRef>
          </c:cat>
          <c:val>
            <c:numRef>
              <c:f>'Resumo Mensal Ilumini'!$B$33:$B$41</c:f>
              <c:numCache>
                <c:formatCode>_("R$"* #,##0.00_);_("R$"* \(#,##0.00\);_("R$"* "-"??_);_(@_)</c:formatCode>
                <c:ptCount val="9"/>
                <c:pt idx="0">
                  <c:v>64511.860000000022</c:v>
                </c:pt>
                <c:pt idx="1">
                  <c:v>44956.210000000006</c:v>
                </c:pt>
                <c:pt idx="2">
                  <c:v>1585</c:v>
                </c:pt>
                <c:pt idx="3">
                  <c:v>24967.74</c:v>
                </c:pt>
                <c:pt idx="4">
                  <c:v>29230.65</c:v>
                </c:pt>
                <c:pt idx="5">
                  <c:v>55658.979999999996</c:v>
                </c:pt>
                <c:pt idx="6">
                  <c:v>1741.18</c:v>
                </c:pt>
                <c:pt idx="7">
                  <c:v>147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18-4CF6-985E-0C4B8A666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9602206463801548E-2"/>
          <c:y val="0.55020377161388734"/>
          <c:w val="0.85061588033042923"/>
          <c:h val="0.449796228386112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489566929133859"/>
          <c:y val="4.1994750656167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442869641294837"/>
          <c:y val="0.21800925925925929"/>
          <c:w val="0.77112685914260715"/>
          <c:h val="0.6714577865266842"/>
        </c:manualLayout>
      </c:layout>
      <c:barChart>
        <c:barDir val="col"/>
        <c:grouping val="clustered"/>
        <c:varyColors val="0"/>
        <c:ser>
          <c:idx val="0"/>
          <c:order val="0"/>
          <c:tx>
            <c:v>Receita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'Resumo Mensal  import'!$H$5:$H$16</c:f>
              <c:numCache>
                <c:formatCode>_("R$"* #,##0.00_);_("R$"* \(#,##0.00\);_("R$"* "-"??_);_(@_)</c:formatCode>
                <c:ptCount val="12"/>
                <c:pt idx="0">
                  <c:v>13593.52</c:v>
                </c:pt>
                <c:pt idx="1">
                  <c:v>37091.380000000005</c:v>
                </c:pt>
                <c:pt idx="2">
                  <c:v>37723.490000000005</c:v>
                </c:pt>
                <c:pt idx="3">
                  <c:v>105609.12</c:v>
                </c:pt>
                <c:pt idx="4">
                  <c:v>80008.320000000007</c:v>
                </c:pt>
                <c:pt idx="5">
                  <c:v>67961.09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99-4F11-92EF-C41E8FA6FC6E}"/>
            </c:ext>
          </c:extLst>
        </c:ser>
        <c:ser>
          <c:idx val="1"/>
          <c:order val="1"/>
          <c:tx>
            <c:v>Saída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'Resumo Mensal  import'!$I$5:$I$16</c:f>
              <c:numCache>
                <c:formatCode>_("R$"* #,##0.00_);_("R$"* \(#,##0.00\);_("R$"* "-"??_);_(@_)</c:formatCode>
                <c:ptCount val="12"/>
                <c:pt idx="0">
                  <c:v>74876.929999999978</c:v>
                </c:pt>
                <c:pt idx="1">
                  <c:v>44764.380000000005</c:v>
                </c:pt>
                <c:pt idx="2">
                  <c:v>35226.35</c:v>
                </c:pt>
                <c:pt idx="3">
                  <c:v>108035.78</c:v>
                </c:pt>
                <c:pt idx="4">
                  <c:v>70645.67</c:v>
                </c:pt>
                <c:pt idx="5">
                  <c:v>77528.78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99-4F11-92EF-C41E8FA6F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951184"/>
        <c:axId val="651952624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'Resumo Mensal  import'!$J$5:$J$16</c15:sqref>
                        </c15:formulaRef>
                      </c:ext>
                    </c:extLst>
                    <c:numCache>
                      <c:formatCode>_("R$"* #,##0.00_);_("R$"* \(#,##0.00\);_("R$"* "-"??_);_(@_)</c:formatCode>
                      <c:ptCount val="12"/>
                      <c:pt idx="0">
                        <c:v>-61283.409999999974</c:v>
                      </c:pt>
                      <c:pt idx="1">
                        <c:v>-7673</c:v>
                      </c:pt>
                      <c:pt idx="2">
                        <c:v>2497.1400000000067</c:v>
                      </c:pt>
                      <c:pt idx="3">
                        <c:v>-2426.6600000000035</c:v>
                      </c:pt>
                      <c:pt idx="4">
                        <c:v>9362.6500000000087</c:v>
                      </c:pt>
                      <c:pt idx="5">
                        <c:v>-9567.6900000000023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99-4F11-92EF-C41E8FA6FC6E}"/>
                  </c:ext>
                </c:extLst>
              </c15:ser>
            </c15:filteredBarSeries>
          </c:ext>
        </c:extLst>
      </c:barChart>
      <c:catAx>
        <c:axId val="65195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1952624"/>
        <c:crosses val="autoZero"/>
        <c:auto val="1"/>
        <c:lblAlgn val="ctr"/>
        <c:lblOffset val="100"/>
        <c:noMultiLvlLbl val="0"/>
      </c:catAx>
      <c:valAx>
        <c:axId val="6519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195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4362248468941383"/>
          <c:y val="5.5773658213983043E-2"/>
          <c:w val="0.16797020774890165"/>
          <c:h val="8.52278692436172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"/>
          <c:y val="0.16251177879466194"/>
          <c:w val="1"/>
          <c:h val="0.35470731206458472"/>
        </c:manualLayout>
      </c:layout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BB8-4A3E-BA9C-0784F814BB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BB8-4A3E-BA9C-0784F814BB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BB8-4A3E-BA9C-0784F814BB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BB8-4A3E-BA9C-0784F814BB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BB8-4A3E-BA9C-0784F814BB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BB8-4A3E-BA9C-0784F814BB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BB8-4A3E-BA9C-0784F814BB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BB8-4A3E-BA9C-0784F814BB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BB8-4A3E-BA9C-0784F814BB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BB8-4A3E-BA9C-0784F814BB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BB8-4A3E-BA9C-0784F814BB1F}"/>
              </c:ext>
            </c:extLst>
          </c:dPt>
          <c:cat>
            <c:strRef>
              <c:f>'Resumo Mensal  import'!$D$35:$D$44</c:f>
              <c:strCache>
                <c:ptCount val="10"/>
                <c:pt idx="0">
                  <c:v>Devolução</c:v>
                </c:pt>
                <c:pt idx="1">
                  <c:v>Funcionários</c:v>
                </c:pt>
                <c:pt idx="2">
                  <c:v>Gastos Fixos</c:v>
                </c:pt>
                <c:pt idx="3">
                  <c:v>Manutenção</c:v>
                </c:pt>
                <c:pt idx="4">
                  <c:v>Transporte</c:v>
                </c:pt>
                <c:pt idx="5">
                  <c:v>Emprestimo</c:v>
                </c:pt>
                <c:pt idx="6">
                  <c:v>Socios</c:v>
                </c:pt>
                <c:pt idx="7">
                  <c:v>Consumo</c:v>
                </c:pt>
                <c:pt idx="8">
                  <c:v>Marketing</c:v>
                </c:pt>
                <c:pt idx="9">
                  <c:v>Outras Despesas Operacionais</c:v>
                </c:pt>
              </c:strCache>
            </c:strRef>
          </c:cat>
          <c:val>
            <c:numRef>
              <c:f>'Resumo Mensal  import'!$E$35:$E$44</c:f>
              <c:numCache>
                <c:formatCode>_("R$"* #,##0.00_);_("R$"* \(#,##0.00\);_("R$"* "-"??_);_(@_)</c:formatCode>
                <c:ptCount val="10"/>
                <c:pt idx="0">
                  <c:v>0</c:v>
                </c:pt>
                <c:pt idx="1">
                  <c:v>30024.280000000002</c:v>
                </c:pt>
                <c:pt idx="2">
                  <c:v>219.58</c:v>
                </c:pt>
                <c:pt idx="3">
                  <c:v>46171.34</c:v>
                </c:pt>
                <c:pt idx="4">
                  <c:v>2569</c:v>
                </c:pt>
                <c:pt idx="5">
                  <c:v>13065.919999999998</c:v>
                </c:pt>
                <c:pt idx="6">
                  <c:v>70555.490000000005</c:v>
                </c:pt>
                <c:pt idx="7">
                  <c:v>10521.03</c:v>
                </c:pt>
                <c:pt idx="8">
                  <c:v>20525.620000000003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6-46D1-B414-4FF274FAD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7281958607633097E-3"/>
          <c:y val="0.57344399866367923"/>
          <c:w val="0.70201901811453893"/>
          <c:h val="0.426556001336320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5.7640549899923295E-2"/>
          <c:y val="0.1600696267133275"/>
          <c:w val="0.90245445401551438"/>
          <c:h val="0.51990558471857684"/>
        </c:manualLayout>
      </c:layout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3DB-476E-9081-96E74893E9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3DB-476E-9081-96E74893E9A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3DB-476E-9081-96E74893E9A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3DB-476E-9081-96E74893E9A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3DB-476E-9081-96E74893E9A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3DB-476E-9081-96E74893E9A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3DB-476E-9081-96E74893E9A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3DB-476E-9081-96E74893E9A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3DB-476E-9081-96E74893E9A6}"/>
              </c:ext>
            </c:extLst>
          </c:dPt>
          <c:cat>
            <c:strRef>
              <c:f>'Resumo Mensal  import'!$A$33:$A$40</c:f>
              <c:strCache>
                <c:ptCount val="8"/>
                <c:pt idx="0">
                  <c:v>Funcionários</c:v>
                </c:pt>
                <c:pt idx="1">
                  <c:v>Seguro</c:v>
                </c:pt>
                <c:pt idx="2">
                  <c:v>Importação</c:v>
                </c:pt>
                <c:pt idx="3">
                  <c:v>Brinde</c:v>
                </c:pt>
                <c:pt idx="4">
                  <c:v>Emprestimo</c:v>
                </c:pt>
                <c:pt idx="5">
                  <c:v>Socios</c:v>
                </c:pt>
                <c:pt idx="6">
                  <c:v>Consumo</c:v>
                </c:pt>
                <c:pt idx="7">
                  <c:v>Gastos Fixos</c:v>
                </c:pt>
              </c:strCache>
            </c:strRef>
          </c:cat>
          <c:val>
            <c:numRef>
              <c:f>'Resumo Mensal  import'!$B$33:$B$40</c:f>
              <c:numCache>
                <c:formatCode>_("R$"* #,##0.00_);_("R$"* \(#,##0.00\);_("R$"* "-"??_);_(@_)</c:formatCode>
                <c:ptCount val="8"/>
                <c:pt idx="0">
                  <c:v>30024.280000000002</c:v>
                </c:pt>
                <c:pt idx="1">
                  <c:v>219.58</c:v>
                </c:pt>
                <c:pt idx="2">
                  <c:v>46171.34</c:v>
                </c:pt>
                <c:pt idx="3">
                  <c:v>2569</c:v>
                </c:pt>
                <c:pt idx="4">
                  <c:v>13065.919999999998</c:v>
                </c:pt>
                <c:pt idx="5">
                  <c:v>70555.490000000005</c:v>
                </c:pt>
                <c:pt idx="6">
                  <c:v>10521.03</c:v>
                </c:pt>
                <c:pt idx="7">
                  <c:v>20525.620000000003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4-4958-B935-D2A141479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#'Max Led Consolidada'!A1"/><Relationship Id="rId1" Type="http://schemas.openxmlformats.org/officeDocument/2006/relationships/chart" Target="../charts/chart6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image" Target="../media/image2.sv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image" Target="../media/image2.svg"/><Relationship Id="rId5" Type="http://schemas.openxmlformats.org/officeDocument/2006/relationships/image" Target="../media/image1.png"/><Relationship Id="rId4" Type="http://schemas.openxmlformats.org/officeDocument/2006/relationships/hyperlink" Target="#'Max Led Consolidada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'Resumo Mensal  import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'Resumo Mensal  import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'Resumo Mensal  import'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'Resumo Mensal  import'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'Resumo Mensal Ilumini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'Resumo Mensal Ilumini'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'Resumo Mensal Ilumini'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'Resumo Mensal Ilumini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285748</xdr:colOff>
      <xdr:row>2</xdr:row>
      <xdr:rowOff>158002</xdr:rowOff>
    </xdr:from>
    <xdr:to>
      <xdr:col>14</xdr:col>
      <xdr:colOff>44823</xdr:colOff>
      <xdr:row>17</xdr:row>
      <xdr:rowOff>43702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173D63A-845B-85F2-3262-C6662CD8D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34</xdr:row>
      <xdr:rowOff>90767</xdr:rowOff>
    </xdr:from>
    <xdr:to>
      <xdr:col>2</xdr:col>
      <xdr:colOff>274545</xdr:colOff>
      <xdr:row>48</xdr:row>
      <xdr:rowOff>166967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54F53BD-8605-CC60-F1F5-5019AE2CB8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296956</xdr:colOff>
      <xdr:row>32</xdr:row>
      <xdr:rowOff>124384</xdr:rowOff>
    </xdr:from>
    <xdr:to>
      <xdr:col>8</xdr:col>
      <xdr:colOff>515471</xdr:colOff>
      <xdr:row>47</xdr:row>
      <xdr:rowOff>10084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2C05A88-94FF-6D99-1292-5481B79DD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347384</xdr:colOff>
      <xdr:row>22</xdr:row>
      <xdr:rowOff>186016</xdr:rowOff>
    </xdr:from>
    <xdr:to>
      <xdr:col>1</xdr:col>
      <xdr:colOff>649943</xdr:colOff>
      <xdr:row>24</xdr:row>
      <xdr:rowOff>62751</xdr:rowOff>
    </xdr:to>
    <xdr:pic>
      <xdr:nvPicPr>
        <xdr:cNvPr id="3" name="Gráfico 2" descr="Seta: Curva no sentido anti-horário com preenchimento sólido">
          <a:extLst>
            <a:ext uri="{FF2B5EF4-FFF2-40B4-BE49-F238E27FC236}">
              <a16:creationId xmlns:a16="http://schemas.microsoft.com/office/drawing/2014/main" id="{FA3D4CEA-E6AE-C8FA-1D4D-3C986D287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 rot="17987798">
          <a:off x="1680884" y="4388222"/>
          <a:ext cx="302559" cy="302559"/>
        </a:xfrm>
        <a:prstGeom prst="rect">
          <a:avLst/>
        </a:prstGeom>
      </xdr:spPr>
    </xdr:pic>
    <xdr:clientData/>
  </xdr:twoCellAnchor>
  <xdr:twoCellAnchor editAs="oneCell">
    <xdr:from>
      <xdr:col>1</xdr:col>
      <xdr:colOff>410137</xdr:colOff>
      <xdr:row>28</xdr:row>
      <xdr:rowOff>2241</xdr:rowOff>
    </xdr:from>
    <xdr:to>
      <xdr:col>1</xdr:col>
      <xdr:colOff>712696</xdr:colOff>
      <xdr:row>29</xdr:row>
      <xdr:rowOff>69476</xdr:rowOff>
    </xdr:to>
    <xdr:pic>
      <xdr:nvPicPr>
        <xdr:cNvPr id="4" name="Gráfico 3" descr="Seta: Curva no sentido anti-horário com preenchimento sólido">
          <a:extLst>
            <a:ext uri="{FF2B5EF4-FFF2-40B4-BE49-F238E27FC236}">
              <a16:creationId xmlns:a16="http://schemas.microsoft.com/office/drawing/2014/main" id="{DD35EB07-939D-4C75-804F-81EDEFCF8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 rot="17987798">
          <a:off x="1743637" y="5190565"/>
          <a:ext cx="302559" cy="302559"/>
        </a:xfrm>
        <a:prstGeom prst="rect">
          <a:avLst/>
        </a:prstGeom>
      </xdr:spPr>
    </xdr:pic>
    <xdr:clientData/>
  </xdr:twoCellAnchor>
  <xdr:twoCellAnchor editAs="oneCell">
    <xdr:from>
      <xdr:col>7</xdr:col>
      <xdr:colOff>259979</xdr:colOff>
      <xdr:row>22</xdr:row>
      <xdr:rowOff>154642</xdr:rowOff>
    </xdr:from>
    <xdr:to>
      <xdr:col>7</xdr:col>
      <xdr:colOff>562538</xdr:colOff>
      <xdr:row>24</xdr:row>
      <xdr:rowOff>31377</xdr:rowOff>
    </xdr:to>
    <xdr:pic>
      <xdr:nvPicPr>
        <xdr:cNvPr id="6" name="Gráfico 5" descr="Seta: Curva no sentido anti-horário com preenchimento sólido">
          <a:extLst>
            <a:ext uri="{FF2B5EF4-FFF2-40B4-BE49-F238E27FC236}">
              <a16:creationId xmlns:a16="http://schemas.microsoft.com/office/drawing/2014/main" id="{28873ADE-813F-42B8-B639-78BA6199E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 rot="17987798">
          <a:off x="9807391" y="4356848"/>
          <a:ext cx="302559" cy="302559"/>
        </a:xfrm>
        <a:prstGeom prst="rect">
          <a:avLst/>
        </a:prstGeom>
      </xdr:spPr>
    </xdr:pic>
    <xdr:clientData/>
  </xdr:twoCellAnchor>
  <xdr:twoCellAnchor editAs="oneCell">
    <xdr:from>
      <xdr:col>7</xdr:col>
      <xdr:colOff>345142</xdr:colOff>
      <xdr:row>27</xdr:row>
      <xdr:rowOff>4482</xdr:rowOff>
    </xdr:from>
    <xdr:to>
      <xdr:col>7</xdr:col>
      <xdr:colOff>647701</xdr:colOff>
      <xdr:row>28</xdr:row>
      <xdr:rowOff>71718</xdr:rowOff>
    </xdr:to>
    <xdr:pic>
      <xdr:nvPicPr>
        <xdr:cNvPr id="9" name="Gráfico 8" descr="Seta: Curva no sentido anti-horário com preenchimento sólido">
          <a:extLst>
            <a:ext uri="{FF2B5EF4-FFF2-40B4-BE49-F238E27FC236}">
              <a16:creationId xmlns:a16="http://schemas.microsoft.com/office/drawing/2014/main" id="{0ACB6487-BF85-4FE8-9CD1-E9E90FC0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 rot="17987798">
          <a:off x="9892554" y="5204011"/>
          <a:ext cx="302559" cy="302559"/>
        </a:xfrm>
        <a:prstGeom prst="rect">
          <a:avLst/>
        </a:prstGeom>
      </xdr:spPr>
    </xdr:pic>
    <xdr:clientData/>
  </xdr:twoCellAnchor>
  <xdr:twoCellAnchor>
    <xdr:from>
      <xdr:col>2</xdr:col>
      <xdr:colOff>431426</xdr:colOff>
      <xdr:row>33</xdr:row>
      <xdr:rowOff>190499</xdr:rowOff>
    </xdr:from>
    <xdr:to>
      <xdr:col>3</xdr:col>
      <xdr:colOff>1927412</xdr:colOff>
      <xdr:row>47</xdr:row>
      <xdr:rowOff>122142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8FAC3FA-FD7E-7B07-0AAB-2886A241EC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128867</xdr:colOff>
      <xdr:row>35</xdr:row>
      <xdr:rowOff>89646</xdr:rowOff>
    </xdr:from>
    <xdr:to>
      <xdr:col>9</xdr:col>
      <xdr:colOff>2599765</xdr:colOff>
      <xdr:row>49</xdr:row>
      <xdr:rowOff>99731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2655652-785E-05EC-4AE5-025B4121FC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591910</xdr:colOff>
      <xdr:row>17</xdr:row>
      <xdr:rowOff>163286</xdr:rowOff>
    </xdr:from>
    <xdr:to>
      <xdr:col>12</xdr:col>
      <xdr:colOff>489857</xdr:colOff>
      <xdr:row>31</xdr:row>
      <xdr:rowOff>176894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C42478A-E240-6CD3-6EEA-34FF29983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97123</xdr:colOff>
      <xdr:row>0</xdr:row>
      <xdr:rowOff>45065</xdr:rowOff>
    </xdr:from>
    <xdr:to>
      <xdr:col>5</xdr:col>
      <xdr:colOff>559216</xdr:colOff>
      <xdr:row>2</xdr:row>
      <xdr:rowOff>126158</xdr:rowOff>
    </xdr:to>
    <xdr:pic>
      <xdr:nvPicPr>
        <xdr:cNvPr id="5" name="Gráfico 4" descr="Seta: Curva no sentido anti-horário com preenchimento sólid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B8301DF-55BC-4F05-8750-402E0FA03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rot="17987798">
          <a:off x="9037016" y="45065"/>
          <a:ext cx="462093" cy="462093"/>
        </a:xfrm>
        <a:prstGeom prst="rect">
          <a:avLst/>
        </a:prstGeom>
      </xdr:spPr>
    </xdr:pic>
    <xdr:clientData/>
  </xdr:twoCellAnchor>
  <xdr:twoCellAnchor>
    <xdr:from>
      <xdr:col>6</xdr:col>
      <xdr:colOff>605518</xdr:colOff>
      <xdr:row>32</xdr:row>
      <xdr:rowOff>95250</xdr:rowOff>
    </xdr:from>
    <xdr:to>
      <xdr:col>9</xdr:col>
      <xdr:colOff>979714</xdr:colOff>
      <xdr:row>46</xdr:row>
      <xdr:rowOff>160564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FD9163A-2942-8D40-7BA0-FA801C7111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1177017</xdr:colOff>
      <xdr:row>32</xdr:row>
      <xdr:rowOff>40821</xdr:rowOff>
    </xdr:from>
    <xdr:to>
      <xdr:col>12</xdr:col>
      <xdr:colOff>476250</xdr:colOff>
      <xdr:row>47</xdr:row>
      <xdr:rowOff>24492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36F8291-8BC5-5C04-CB35-52AED7098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1040945</xdr:colOff>
      <xdr:row>17</xdr:row>
      <xdr:rowOff>111579</xdr:rowOff>
    </xdr:from>
    <xdr:to>
      <xdr:col>11</xdr:col>
      <xdr:colOff>81643</xdr:colOff>
      <xdr:row>30</xdr:row>
      <xdr:rowOff>149679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C04D69-BE1D-F270-0D43-F0F7DD6906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1040946</xdr:colOff>
      <xdr:row>32</xdr:row>
      <xdr:rowOff>16329</xdr:rowOff>
    </xdr:from>
    <xdr:to>
      <xdr:col>8</xdr:col>
      <xdr:colOff>612321</xdr:colOff>
      <xdr:row>47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5908E6D-BE56-8720-DAB8-DF4F283FDA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925285</xdr:colOff>
      <xdr:row>32</xdr:row>
      <xdr:rowOff>27214</xdr:rowOff>
    </xdr:from>
    <xdr:to>
      <xdr:col>11</xdr:col>
      <xdr:colOff>190499</xdr:colOff>
      <xdr:row>47</xdr:row>
      <xdr:rowOff>136072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5FE0FC-6881-079E-C2FB-BB4A1379EE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95250</xdr:colOff>
      <xdr:row>0</xdr:row>
      <xdr:rowOff>84267</xdr:rowOff>
    </xdr:from>
    <xdr:to>
      <xdr:col>5</xdr:col>
      <xdr:colOff>557343</xdr:colOff>
      <xdr:row>2</xdr:row>
      <xdr:rowOff>165360</xdr:rowOff>
    </xdr:to>
    <xdr:pic>
      <xdr:nvPicPr>
        <xdr:cNvPr id="5" name="Gráfico 4" descr="Seta: Curva no sentido anti-horário com preenchimento sólido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C4D3D87-8AFE-4CA1-ABBE-998F89CE2D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17987798">
          <a:off x="9552214" y="84267"/>
          <a:ext cx="462093" cy="46209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247651</xdr:colOff>
      <xdr:row>0</xdr:row>
      <xdr:rowOff>56594</xdr:rowOff>
    </xdr:from>
    <xdr:to>
      <xdr:col>4</xdr:col>
      <xdr:colOff>574492</xdr:colOff>
      <xdr:row>2</xdr:row>
      <xdr:rowOff>2435</xdr:rowOff>
    </xdr:to>
    <xdr:pic>
      <xdr:nvPicPr>
        <xdr:cNvPr id="2" name="Gráfico 1" descr="Seta: Curva no sentido anti-horário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10C7E3-EA69-4742-963D-90B00D005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rot="17830409">
          <a:off x="4695826" y="56594"/>
          <a:ext cx="326841" cy="32684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44824</xdr:colOff>
      <xdr:row>0</xdr:row>
      <xdr:rowOff>56595</xdr:rowOff>
    </xdr:from>
    <xdr:to>
      <xdr:col>5</xdr:col>
      <xdr:colOff>371665</xdr:colOff>
      <xdr:row>2</xdr:row>
      <xdr:rowOff>2436</xdr:rowOff>
    </xdr:to>
    <xdr:pic>
      <xdr:nvPicPr>
        <xdr:cNvPr id="2" name="Gráfico 1" descr="Seta: Curva no sentido anti-horário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4D04A54-C9CC-4C3D-88D8-BE2A6FE23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rot="17830409">
          <a:off x="4818530" y="56595"/>
          <a:ext cx="326841" cy="32684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56595</xdr:rowOff>
    </xdr:from>
    <xdr:to>
      <xdr:col>5</xdr:col>
      <xdr:colOff>507817</xdr:colOff>
      <xdr:row>1</xdr:row>
      <xdr:rowOff>50061</xdr:rowOff>
    </xdr:to>
    <xdr:pic>
      <xdr:nvPicPr>
        <xdr:cNvPr id="2" name="Gráfico 1" descr="Seta: Curva no sentido anti-horário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DCD0C2-4563-43FD-BAC5-4AEE1DF27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rot="17830409">
          <a:off x="3562351" y="56595"/>
          <a:ext cx="326841" cy="32684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123541</xdr:colOff>
      <xdr:row>0</xdr:row>
      <xdr:rowOff>56595</xdr:rowOff>
    </xdr:from>
    <xdr:to>
      <xdr:col>4</xdr:col>
      <xdr:colOff>450382</xdr:colOff>
      <xdr:row>1</xdr:row>
      <xdr:rowOff>50061</xdr:rowOff>
    </xdr:to>
    <xdr:pic>
      <xdr:nvPicPr>
        <xdr:cNvPr id="3" name="Gráfico 2" descr="Seta: Curva no sentido anti-horário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B5A61D8-A8DF-F9E5-2D4C-7542F9002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rot="17830409">
          <a:off x="5829016" y="56595"/>
          <a:ext cx="326841" cy="32684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6</xdr:col>
      <xdr:colOff>326841</xdr:colOff>
      <xdr:row>1</xdr:row>
      <xdr:rowOff>126816</xdr:rowOff>
    </xdr:to>
    <xdr:pic>
      <xdr:nvPicPr>
        <xdr:cNvPr id="2" name="Gráfico 1" descr="Seta: Curva no sentido anti-horário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7D7693A-3E11-4DC5-9064-5233A4596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rot="17830409">
          <a:off x="6610350" y="0"/>
          <a:ext cx="326841" cy="32684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180975</xdr:colOff>
      <xdr:row>0</xdr:row>
      <xdr:rowOff>56595</xdr:rowOff>
    </xdr:from>
    <xdr:to>
      <xdr:col>6</xdr:col>
      <xdr:colOff>507816</xdr:colOff>
      <xdr:row>1</xdr:row>
      <xdr:rowOff>183411</xdr:rowOff>
    </xdr:to>
    <xdr:pic>
      <xdr:nvPicPr>
        <xdr:cNvPr id="2" name="Gráfico 1" descr="Seta: Curva no sentido anti-horário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AE4195-E7DA-46AB-A059-F5F90948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rot="17830409">
          <a:off x="7458075" y="56595"/>
          <a:ext cx="326841" cy="32684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200024</xdr:colOff>
      <xdr:row>0</xdr:row>
      <xdr:rowOff>56596</xdr:rowOff>
    </xdr:from>
    <xdr:to>
      <xdr:col>5</xdr:col>
      <xdr:colOff>526865</xdr:colOff>
      <xdr:row>2</xdr:row>
      <xdr:rowOff>2437</xdr:rowOff>
    </xdr:to>
    <xdr:pic>
      <xdr:nvPicPr>
        <xdr:cNvPr id="2" name="Gráfico 1" descr="Seta: Curva no sentido anti-horário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5033AE-3C65-4FDF-9E2E-6F592F93C3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rot="17830409">
          <a:off x="6734174" y="56596"/>
          <a:ext cx="326841" cy="32684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0</xdr:rowOff>
    </xdr:from>
    <xdr:to>
      <xdr:col>9</xdr:col>
      <xdr:colOff>326841</xdr:colOff>
      <xdr:row>0</xdr:row>
      <xdr:rowOff>326841</xdr:rowOff>
    </xdr:to>
    <xdr:pic>
      <xdr:nvPicPr>
        <xdr:cNvPr id="2" name="Gráfico 1" descr="Seta: Curva no sentido anti-horário com preenchiment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B5C9D21-B9F5-43A6-BE6F-CD90D2E82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rot="17830409">
          <a:off x="9058275" y="0"/>
          <a:ext cx="326841" cy="326841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4ECBB4-B910-4A32-B1D1-9CAF8226765F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d8e1c71-abec-4eed-8b53-43a42f3283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52092-89D6-48D4-975C-F17F093C57A9}">
  <dimension ref="A1:AG36"/>
  <sheetViews>
    <sheetView topLeftCell="A22" zoomScale="85" zoomScaleNormal="85" workbookViewId="0">
      <selection activeCell="B22" sqref="B22"/>
    </sheetView>
  </sheetViews>
  <sheetFormatPr defaultRowHeight="15"/>
  <cols>
    <col min="1" max="1" width="20" customWidth="1"/>
    <col min="2" max="2" width="19.7109375" customWidth="1"/>
    <col min="3" max="3" width="16.140625" customWidth="1"/>
    <col min="4" max="4" width="44.140625" bestFit="1" customWidth="1"/>
    <col min="5" max="5" width="19.140625" customWidth="1"/>
    <col min="7" max="7" width="21.5703125" customWidth="1"/>
    <col min="8" max="8" width="18.42578125" customWidth="1"/>
    <col min="10" max="10" width="44.140625" bestFit="1" customWidth="1"/>
    <col min="11" max="11" width="14.28515625" bestFit="1" customWidth="1"/>
    <col min="12" max="12" width="44.140625" style="26" bestFit="1" customWidth="1"/>
    <col min="13" max="13" width="14.28515625" style="26" bestFit="1" customWidth="1"/>
    <col min="14" max="33" width="9.140625" style="26"/>
  </cols>
  <sheetData>
    <row r="1" spans="1:11">
      <c r="A1" s="489" t="s">
        <v>0</v>
      </c>
      <c r="B1" s="489"/>
      <c r="C1" s="489"/>
      <c r="D1" s="489"/>
      <c r="E1" s="489"/>
      <c r="F1" s="489"/>
      <c r="G1" s="489"/>
      <c r="H1" s="489"/>
      <c r="I1" s="489"/>
      <c r="J1" s="489"/>
      <c r="K1" s="489"/>
    </row>
    <row r="2" spans="1:11">
      <c r="A2" s="489"/>
      <c r="B2" s="489"/>
      <c r="C2" s="489"/>
      <c r="D2" s="489"/>
      <c r="E2" s="489"/>
      <c r="F2" s="489"/>
      <c r="G2" s="489"/>
      <c r="H2" s="489"/>
      <c r="I2" s="489"/>
      <c r="J2" s="489"/>
      <c r="K2" s="489"/>
    </row>
    <row r="3" spans="1:11">
      <c r="A3" s="489"/>
      <c r="B3" s="489"/>
      <c r="C3" s="489"/>
      <c r="D3" s="489"/>
      <c r="E3" s="489"/>
      <c r="F3" s="489"/>
      <c r="G3" s="489"/>
      <c r="H3" s="489"/>
      <c r="I3" s="489"/>
      <c r="J3" s="489"/>
      <c r="K3" s="489"/>
    </row>
    <row r="4" spans="1:11">
      <c r="A4" s="476" t="s">
        <v>1</v>
      </c>
      <c r="B4" s="477"/>
      <c r="C4" s="31"/>
      <c r="D4" s="29" t="s">
        <v>2</v>
      </c>
      <c r="E4" s="198">
        <f>IF(B8="ANUAL",DATE(2026,1,1),DATE(2026,MATCH(B8,{"JANEIRO";"FEVEREIRO";"MARÇO";"ABRIL";"MAIO";"JUNHO";"JULHO";"AGOSTO";"SETEMBRO";"OUTUBRO";"NOVEMBRO";"DEZEMBRO"},0),1))</f>
        <v>46023</v>
      </c>
      <c r="F4" s="26"/>
      <c r="G4" s="494" t="s">
        <v>3</v>
      </c>
      <c r="H4" s="494"/>
      <c r="I4" s="26"/>
      <c r="J4" s="44" t="s">
        <v>2</v>
      </c>
      <c r="K4" s="198">
        <f>IF(H8="ANUAL",DATE(2026,1,1),DATE(2026,MATCH(H8,{"JANEIRO";"FEVEREIRO";"MARÇO";"ABRIL";"MAIO";"JUNHO";"JULHO";"AGOSTO";"SETEMBRO";"OUTUBRO";"NOVEMBRO";"DEZEMBRO"},0),1))</f>
        <v>46023</v>
      </c>
    </row>
    <row r="5" spans="1:11">
      <c r="A5" s="478"/>
      <c r="B5" s="479"/>
      <c r="C5" s="31"/>
      <c r="D5" s="29" t="s">
        <v>4</v>
      </c>
      <c r="E5" s="198">
        <f>IF(B8="ANUAL",DATE(2026,12,31),EOMONTH(DATE(2026,MATCH(B8,{"JANEIRO";"FEVEREIRO";"MARÇO";"ABRIL";"MAIO";"JUNHO";"JULHO";"AGOSTO";"SETEMBRO";"OUTUBRO";"NOVEMBRO";"DEZEMBRO"},0),1),0))</f>
        <v>46387</v>
      </c>
      <c r="F5" s="26"/>
      <c r="G5" s="495"/>
      <c r="H5" s="495"/>
      <c r="I5" s="26"/>
      <c r="J5" s="44" t="s">
        <v>4</v>
      </c>
      <c r="K5" s="198">
        <f>IF(H8="ANUAL",DATE(2026,12,31),EOMONTH(DATE(2026,MATCH(H8,{"JANEIRO";"FEVEREIRO";"MARÇO";"ABRIL";"MAIO";"JUNHO";"JULHO";"AGOSTO";"SETEMBRO";"OUTUBRO";"NOVEMBRO";"DEZEMBRO"},0),1),0))</f>
        <v>46387</v>
      </c>
    </row>
    <row r="6" spans="1:11">
      <c r="A6" s="43"/>
      <c r="B6" s="27"/>
      <c r="C6" s="31"/>
      <c r="D6" s="33"/>
      <c r="E6" s="199"/>
      <c r="F6" s="26"/>
      <c r="G6" s="205"/>
      <c r="H6" s="209"/>
      <c r="I6" s="26"/>
      <c r="J6" s="211"/>
      <c r="K6" s="199"/>
    </row>
    <row r="7" spans="1:11">
      <c r="A7" s="43"/>
      <c r="B7" s="27"/>
      <c r="C7" s="31"/>
      <c r="D7" s="34" t="s">
        <v>5</v>
      </c>
      <c r="E7" s="200">
        <f>SUMIFS('ENTRADAS - FIN - ilumi'!D:D,'ENTRADAS - FIN - ilumi'!A:A,"&gt;="&amp;E4,'ENTRADAS - FIN - ilumi'!A:A,"&lt;="&amp;E5)+SUMIFS('Entradas- fin- import'!D:D,'Entradas- fin- import'!A:A,"&gt;="&amp;E4,'Entradas- fin- import'!A:A,"&lt;="&amp;E5)</f>
        <v>1320363.173</v>
      </c>
      <c r="F7" s="26"/>
      <c r="G7" s="28"/>
      <c r="H7" s="202"/>
      <c r="I7" s="26"/>
      <c r="J7" s="212" t="s">
        <v>5</v>
      </c>
      <c r="K7" s="200">
        <f>SUMIFS('SAÍDA NFE ILUMI'!D:D,'SAÍDA NFE ILUMI'!A:A,"&gt;="&amp;K4,'SAÍDA NFE ILUMI'!A:A,"&lt;="&amp;K5)+SUMIFS('Saídas-NFE-import'!D:D,'Saídas-NFE-import'!A:A,"&gt;="&amp;K4,'Saídas-NFE-import'!A:A,"&lt;="&amp;K5)</f>
        <v>1329627.7099999979</v>
      </c>
    </row>
    <row r="8" spans="1:11">
      <c r="A8" s="480" t="s">
        <v>6</v>
      </c>
      <c r="B8" s="481" t="s">
        <v>1452</v>
      </c>
      <c r="C8" s="31"/>
      <c r="D8" s="34" t="s">
        <v>8</v>
      </c>
      <c r="E8" s="200">
        <f>SUMIFS('SAIDAS-FIN-ilumi'!D:D,'SAIDAS-FIN-ilumi'!C:C,"IMPOSTOS",'SAIDAS-FIN-ilumi'!A:A,"&gt;="&amp;E4,'SAIDAS-FIN-ilumi'!A:A,"&lt;="&amp;E5)+SUMIFS('Saidas-fin-import'!D:D,'Saidas-fin-import'!C:C,"IMPOSTOS",'Saidas-fin-import'!A:A,"&gt;="&amp;E4,'Saidas-fin-import'!A:A,"&lt;="&amp;E5)</f>
        <v>126805.15999999999</v>
      </c>
      <c r="F8" s="26"/>
      <c r="G8" s="496" t="s">
        <v>6</v>
      </c>
      <c r="H8" s="481" t="s">
        <v>1452</v>
      </c>
      <c r="I8" s="26"/>
      <c r="J8" s="212" t="s">
        <v>9</v>
      </c>
      <c r="K8" s="200">
        <f>SUMIFS('SAÍDA NFE ILUMI'!I:I,'SAÍDA NFE ILUMI'!J:J,"SNF",'SAÍDA NFE ILUMI'!F:F,"&gt;="&amp;K4,'SAÍDA NFE ILUMI'!F:F,"&lt;="&amp;K5)+SUMIFS('Saídas-NFE-import'!D:D,'Saídas-NFE-import'!E:E,"SNF",'Saídas-NFE-import'!A:A,"&gt;="&amp;K4,'Saídas-NFE-import'!A:A,"&lt;="&amp;K5)</f>
        <v>23074.52</v>
      </c>
    </row>
    <row r="9" spans="1:11">
      <c r="A9" s="480"/>
      <c r="B9" s="481"/>
      <c r="C9" s="31"/>
      <c r="D9" s="34" t="s">
        <v>10</v>
      </c>
      <c r="E9" s="200">
        <f>E7-E8</f>
        <v>1193558.013</v>
      </c>
      <c r="F9" s="26"/>
      <c r="G9" s="497"/>
      <c r="H9" s="481"/>
      <c r="I9" s="26"/>
      <c r="J9" s="213" t="s">
        <v>11</v>
      </c>
      <c r="K9" s="215">
        <f>K7+K8</f>
        <v>1352702.2299999979</v>
      </c>
    </row>
    <row r="10" spans="1:11">
      <c r="A10" s="43"/>
      <c r="B10" s="216"/>
      <c r="C10" s="31"/>
      <c r="D10" s="35"/>
      <c r="E10" s="201"/>
      <c r="F10" s="26"/>
      <c r="G10" s="28"/>
      <c r="H10" s="234"/>
      <c r="I10" s="26"/>
      <c r="J10" s="212" t="s">
        <v>8</v>
      </c>
      <c r="K10" s="200">
        <f>K7*0.1</f>
        <v>132962.7709999998</v>
      </c>
    </row>
    <row r="11" spans="1:11">
      <c r="A11" s="43"/>
      <c r="B11" s="27"/>
      <c r="C11" s="31"/>
      <c r="D11" s="34" t="s">
        <v>12</v>
      </c>
      <c r="E11" s="200">
        <f>SUMIFS('SAIDAS-FIN-ilumi'!D:D,'SAIDAS-FIN-ilumi'!C:C,"FORNECEDORES",'SAIDAS-FIN-ilumi'!A:A,"&gt;="&amp;E4,'SAIDAS-FIN-ilumi'!A:A,"&lt;="&amp;E5)+SUMIFS('Saidas-fin-import'!D:D,'Saidas-fin-import'!C:C,"FORNECEDORES",'Saidas-fin-import'!A:A,"&gt;="&amp;E4,'Saidas-fin-import'!A:A,"&lt;="&amp;E5)</f>
        <v>589287.19000000029</v>
      </c>
      <c r="F11" s="26"/>
      <c r="G11" s="28"/>
      <c r="H11" s="202"/>
      <c r="I11" s="26"/>
      <c r="J11" s="212" t="s">
        <v>10</v>
      </c>
      <c r="K11" s="200">
        <f>K9-K10</f>
        <v>1219739.4589999982</v>
      </c>
    </row>
    <row r="12" spans="1:11">
      <c r="A12" s="502" t="s">
        <v>13</v>
      </c>
      <c r="B12" s="504">
        <f>B15-B18+B23</f>
        <v>24990.142999999778</v>
      </c>
      <c r="C12" s="31"/>
      <c r="D12" s="34" t="s">
        <v>14</v>
      </c>
      <c r="E12" s="222">
        <f>E9-E11</f>
        <v>604270.82299999974</v>
      </c>
      <c r="F12" s="231"/>
      <c r="G12" s="498" t="s">
        <v>13</v>
      </c>
      <c r="H12" s="484">
        <f>H15-H18</f>
        <v>597770.17999999819</v>
      </c>
      <c r="I12" s="26"/>
      <c r="J12" s="214"/>
      <c r="K12" s="201"/>
    </row>
    <row r="13" spans="1:11">
      <c r="A13" s="503"/>
      <c r="B13" s="505"/>
      <c r="C13" s="31"/>
      <c r="D13" s="229"/>
      <c r="E13" s="220"/>
      <c r="F13" s="26"/>
      <c r="G13" s="499"/>
      <c r="H13" s="485"/>
      <c r="I13" s="26"/>
      <c r="J13" s="212" t="s">
        <v>12</v>
      </c>
      <c r="K13" s="200">
        <f>SUMIFS('ENTRADA NFE ILUMI'!D:D,'ENTRADA NFE ILUMI'!A:A,"&gt;="&amp;K4,'ENTRADA NFE ILUMI'!A:A,"&lt;="&amp;K5)+SUMIFS('Entradas-NFE-Import'!D:D,'Entradas-NFE-Import'!A:A,"&gt;="&amp;K4,'Entradas-NFE-Import'!A:A,"&lt;="&amp;K5)</f>
        <v>731857.52999999968</v>
      </c>
    </row>
    <row r="14" spans="1:11">
      <c r="A14" s="43"/>
      <c r="B14" s="42"/>
      <c r="C14" s="31"/>
      <c r="D14" s="230" t="s">
        <v>15</v>
      </c>
      <c r="E14" s="233"/>
      <c r="F14" s="26"/>
      <c r="G14" s="206"/>
      <c r="H14" s="210"/>
      <c r="I14" s="26"/>
      <c r="J14" s="212" t="s">
        <v>14</v>
      </c>
      <c r="K14" s="200">
        <f>K11-K13</f>
        <v>487881.92899999849</v>
      </c>
    </row>
    <row r="15" spans="1:11">
      <c r="A15" s="506" t="s">
        <v>16</v>
      </c>
      <c r="B15" s="508">
        <f>SUMIFS('ENTRADAS - FIN - ilumi'!D:D,'ENTRADAS - FIN - ilumi'!A:A,"&gt;="&amp;E4,'ENTRADAS - FIN - ilumi'!A:A,"&lt;="&amp;E5)+SUMIFS('Entradas- fin- import'!D:D,'Entradas- fin- import'!A:A,"&gt;="&amp;E4,'Entradas- fin- import'!A:A,"&lt;="&amp;E5)</f>
        <v>1320363.173</v>
      </c>
      <c r="C15" s="31"/>
      <c r="D15" s="34" t="s">
        <v>17</v>
      </c>
      <c r="E15" s="219">
        <f>SUMIFS('SAIDAS-FIN-ilumi'!D:D,'SAIDAS-FIN-ilumi'!C:C,"FUNCIONÁRIOS",'SAIDAS-FIN-ilumi'!A:A,"&gt;="&amp;E4,'SAIDAS-FIN-ilumi'!A:A,"&lt;="&amp;E5)+SUMIFS('Saidas-fin-import'!D:D,'Saidas-fin-import'!C:C,"FUNCIONÁRIOS",'Saidas-fin-import'!A:A,"&gt;="&amp;E4,'Saidas-fin-import'!A:A,"&lt;="&amp;E5)</f>
        <v>94536.140000000029</v>
      </c>
      <c r="F15" s="232"/>
      <c r="G15" s="500" t="s">
        <v>16</v>
      </c>
      <c r="H15" s="486">
        <f>SUMIFS('SAÍDA NFE ILUMI'!D:D,'SAÍDA NFE ILUMI'!A:A,"&gt;="&amp;K4,'SAÍDA NFE ILUMI'!A:A,"&lt;="&amp;K5)+SUMIFS('Saídas-NFE-import'!D:D,'Saídas-NFE-import'!A:A,"&gt;="&amp;K4,'Saídas-NFE-import'!A:A,"&lt;="&amp;K5)</f>
        <v>1329627.7099999979</v>
      </c>
      <c r="I15" s="26"/>
      <c r="J15" s="214"/>
      <c r="K15" s="218"/>
    </row>
    <row r="16" spans="1:11">
      <c r="A16" s="507"/>
      <c r="B16" s="493"/>
      <c r="C16" s="31"/>
      <c r="D16" s="34" t="s">
        <v>18</v>
      </c>
      <c r="E16" s="200">
        <f>SUMIFS('SAIDAS-FIN-ilumi'!D:D,'SAIDAS-FIN-ilumi'!C:C,"GASTOS FIXOS",'SAIDAS-FIN-ilumi'!A:A,"&gt;="&amp;E4,'SAIDAS-FIN-ilumi'!A:A,"&lt;="&amp;E5)+SUMIFS('Saidas-fin-import'!D:D,'Saidas-fin-import'!C:C,"GASTOS FIXOS",'Saidas-fin-import'!A:A,"&gt;="&amp;E4,'Saidas-fin-import'!A:A,"&lt;="&amp;E5)</f>
        <v>65481.830000000009</v>
      </c>
      <c r="F16" s="26"/>
      <c r="G16" s="501"/>
      <c r="H16" s="470"/>
      <c r="I16" s="26"/>
      <c r="J16" s="217" t="s">
        <v>15</v>
      </c>
      <c r="K16" s="220"/>
    </row>
    <row r="17" spans="1:11">
      <c r="A17" s="43"/>
      <c r="B17" s="42"/>
      <c r="C17" s="31"/>
      <c r="D17" s="34" t="s">
        <v>19</v>
      </c>
      <c r="E17" s="200">
        <f>SUMIFS('SAIDAS-FIN-ilumi'!D:D,'SAIDAS-FIN-ilumi'!C:C,"MANUTENÇÃO",'SAIDAS-FIN-ilumi'!A:A,"&gt;="&amp;E4,'SAIDAS-FIN-ilumi'!A:A,"&lt;="&amp;E5)</f>
        <v>1585</v>
      </c>
      <c r="F17" s="26"/>
      <c r="G17" s="206"/>
      <c r="H17" s="210"/>
      <c r="I17" s="26"/>
      <c r="J17" s="212" t="s">
        <v>20</v>
      </c>
      <c r="K17" s="219">
        <f>SUMIFS('SAÍDA NFE ILUMI'!I:I,'SAÍDA NFE ILUMI'!J:J,"DEVOLUÇÕES",'SAÍDA NFE ILUMI'!F:F,"&gt;="&amp;E22,'SAÍDA NFE ILUMI'!F:F,"&lt;="&amp;E23)</f>
        <v>0</v>
      </c>
    </row>
    <row r="18" spans="1:11">
      <c r="A18" s="490" t="s">
        <v>21</v>
      </c>
      <c r="B18" s="492">
        <f>SUMIFS('Saidas-fin-import'!D:D,'Saidas-fin-import'!A:A,"&gt;="&amp;E4,'Saidas-fin-import'!A:A,"&lt;="&amp;E5)+SUMIFS('SAIDAS-FIN-ilumi'!D:D,'SAIDAS-FIN-ilumi'!A:A,"&gt;="&amp;E4,'SAIDAS-FIN-ilumi'!A:A,"&lt;="&amp;E5)</f>
        <v>1403480.6800000002</v>
      </c>
      <c r="C18" s="31"/>
      <c r="D18" s="34" t="s">
        <v>22</v>
      </c>
      <c r="E18" s="200">
        <f>SUMIFS('SAIDAS-FIN-ilumi'!D:D,'SAIDAS-FIN-ilumi'!C:C,"TRANSPORTES",'SAIDAS-FIN-ilumi'!A:A,"&gt;="&amp;E4,'SAIDAS-FIN-ilumi'!A:A,"&lt;="&amp;E5)</f>
        <v>24967.74</v>
      </c>
      <c r="F18" s="26"/>
      <c r="G18" s="482" t="s">
        <v>21</v>
      </c>
      <c r="H18" s="487">
        <f>SUMIFS('Entradas-NFE-Import'!D:D,'Entradas-NFE-Import'!A:A,"&gt;="&amp;K4,'Entradas-NFE-Import'!A:A,"&lt;="&amp;K5)+SUMIFS('ENTRADA NFE ILUMI'!D:D,'ENTRADA NFE ILUMI'!A:A,"&gt;="&amp;K4,'ENTRADA NFE ILUMI'!A:A,"&lt;="&amp;K5)</f>
        <v>731857.52999999968</v>
      </c>
      <c r="I18" s="26"/>
      <c r="J18" s="212" t="s">
        <v>17</v>
      </c>
      <c r="K18" s="200">
        <f>SUMIFS('SAIDAS-FIN-ilumi'!D:D,'SAIDAS-FIN-ilumi'!C:C,"FUNCIONÁRIOS",'SAIDAS-FIN-ilumi'!A:A,"&gt;="&amp;K4,'SAIDAS-FIN-ilumi'!A:A,"&lt;="&amp;K5)+SUMIFS('Saidas-fin-import'!D:D,'Saidas-fin-import'!C:C,"FUNCIONÁRIOS",'Saidas-fin-import'!A:A,"&gt;="&amp;K4,'Saidas-fin-import'!A:A,"&lt;="&amp;K5)</f>
        <v>94536.140000000029</v>
      </c>
    </row>
    <row r="19" spans="1:11">
      <c r="A19" s="491"/>
      <c r="B19" s="493"/>
      <c r="C19" s="31"/>
      <c r="D19" s="34" t="s">
        <v>23</v>
      </c>
      <c r="E19" s="200">
        <f>SUMIFS('SAIDAS-FIN-ilumi'!D:D,'SAIDAS-FIN-ilumi'!C:C,"EMPRÉSTIMO",'SAIDAS-FIN-ilumi'!A:A,"&gt;="&amp;E4,'SAIDAS-FIN-ilumi'!A:A,"&lt;="&amp;E5)+SUMIFS('Saidas-fin-import'!D:D,'Saidas-fin-import'!C:C,"EMPRÉSTIMOS",'Saidas-fin-import'!A:A,"&gt;="&amp;E4,'Saidas-fin-import'!A:A,"&lt;="&amp;E5)</f>
        <v>42296.57</v>
      </c>
      <c r="F19" s="26"/>
      <c r="G19" s="483"/>
      <c r="H19" s="488"/>
      <c r="I19" s="26"/>
      <c r="J19" s="212" t="s">
        <v>18</v>
      </c>
      <c r="K19" s="200">
        <f>SUMIFS('SAIDAS-FIN-ilumi'!D:D,'SAIDAS-FIN-ilumi'!C:C,"GASTOS FIXOS",'SAIDAS-FIN-ilumi'!A:A,"&gt;="&amp;K4,'SAIDAS-FIN-ilumi'!A:A,"&lt;="&amp;K5)+SUMIFS('Saidas-fin-import'!D:D,'Saidas-fin-import'!C:C,"GASTOS FIXOS",'Saidas-fin-import'!A:A,"&gt;="&amp;K4,'Saidas-fin-import'!A:A,"&lt;="&amp;K5)</f>
        <v>65481.830000000009</v>
      </c>
    </row>
    <row r="20" spans="1:11">
      <c r="A20" s="350"/>
      <c r="B20" s="237"/>
      <c r="C20" s="31"/>
      <c r="D20" s="34" t="s">
        <v>24</v>
      </c>
      <c r="E20" s="200">
        <f>SUMIFS('SAIDAS-FIN-ilumi'!D:D,'SAIDAS-FIN-ilumi'!C:C,"SÓCIOS",'SAIDAS-FIN-ilumi'!A:A,"&gt;="&amp;E4,'SAIDAS-FIN-ilumi'!A:A,"&lt;="&amp;E5)+SUMIFS('Saidas-fin-import'!D:D,'Saidas-fin-import'!C:C,"SÓCIOS",'Saidas-fin-import'!A:A,"&gt;="&amp;E4,'Saidas-fin-import'!A:A,"&lt;="&amp;E5)</f>
        <v>126214.47</v>
      </c>
      <c r="F20" s="207"/>
      <c r="G20" s="26"/>
      <c r="H20" s="207"/>
      <c r="I20" s="26"/>
      <c r="J20" s="212" t="s">
        <v>19</v>
      </c>
      <c r="K20" s="200">
        <f>SUMIFS('SAIDAS-FIN-ilumi'!D:D,'SAIDAS-FIN-ilumi'!C:C,"MANUTENÇÃO",'SAIDAS-FIN-ilumi'!A:A,"&gt;="&amp;K4,'SAIDAS-FIN-ilumi'!A:A,"&lt;="&amp;K5)</f>
        <v>1585</v>
      </c>
    </row>
    <row r="21" spans="1:11">
      <c r="A21" s="352" t="s">
        <v>1467</v>
      </c>
      <c r="B21" s="355">
        <v>34572.78</v>
      </c>
      <c r="C21" s="31"/>
      <c r="D21" s="34" t="s">
        <v>25</v>
      </c>
      <c r="E21" s="200">
        <f>SUMIFS('SAIDAS-FIN-ilumi'!D:D,'SAIDAS-FIN-ilumi'!C:C,"CONSUMO",'SAIDAS-FIN-ilumi'!A:A,"&gt;="&amp;E4,'SAIDAS-FIN-ilumi'!A:A,"&lt;="&amp;E5)+SUMIFS('Saidas-fin-import'!D:D,'Saidas-fin-import'!C:C,"CONSUMO",'Saidas-fin-import'!A:A,"&gt;="&amp;E4,'Saidas-fin-import'!A:A,"&lt;="&amp;E5)</f>
        <v>12262.210000000001</v>
      </c>
      <c r="F21" s="207"/>
      <c r="G21" s="26"/>
      <c r="H21" s="26"/>
      <c r="I21" s="26"/>
      <c r="J21" s="212" t="s">
        <v>22</v>
      </c>
      <c r="K21" s="200">
        <f>SUMIFS('SAIDAS-FIN-ilumi'!D:D,'SAIDAS-FIN-ilumi'!C:C,"TRANSPORTES",'SAIDAS-FIN-ilumi'!A:A,"&gt;="&amp;K4,'SAIDAS-FIN-ilumi'!A:A,"&lt;="&amp;K5)</f>
        <v>24967.74</v>
      </c>
    </row>
    <row r="22" spans="1:11">
      <c r="A22" s="353" t="s">
        <v>1468</v>
      </c>
      <c r="B22" s="358">
        <v>73534.87</v>
      </c>
      <c r="C22" s="31"/>
      <c r="D22" s="34" t="s">
        <v>26</v>
      </c>
      <c r="E22" s="200">
        <f>SUMIFS('SAIDAS-FIN-ilumi'!D:D,'SAIDAS-FIN-ilumi'!C:C,"PUBLICIDADE",'SAIDAS-FIN-ilumi'!A:A,"&gt;="&amp;E4,'SAIDAS-FIN-ilumi'!A:A,"&lt;="&amp;E5)</f>
        <v>147</v>
      </c>
      <c r="F22" s="207"/>
      <c r="G22" s="26"/>
      <c r="H22" s="26"/>
      <c r="I22" s="26"/>
      <c r="J22" s="212" t="s">
        <v>23</v>
      </c>
      <c r="K22" s="200">
        <f>SUMIFS('SAIDAS-FIN-ilumi'!D:D,'SAIDAS-FIN-ilumi'!C:C,"EMPRÉSTIMO",'SAIDAS-FIN-ilumi'!A:A,"&gt;="&amp;K4,'SAIDAS-FIN-ilumi'!A:A,"&lt;="&amp;K5)+SUMIFS('Saidas-fin-import'!D:D,'Saidas-fin-import'!C:C,"EMPRÉSTIMOS",'Saidas-fin-import'!A:A,"&gt;="&amp;K4,'Saidas-fin-import'!A:A,"&lt;="&amp;K5)</f>
        <v>42296.57</v>
      </c>
    </row>
    <row r="23" spans="1:11">
      <c r="A23" s="354"/>
      <c r="B23" s="356">
        <f>B21+B22</f>
        <v>108107.65</v>
      </c>
      <c r="C23" s="31"/>
      <c r="D23" s="34" t="s">
        <v>27</v>
      </c>
      <c r="E23" s="200">
        <f>SUMIFS('Saidas-fin-import'!D:D,'Saidas-fin-import'!C:C,"BANCO",'Saidas-fin-import'!A:A,"&gt;="&amp;E4,'Saidas-fin-import'!A:A,"&lt;="&amp;E5)</f>
        <v>292.13000000000011</v>
      </c>
      <c r="F23" s="207"/>
      <c r="G23" s="231"/>
      <c r="H23" s="231"/>
      <c r="I23" s="26"/>
      <c r="J23" s="212" t="s">
        <v>24</v>
      </c>
      <c r="K23" s="200">
        <f>SUMIFS('SAIDAS-FIN-ilumi'!D:D,'SAIDAS-FIN-ilumi'!C:C,"SÓCIOS",'SAIDAS-FIN-ilumi'!A:A,"&gt;="&amp;K4,'SAIDAS-FIN-ilumi'!A:A,"&lt;="&amp;K5)+SUMIFS('Saidas-fin-import'!D:D,'Saidas-fin-import'!C:C,"SÓCIOS",'Saidas-fin-import'!A:A,"&gt;="&amp;K4,'Saidas-fin-import'!A:A,"&lt;="&amp;K5)</f>
        <v>126214.47</v>
      </c>
    </row>
    <row r="24" spans="1:11" ht="18.75">
      <c r="A24" s="474" t="s">
        <v>28</v>
      </c>
      <c r="B24" s="475"/>
      <c r="C24" s="31"/>
      <c r="D24" s="34" t="s">
        <v>29</v>
      </c>
      <c r="E24" s="200">
        <f>SUMIFS('Saidas-fin-import'!D:D,'Saidas-fin-import'!C:C,"BRINDES",'Saidas-fin-import'!A:A,"&gt;="&amp;E4,'Saidas-fin-import'!A:A,"&lt;="&amp;E5)</f>
        <v>2569</v>
      </c>
      <c r="F24" s="207"/>
      <c r="G24" s="474" t="s">
        <v>28</v>
      </c>
      <c r="H24" s="475"/>
      <c r="I24" s="28"/>
      <c r="J24" s="212" t="s">
        <v>25</v>
      </c>
      <c r="K24" s="200">
        <f>SUMIFS('SAIDAS-FIN-ilumi'!D:D,'SAIDAS-FIN-ilumi'!C:C,"CONSUMO",'SAIDAS-FIN-ilumi'!A:A,"&gt;="&amp;K4,'SAIDAS-FIN-ilumi'!A:A,"&lt;="&amp;K5)+SUMIFS('Saidas-fin-import'!D:D,'Saidas-fin-import'!C:C,"CONSUMO",'Saidas-fin-import'!A:A,"&gt;="&amp;K4,'Saidas-fin-import'!A:A,"&lt;="&amp;K5)</f>
        <v>12262.210000000001</v>
      </c>
    </row>
    <row r="25" spans="1:11">
      <c r="A25" s="345" t="s">
        <v>30</v>
      </c>
      <c r="B25" s="346">
        <f>SUMIFS('Entradas- fin- import'!D:D,'Entradas- fin- import'!A:A,"&gt;="&amp;E4,'Entradas- fin- import'!A:A,"&lt;="&amp;E5)</f>
        <v>343602.08000000007</v>
      </c>
      <c r="C25" s="31">
        <f>B25+B30</f>
        <v>1320363.173</v>
      </c>
      <c r="D25" s="34" t="s">
        <v>31</v>
      </c>
      <c r="E25" s="200">
        <f>SUMIFS('Saidas-fin-import'!D:D,'Saidas-fin-import'!C:C,"SEGURO",'Saidas-fin-import'!A:A,"&gt;="&amp;E4,'Saidas-fin-import'!A:A,"&lt;="&amp;E5)</f>
        <v>219.58</v>
      </c>
      <c r="F25" s="207"/>
      <c r="G25" s="351" t="s">
        <v>30</v>
      </c>
      <c r="H25" s="349">
        <f>SUMIFS('Saídas-NFE-import'!D:D,'Saídas-NFE-import'!A:A,"&gt;="&amp;K4,'Saídas-NFE-import'!A:A,"&lt;="&amp;K5)</f>
        <v>349325.9</v>
      </c>
      <c r="I25" s="28"/>
      <c r="J25" s="212" t="s">
        <v>26</v>
      </c>
      <c r="K25" s="200">
        <f>SUMIFS('SAIDAS-FIN-ilumi'!D:D,'SAIDAS-FIN-ilumi'!C:C,"PUBLICIDADE",'SAIDAS-FIN-ilumi'!A:A,"&gt;="&amp;K4,'SAIDAS-FIN-ilumi'!A:A,"&lt;="&amp;K5)</f>
        <v>147</v>
      </c>
    </row>
    <row r="26" spans="1:11">
      <c r="A26" s="347" t="s">
        <v>32</v>
      </c>
      <c r="B26" s="348">
        <f>SUMIFS('Saidas-fin-import'!D:D,'Saidas-fin-import'!A:A,"&gt;="&amp;E4,'Saidas-fin-import'!A:A,"&lt;="&amp;E5)</f>
        <v>414108.55999999982</v>
      </c>
      <c r="C26" s="31">
        <f>B26+B31</f>
        <v>1403480.6800000002</v>
      </c>
      <c r="D26" s="34" t="s">
        <v>33</v>
      </c>
      <c r="E26" s="200">
        <f ca="1">SUMIFS('Saidas-fin-import'!G:G,'Saidas-fin-import'!F:F,"IMPORTAÇÕES",'Saidas-fin-import'!D:D,"&gt;="&amp;E4,'Saidas-fin-import'!D:D,"&lt;="&amp;E5)</f>
        <v>0</v>
      </c>
      <c r="F26" s="207"/>
      <c r="G26" s="341" t="s">
        <v>32</v>
      </c>
      <c r="H26" s="342">
        <f>SUMIFS('Entradas-NFE-Import'!D:D,'Entradas-NFE-Import'!A:A,"&gt;="&amp;K4,'Entradas-NFE-Import'!A:A,"&lt;="&amp;K5)</f>
        <v>164806.01</v>
      </c>
      <c r="I26" s="28"/>
      <c r="J26" s="212" t="s">
        <v>27</v>
      </c>
      <c r="K26" s="200">
        <f>SUMIFS('Saidas-fin-import'!D:D,'Saidas-fin-import'!C:C,"BANCO",'Saidas-fin-import'!A:A,"&gt;="&amp;K4,'Saidas-fin-import'!A:A,"&lt;="&amp;K5)</f>
        <v>292.13000000000011</v>
      </c>
    </row>
    <row r="27" spans="1:11">
      <c r="A27" s="343" t="s">
        <v>34</v>
      </c>
      <c r="B27" s="344">
        <f>B25-B26</f>
        <v>-70506.479999999749</v>
      </c>
      <c r="C27" s="31"/>
      <c r="D27" s="34" t="s">
        <v>35</v>
      </c>
      <c r="E27" s="200">
        <f>SUMIFS('SAIDAS-FIN-ilumi'!D:D,'SAIDAS-FIN-ilumi'!C:C,"OUTRAS DESPESAS",'SAIDAS-FIN-ilumi'!A:A,"&gt;="&amp;E4,'SAIDAS-FIN-ilumi'!A:A,"&lt;="&amp;E5)</f>
        <v>0</v>
      </c>
      <c r="F27" s="207"/>
      <c r="G27" s="343" t="s">
        <v>34</v>
      </c>
      <c r="H27" s="344">
        <f>H25-H26</f>
        <v>184519.89</v>
      </c>
      <c r="I27" s="28"/>
      <c r="J27" s="212" t="s">
        <v>29</v>
      </c>
      <c r="K27" s="200">
        <f>SUMIFS('Saidas-fin-import'!D:D,'Saidas-fin-import'!C:C,"BRINDES",'Saidas-fin-import'!A:A,"&gt;="&amp;K4,'Saidas-fin-import'!A:A,"&lt;="&amp;K5)</f>
        <v>2569</v>
      </c>
    </row>
    <row r="28" spans="1:11" ht="18.75">
      <c r="C28" s="31"/>
      <c r="D28" s="34" t="s">
        <v>37</v>
      </c>
      <c r="E28" s="200">
        <f ca="1">SUM(E15:E27)</f>
        <v>370571.67000000004</v>
      </c>
      <c r="F28" s="207"/>
      <c r="G28" s="474" t="s">
        <v>36</v>
      </c>
      <c r="H28" s="475"/>
      <c r="I28" s="28"/>
      <c r="J28" s="212" t="s">
        <v>31</v>
      </c>
      <c r="K28" s="200">
        <f>SUMIFS('Saidas-fin-import'!D:D,'Saidas-fin-import'!C:C,"SEGURO",'Saidas-fin-import'!A:A,"&gt;="&amp;K4,'Saidas-fin-import'!A:A,"&lt;="&amp;K5)</f>
        <v>219.58</v>
      </c>
    </row>
    <row r="29" spans="1:11" ht="18.75">
      <c r="A29" s="474" t="s">
        <v>36</v>
      </c>
      <c r="B29" s="475"/>
      <c r="C29" s="31"/>
      <c r="D29" s="43"/>
      <c r="E29" s="202"/>
      <c r="F29" s="207"/>
      <c r="G29" s="351" t="s">
        <v>38</v>
      </c>
      <c r="H29" s="349">
        <f>SUMIFS('SAÍDA NFE ILUMI'!D:D,'SAÍDA NFE ILUMI'!A:A,"&gt;="&amp;K4,'SAÍDA NFE ILUMI'!A:A,"&lt;="&amp;K5)</f>
        <v>980301.80999999784</v>
      </c>
      <c r="I29" s="28"/>
      <c r="J29" s="212" t="s">
        <v>33</v>
      </c>
      <c r="K29" s="200">
        <f ca="1">SUMIFS('Saidas-fin-import'!G:G,'Saidas-fin-import'!F:F,"IMPORTAÇÕES",'Saidas-fin-import'!D:D,"&gt;="&amp;K4,'Saidas-fin-import'!D:D,"&lt;="&amp;K5)</f>
        <v>0</v>
      </c>
    </row>
    <row r="30" spans="1:11">
      <c r="A30" s="345" t="s">
        <v>38</v>
      </c>
      <c r="B30" s="349">
        <f>SUMIFS('ENTRADAS - FIN - ilumi'!D:D,'ENTRADAS - FIN - ilumi'!A:A,"&gt;="&amp;E4,'ENTRADAS - FIN - ilumi'!A:A,"&lt;="&amp;E5)</f>
        <v>976761.09299999999</v>
      </c>
      <c r="C30" s="31"/>
      <c r="D30" s="34" t="s">
        <v>40</v>
      </c>
      <c r="E30" s="200">
        <f ca="1">E12-E28</f>
        <v>233699.1529999997</v>
      </c>
      <c r="F30" s="207"/>
      <c r="G30" s="341" t="s">
        <v>39</v>
      </c>
      <c r="H30" s="342">
        <f>SUMIFS('ENTRADA NFE ILUMI'!D:D,'ENTRADA NFE ILUMI'!A:A,"&gt;="&amp;K4,'ENTRADA NFE ILUMI'!A:A,"&lt;="&amp;K5)</f>
        <v>567051.51999999967</v>
      </c>
      <c r="I30" s="28"/>
      <c r="J30" s="212" t="s">
        <v>35</v>
      </c>
      <c r="K30" s="200">
        <f ca="1">SUMIFS('SAIDAS-FIN-ilumi'!J:J,'SAIDAS-FIN-ilumi'!I:I,"OUTRAS DESPESAS",'SAIDAS-FIN-ilumi'!G:G,"&gt;="&amp;K7,'SAIDAS-FIN-ilumi'!G:G,"&lt;="&amp;K8)</f>
        <v>0</v>
      </c>
    </row>
    <row r="31" spans="1:11">
      <c r="A31" s="347" t="s">
        <v>39</v>
      </c>
      <c r="B31" s="348">
        <f>SUMIFS('SAIDAS-FIN-ilumi'!D:D,'SAIDAS-FIN-ilumi'!A:A,"&gt;="&amp;E4,'SAIDAS-FIN-ilumi'!A:A,"&lt;="&amp;E5)</f>
        <v>989372.12000000034</v>
      </c>
      <c r="C31" s="31"/>
      <c r="D31" s="35"/>
      <c r="E31" s="203"/>
      <c r="F31" s="207"/>
      <c r="G31" s="343" t="s">
        <v>41</v>
      </c>
      <c r="H31" s="344">
        <f>H29-H30</f>
        <v>413250.28999999817</v>
      </c>
      <c r="I31" s="28"/>
      <c r="J31" s="212" t="s">
        <v>37</v>
      </c>
      <c r="K31" s="200">
        <f>SUM(K17:K26)</f>
        <v>367783.09</v>
      </c>
    </row>
    <row r="32" spans="1:11">
      <c r="A32" s="343" t="s">
        <v>41</v>
      </c>
      <c r="B32" s="344">
        <f>B30-B31</f>
        <v>-12611.027000000351</v>
      </c>
      <c r="C32" s="31"/>
      <c r="D32" s="34" t="s">
        <v>42</v>
      </c>
      <c r="E32" s="204">
        <f>IF(E9=0,0,E12/E9)</f>
        <v>0.50627687671516619</v>
      </c>
      <c r="F32" s="207"/>
      <c r="G32" s="232"/>
      <c r="H32" s="357"/>
      <c r="I32" s="26"/>
      <c r="J32" s="28"/>
      <c r="K32" s="202"/>
    </row>
    <row r="33" spans="4:11">
      <c r="D33" s="34" t="s">
        <v>43</v>
      </c>
      <c r="E33" s="204">
        <f ca="1">IF(E7=0,0,E30/E7)</f>
        <v>0.17699611574973828</v>
      </c>
      <c r="F33" s="207"/>
      <c r="G33" s="26"/>
      <c r="H33" s="207"/>
      <c r="I33" s="26"/>
      <c r="J33" s="221" t="s">
        <v>40</v>
      </c>
      <c r="K33" s="222">
        <f>K14-K31</f>
        <v>120098.83899999846</v>
      </c>
    </row>
    <row r="34" spans="4:11">
      <c r="D34" s="196"/>
      <c r="E34" s="196"/>
      <c r="F34" s="208"/>
      <c r="G34" s="197"/>
      <c r="H34" s="208"/>
      <c r="I34" s="197"/>
      <c r="J34" s="223"/>
      <c r="K34" s="224"/>
    </row>
    <row r="35" spans="4:11">
      <c r="D35" s="196"/>
      <c r="E35" s="196"/>
      <c r="F35" s="196"/>
      <c r="G35" s="197"/>
      <c r="H35" s="208"/>
      <c r="I35" s="197"/>
      <c r="J35" s="225" t="s">
        <v>42</v>
      </c>
      <c r="K35" s="226">
        <f>IF(K11=0,0,K14/K11)</f>
        <v>0.39998864134475726</v>
      </c>
    </row>
    <row r="36" spans="4:11">
      <c r="D36" s="196"/>
      <c r="E36" s="196"/>
      <c r="F36" s="196"/>
      <c r="G36" s="197"/>
      <c r="H36" s="208"/>
      <c r="I36" s="197"/>
      <c r="J36" s="227" t="s">
        <v>43</v>
      </c>
      <c r="K36" s="228">
        <f>IF(K7=0,0,K33/K7)</f>
        <v>9.0325162522371508E-2</v>
      </c>
    </row>
  </sheetData>
  <mergeCells count="23">
    <mergeCell ref="A1:K3"/>
    <mergeCell ref="A18:A19"/>
    <mergeCell ref="B18:B19"/>
    <mergeCell ref="G4:H5"/>
    <mergeCell ref="H8:H9"/>
    <mergeCell ref="G8:G9"/>
    <mergeCell ref="G12:G13"/>
    <mergeCell ref="G15:G16"/>
    <mergeCell ref="A12:A13"/>
    <mergeCell ref="B12:B13"/>
    <mergeCell ref="A15:A16"/>
    <mergeCell ref="B15:B16"/>
    <mergeCell ref="A29:B29"/>
    <mergeCell ref="G28:H28"/>
    <mergeCell ref="A4:B5"/>
    <mergeCell ref="A8:A9"/>
    <mergeCell ref="B8:B9"/>
    <mergeCell ref="G24:H24"/>
    <mergeCell ref="A24:B24"/>
    <mergeCell ref="G18:G19"/>
    <mergeCell ref="H12:H13"/>
    <mergeCell ref="H15:H16"/>
    <mergeCell ref="H18:H19"/>
  </mergeCells>
  <conditionalFormatting sqref="B12:B19">
    <cfRule type="cellIs" dxfId="22" priority="3" operator="lessThan">
      <formula>0</formula>
    </cfRule>
    <cfRule type="cellIs" dxfId="21" priority="4" operator="greaterThan">
      <formula>0</formula>
    </cfRule>
  </conditionalFormatting>
  <conditionalFormatting sqref="H12 H14:H15 H17:H18">
    <cfRule type="cellIs" dxfId="20" priority="1" operator="greaterThan">
      <formula>0</formula>
    </cfRule>
    <cfRule type="cellIs" dxfId="19" priority="2" operator="lessThan">
      <formula>0</formula>
    </cfRule>
  </conditionalFormatting>
  <dataValidations count="1">
    <dataValidation type="list" allowBlank="1" showInputMessage="1" showErrorMessage="1" sqref="B8 H8" xr:uid="{68FFB4EE-D594-4E7C-B7C1-C473BDC4315C}">
      <formula1>"Janeiro, Fevereiro, Março, Abril, Maio,  Junho,  Julho, Agosto, Setembro, Outubro,  Novembro, Dezembro, Anual"</formula1>
    </dataValidation>
  </dataValidations>
  <hyperlinks>
    <hyperlink ref="A24:B24" location="'Resumo Mensal  import'!A1" display="Import" xr:uid="{89838530-B3B5-46C4-B7FC-B99C16F8400B}"/>
    <hyperlink ref="A29:B29" location="'Resumo Mensal Ilumini'!A1" display="Iluminação" xr:uid="{2C26468D-E701-4E55-947A-BDE062C43C84}"/>
    <hyperlink ref="G24:H24" location="'Resumo Mensal  import'!A1" display="Import" xr:uid="{B3C30C79-37C3-4945-9F35-61E65FD6A24D}"/>
    <hyperlink ref="G28:H28" location="'Resumo Mensal Ilumini'!A1" display="Iluminação" xr:uid="{62CDE520-7924-4859-AF76-FCBAC30F6295}"/>
  </hyperlink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22841-7A1E-4E60-9921-5269C07D613D}">
  <dimension ref="A1:O50"/>
  <sheetViews>
    <sheetView zoomScale="70" zoomScaleNormal="70" workbookViewId="0">
      <selection activeCell="B20" sqref="B20:B21"/>
    </sheetView>
  </sheetViews>
  <sheetFormatPr defaultRowHeight="15"/>
  <cols>
    <col min="1" max="1" width="44.140625" style="26" bestFit="1" customWidth="1"/>
    <col min="2" max="2" width="19" style="26" customWidth="1"/>
    <col min="3" max="3" width="9.140625" style="26"/>
    <col min="4" max="4" width="44.140625" style="26" bestFit="1" customWidth="1"/>
    <col min="5" max="5" width="17.7109375" style="26" bestFit="1" customWidth="1"/>
    <col min="6" max="8" width="9.140625" style="26"/>
    <col min="9" max="9" width="17.7109375" style="26" bestFit="1" customWidth="1"/>
    <col min="10" max="10" width="20.140625" style="26" customWidth="1"/>
    <col min="11" max="12" width="17.42578125" style="26" customWidth="1"/>
    <col min="13" max="13" width="15.7109375" style="26" bestFit="1" customWidth="1"/>
    <col min="14" max="14" width="16.7109375" style="26" bestFit="1" customWidth="1"/>
    <col min="15" max="15" width="9.140625" style="26"/>
    <col min="16" max="16" width="14.28515625" style="26" bestFit="1" customWidth="1"/>
    <col min="17" max="17" width="18.5703125" style="26" customWidth="1"/>
    <col min="18" max="18" width="19.140625" style="26" customWidth="1"/>
    <col min="19" max="19" width="13.28515625" style="26" bestFit="1" customWidth="1"/>
    <col min="20" max="16384" width="9.140625" style="26"/>
  </cols>
  <sheetData>
    <row r="1" spans="1:15">
      <c r="A1" s="447" t="s">
        <v>44</v>
      </c>
      <c r="B1" s="447"/>
      <c r="C1" s="447"/>
      <c r="D1" s="447"/>
      <c r="E1" s="447"/>
    </row>
    <row r="2" spans="1:15">
      <c r="A2" s="447"/>
      <c r="B2" s="447"/>
      <c r="C2" s="447"/>
      <c r="D2" s="447"/>
      <c r="E2" s="447"/>
      <c r="I2" s="26" t="s">
        <v>45</v>
      </c>
      <c r="J2" s="235">
        <v>34572.78</v>
      </c>
    </row>
    <row r="3" spans="1:15">
      <c r="A3" s="448"/>
      <c r="B3" s="448"/>
      <c r="C3" s="447"/>
      <c r="D3" s="448"/>
      <c r="E3" s="448"/>
      <c r="H3" s="509" t="s">
        <v>46</v>
      </c>
      <c r="I3" s="509"/>
      <c r="J3" s="509"/>
      <c r="K3" s="509"/>
    </row>
    <row r="4" spans="1:15">
      <c r="A4" s="449" t="s">
        <v>1</v>
      </c>
      <c r="B4" s="449"/>
      <c r="C4" s="31"/>
      <c r="D4" s="449" t="s">
        <v>3</v>
      </c>
      <c r="E4" s="449"/>
      <c r="F4" s="28"/>
      <c r="G4" s="207"/>
      <c r="H4" s="249" t="s">
        <v>47</v>
      </c>
      <c r="I4" s="250" t="s">
        <v>48</v>
      </c>
      <c r="J4" s="250" t="s">
        <v>51</v>
      </c>
      <c r="K4" s="250" t="s">
        <v>49</v>
      </c>
      <c r="L4" s="327" t="s">
        <v>1466</v>
      </c>
      <c r="M4" s="249" t="s">
        <v>50</v>
      </c>
      <c r="O4" s="30"/>
    </row>
    <row r="5" spans="1:15">
      <c r="A5" s="449"/>
      <c r="B5" s="449"/>
      <c r="C5" s="31"/>
      <c r="D5" s="449"/>
      <c r="E5" s="449"/>
      <c r="F5" s="28"/>
      <c r="G5" s="207"/>
      <c r="H5" s="238" t="s">
        <v>52</v>
      </c>
      <c r="I5" s="244">
        <f>SUMIF('ENTRADAS - FIN - ilumi'!F:F,"Janeiro",'ENTRADAS - FIN - ilumi'!D:D)</f>
        <v>132275.39999999997</v>
      </c>
      <c r="J5" s="244">
        <f>SUMIF('SAIDAS-FIN-ilumi'!F:F,"Janeiro",'SAIDAS-FIN-ilumi'!D:D)</f>
        <v>116350.31</v>
      </c>
      <c r="K5" s="244">
        <f>I5-SUMIF('SAIDAS-FIN-ilumi'!F:F,"Janeiro",'SAIDAS-FIN-ilumi'!D:D)</f>
        <v>15925.089999999967</v>
      </c>
      <c r="L5" s="328">
        <f>J2+I5-J5</f>
        <v>50497.869999999966</v>
      </c>
      <c r="M5" s="251">
        <f>IF(J2=0,0,(I5-J2)/J2)</f>
        <v>2.8259983721297499</v>
      </c>
      <c r="O5" s="30"/>
    </row>
    <row r="6" spans="1:15" ht="18.75">
      <c r="A6" s="518" t="s">
        <v>1459</v>
      </c>
      <c r="B6" s="514" t="s">
        <v>1460</v>
      </c>
      <c r="C6" s="316"/>
      <c r="D6" s="518" t="s">
        <v>1461</v>
      </c>
      <c r="E6" s="514" t="s">
        <v>1462</v>
      </c>
      <c r="G6" s="207"/>
      <c r="H6" s="238" t="s">
        <v>53</v>
      </c>
      <c r="I6" s="244">
        <f>SUMIF('ENTRADAS - FIN - ilumi'!F:F,"Fevereiro",'ENTRADAS - FIN - ilumi'!D:D)</f>
        <v>126679.25000000001</v>
      </c>
      <c r="J6" s="244">
        <f>SUMIF('SAIDAS-FIN-ilumi'!F:F,"Fevereiro",'SAIDAS-FIN-ilumi'!D:D)</f>
        <v>133410.26</v>
      </c>
      <c r="K6" s="244">
        <f>I6-SUMIF('SAIDAS-FIN-ilumi'!F:F,"Fevereiro",'SAIDAS-FIN-ilumi'!D:D)</f>
        <v>-6731.0099999999948</v>
      </c>
      <c r="L6" s="330">
        <f>L5+I6-J6</f>
        <v>43766.859999999986</v>
      </c>
      <c r="M6" s="251">
        <f t="shared" ref="M6:M16" si="0">IF(I5=0,0,(I6-I5)/I5)</f>
        <v>-4.2306808371019494E-2</v>
      </c>
      <c r="O6" s="30"/>
    </row>
    <row r="7" spans="1:15">
      <c r="A7" s="519"/>
      <c r="B7" s="515"/>
      <c r="C7" s="315"/>
      <c r="D7" s="519"/>
      <c r="E7" s="515"/>
      <c r="G7" s="207"/>
      <c r="H7" s="238" t="s">
        <v>54</v>
      </c>
      <c r="I7" s="244">
        <f>SUMIF('ENTRADAS - FIN - ilumi'!F:F,"MARÇO",'ENTRADAS - FIN - ilumi'!D:D)</f>
        <v>183424.12</v>
      </c>
      <c r="J7" s="244">
        <f>SUMIF('SAIDAS-FIN-ilumi'!F:F,"Março",'SAIDAS-FIN-ilumi'!D:D)</f>
        <v>192968.08000000005</v>
      </c>
      <c r="K7" s="244">
        <f>I7-SUMIF('SAIDAS-FIN-ilumi'!F:F,"Março",'SAIDAS-FIN-ilumi'!D:D)</f>
        <v>-9543.9600000000501</v>
      </c>
      <c r="L7" s="330">
        <f t="shared" ref="L7:L10" si="1">L6+I7-J7</f>
        <v>34222.899999999936</v>
      </c>
      <c r="M7" s="251">
        <f t="shared" si="0"/>
        <v>0.44794131635607232</v>
      </c>
      <c r="O7" s="30"/>
    </row>
    <row r="8" spans="1:15">
      <c r="A8" s="455" t="s">
        <v>6</v>
      </c>
      <c r="B8" s="445" t="s">
        <v>1452</v>
      </c>
      <c r="C8" s="31"/>
      <c r="D8" s="455" t="s">
        <v>6</v>
      </c>
      <c r="E8" s="445" t="s">
        <v>1173</v>
      </c>
      <c r="F8" s="28"/>
      <c r="G8" s="207"/>
      <c r="H8" s="238" t="s">
        <v>56</v>
      </c>
      <c r="I8" s="244">
        <f>SUMIF('ENTRADAS - FIN - ilumi'!F:F,"Abril",'ENTRADAS - FIN - ilumi'!D:D)</f>
        <v>214380.68000000005</v>
      </c>
      <c r="J8" s="244">
        <f>SUMIF('SAIDAS-FIN-ilumi'!F:F,"Abril",'SAIDAS-FIN-ilumi'!D:D)</f>
        <v>231574.29999999984</v>
      </c>
      <c r="K8" s="244">
        <f>I8-SUMIF('SAIDAS-FIN-ilumi'!F:F,"Abril",'SAIDAS-FIN-ilumi'!D:D)</f>
        <v>-17193.619999999792</v>
      </c>
      <c r="L8" s="329">
        <f t="shared" si="1"/>
        <v>17029.280000000144</v>
      </c>
      <c r="M8" s="238">
        <f t="shared" si="0"/>
        <v>0.16877038853995896</v>
      </c>
      <c r="O8" s="207"/>
    </row>
    <row r="9" spans="1:15">
      <c r="A9" s="455"/>
      <c r="B9" s="445"/>
      <c r="C9" s="31"/>
      <c r="D9" s="455"/>
      <c r="E9" s="445"/>
      <c r="F9" s="28"/>
      <c r="G9" s="207"/>
      <c r="H9" s="238" t="s">
        <v>57</v>
      </c>
      <c r="I9" s="244">
        <f>SUMIF('ENTRADAS - FIN - ilumi'!F:F,"Maio",'ENTRADAS - FIN - ilumi'!D:D)</f>
        <v>153998.18299999996</v>
      </c>
      <c r="J9" s="244">
        <f>SUMIF('SAIDAS-FIN-ilumi'!F:F,"Maio",'SAIDAS-FIN-ilumi'!D:D)</f>
        <v>155988.48000000001</v>
      </c>
      <c r="K9" s="244">
        <f>I9-SUMIF('SAIDAS-FIN-ilumi'!F:F,"Maio",'SAIDAS-FIN-ilumi'!D:D)</f>
        <v>-1990.2970000000496</v>
      </c>
      <c r="L9" s="329">
        <f t="shared" si="1"/>
        <v>15038.983000000095</v>
      </c>
      <c r="M9" s="238">
        <f t="shared" si="0"/>
        <v>-0.28166016172726049</v>
      </c>
      <c r="O9" s="207"/>
    </row>
    <row r="10" spans="1:15">
      <c r="C10" s="27"/>
      <c r="D10" s="232"/>
      <c r="E10" s="236"/>
      <c r="G10" s="207"/>
      <c r="H10" s="238" t="s">
        <v>58</v>
      </c>
      <c r="I10" s="244">
        <f>SUMIF('ENTRADAS - FIN - ilumi'!F:F,"Junho",'ENTRADAS - FIN - ilumi'!D:D)</f>
        <v>166003.46000000005</v>
      </c>
      <c r="J10" s="244">
        <f>SUMIF('SAIDAS-FIN-ilumi'!F:F,"JUNHo",'SAIDAS-FIN-ilumi'!D:D)</f>
        <v>159080.68999999992</v>
      </c>
      <c r="K10" s="244">
        <f>I10-SUMIF('SAIDAS-FIN-ilumi'!F:F,"Junho",'SAIDAS-FIN-ilumi'!D:D)</f>
        <v>6922.770000000135</v>
      </c>
      <c r="L10" s="329">
        <f t="shared" si="1"/>
        <v>21961.75300000023</v>
      </c>
      <c r="M10" s="238">
        <f t="shared" si="0"/>
        <v>7.7957263950316172E-2</v>
      </c>
      <c r="O10" s="207"/>
    </row>
    <row r="11" spans="1:15">
      <c r="A11" s="457" t="s">
        <v>16</v>
      </c>
      <c r="B11" s="450">
        <f>SUMIFS('ENTRADAS - FIN - ilumi'!D:D,'ENTRADAS - FIN - ilumi'!A:A,"&gt;="&amp;$B$22,'ENTRADAS - FIN - ilumi'!A:A,"&lt;="&amp;$B$23)</f>
        <v>976761.09299999999</v>
      </c>
      <c r="C11" s="27"/>
      <c r="D11" s="231"/>
      <c r="E11" s="237"/>
      <c r="G11" s="207"/>
      <c r="H11" s="238" t="s">
        <v>59</v>
      </c>
      <c r="I11" s="244">
        <f>SUMIF('ENTRADAS - FIN - ilumi'!F:F,"Julho",'ENTRADAS - FIN - ilumi'!D:D)</f>
        <v>0</v>
      </c>
      <c r="J11" s="244">
        <f>SUMIF('SAIDAS-FIN-ilumi'!F:F,"Julho",'SAIDAS-FIN-ilumi'!D:D)</f>
        <v>0</v>
      </c>
      <c r="K11" s="244">
        <f>I11-SUMIF('SAIDAS-FIN-ilumi'!F:F,"Julho",'SAIDAS-FIN-ilumi'!D:D)</f>
        <v>0</v>
      </c>
      <c r="L11" s="326" t="s">
        <v>1464</v>
      </c>
      <c r="M11" s="238">
        <f t="shared" si="0"/>
        <v>-1</v>
      </c>
      <c r="O11" s="30"/>
    </row>
    <row r="12" spans="1:15">
      <c r="A12" s="458"/>
      <c r="B12" s="451"/>
      <c r="C12" s="31"/>
      <c r="D12" s="456" t="s">
        <v>13</v>
      </c>
      <c r="E12" s="454">
        <f>E15-E18</f>
        <v>59811.190000000017</v>
      </c>
      <c r="F12" s="28"/>
      <c r="G12" s="207"/>
      <c r="H12" s="238" t="s">
        <v>60</v>
      </c>
      <c r="I12" s="244">
        <f>SUMIF('ENTRADAS - FIN - ilumi'!F:F,"Agosto",'ENTRADAS - FIN - ilumi'!D:D)</f>
        <v>0</v>
      </c>
      <c r="J12" s="244">
        <f>SUMIF('SAIDAS-FIN-ilumi'!F:F,"Agosto",'SAIDAS-FIN-ilumi'!D:D)</f>
        <v>0</v>
      </c>
      <c r="K12" s="244">
        <f>I12-SUMIF('SAIDAS-FIN-ilumi'!F:F,"Agosto",'SAIDAS-FIN-ilumi'!D:D)</f>
        <v>0</v>
      </c>
      <c r="L12" s="326" t="s">
        <v>1464</v>
      </c>
      <c r="M12" s="238">
        <f t="shared" si="0"/>
        <v>0</v>
      </c>
      <c r="O12" s="30"/>
    </row>
    <row r="13" spans="1:15">
      <c r="A13" s="520" t="s">
        <v>21</v>
      </c>
      <c r="B13" s="450">
        <f>SUMIFS('SAIDAS-FIN-ilumi'!D:D,'SAIDAS-FIN-ilumi'!A:A,"&gt;="&amp;$B$22,'SAIDAS-FIN-ilumi'!A:A,"&lt;="&amp;$B$23)</f>
        <v>989372.12000000034</v>
      </c>
      <c r="C13" s="31"/>
      <c r="D13" s="456"/>
      <c r="E13" s="454"/>
      <c r="F13" s="28"/>
      <c r="G13" s="207"/>
      <c r="H13" s="238" t="s">
        <v>61</v>
      </c>
      <c r="I13" s="244">
        <f>SUMIF('ENTRADAS - FIN - ilumi'!F:F,"Setembro",'ENTRADAS - FIN - ilumi'!D:D)</f>
        <v>0</v>
      </c>
      <c r="J13" s="244">
        <f>SUMIF('SAIDAS-FIN-ilumi'!F:F,"Setembro",'SAIDAS-FIN-ilumi'!D:D)</f>
        <v>0</v>
      </c>
      <c r="K13" s="244">
        <f>I13-SUMIF('SAIDAS-FIN-ilumi'!F:F,"Setembro",'SAIDAS-FIN-ilumi'!D:D)</f>
        <v>0</v>
      </c>
      <c r="L13" s="326" t="s">
        <v>1464</v>
      </c>
      <c r="M13" s="238">
        <f t="shared" si="0"/>
        <v>0</v>
      </c>
      <c r="O13" s="30"/>
    </row>
    <row r="14" spans="1:15">
      <c r="A14" s="521"/>
      <c r="B14" s="451"/>
      <c r="C14" s="27"/>
      <c r="D14" s="253"/>
      <c r="E14" s="254"/>
      <c r="G14" s="207"/>
      <c r="H14" s="238" t="s">
        <v>62</v>
      </c>
      <c r="I14" s="244">
        <f>SUMIF('ENTRADAS - FIN - ilumi'!F:F,"Outubro",'ENTRADAS - FIN - ilumi'!D:D)</f>
        <v>0</v>
      </c>
      <c r="J14" s="244">
        <f>SUMIF('SAIDAS-FIN-ilumi'!F:F,"Outubro",'SAIDAS-FIN-ilumi'!D:D)</f>
        <v>0</v>
      </c>
      <c r="K14" s="244">
        <f>I14-SUMIF('SAIDAS-FIN-ilumi'!F:F,"Outubro",'SAIDAS-FIN-ilumi'!D:D)</f>
        <v>0</v>
      </c>
      <c r="L14" s="326" t="s">
        <v>1464</v>
      </c>
      <c r="M14" s="238">
        <f t="shared" si="0"/>
        <v>0</v>
      </c>
      <c r="O14" s="30"/>
    </row>
    <row r="15" spans="1:15">
      <c r="C15" s="31"/>
      <c r="D15" s="444" t="s">
        <v>16</v>
      </c>
      <c r="E15" s="445">
        <f>SUMIFS('SAÍDA NFE ILUMI'!D:D,'SAÍDA NFE ILUMI'!A:A,"&gt;="&amp;$E$22,'SAÍDA NFE ILUMI'!A:A,"&lt;="&amp;$E$23)</f>
        <v>150579.00000000003</v>
      </c>
      <c r="F15" s="28"/>
      <c r="G15" s="207"/>
      <c r="H15" s="238" t="s">
        <v>63</v>
      </c>
      <c r="I15" s="244">
        <f>SUMIF('ENTRADAS - FIN - ilumi'!F:F,"Novembro",'ENTRADAS - FIN - ilumi'!D:D)</f>
        <v>0</v>
      </c>
      <c r="J15" s="244">
        <f>SUMIF('SAIDAS-FIN-ilumi'!F:F,"Novembro",'SAIDAS-FIN-ilumi'!D:D)</f>
        <v>0</v>
      </c>
      <c r="K15" s="244">
        <f>I15-SUMIF('SAIDAS-FIN-ilumi'!F:F,"Novembro",'SAIDAS-FIN-ilumi'!D:D)</f>
        <v>0</v>
      </c>
      <c r="L15" s="326" t="s">
        <v>1464</v>
      </c>
      <c r="M15" s="238">
        <f t="shared" si="0"/>
        <v>0</v>
      </c>
      <c r="O15" s="30"/>
    </row>
    <row r="16" spans="1:15">
      <c r="A16" s="510" t="s">
        <v>13</v>
      </c>
      <c r="B16" s="512">
        <f>B11-B13</f>
        <v>-12611.027000000351</v>
      </c>
      <c r="C16" s="31"/>
      <c r="D16" s="444"/>
      <c r="E16" s="445"/>
      <c r="F16" s="28"/>
      <c r="G16" s="207"/>
      <c r="H16" s="238" t="s">
        <v>64</v>
      </c>
      <c r="I16" s="244">
        <f>SUMIF('ENTRADAS - FIN - ilumi'!F:F,"Dezembro",'ENTRADAS - FIN - ilumi'!D:D)</f>
        <v>0</v>
      </c>
      <c r="J16" s="244">
        <f>SUMIF('SAIDAS-FIN-ilumi'!F:F,"Dezembro",'SAIDAS-FIN-ilumi'!D:D)</f>
        <v>0</v>
      </c>
      <c r="K16" s="244">
        <f>I16-SUMIF('SAIDAS-FIN-ilumi'!F:F,"Dezembro",'SAIDAS-FIN-ilumi'!D:D)</f>
        <v>0</v>
      </c>
      <c r="L16" s="326" t="s">
        <v>1464</v>
      </c>
      <c r="M16" s="238">
        <f t="shared" si="0"/>
        <v>0</v>
      </c>
      <c r="O16" s="30"/>
    </row>
    <row r="17" spans="1:15">
      <c r="A17" s="511"/>
      <c r="B17" s="513"/>
      <c r="C17" s="27"/>
      <c r="D17" s="253"/>
      <c r="E17" s="254"/>
      <c r="G17" s="207"/>
      <c r="H17" s="238" t="s">
        <v>13</v>
      </c>
      <c r="I17" s="252">
        <f>SUM(I5:I16)</f>
        <v>976761.09299999999</v>
      </c>
      <c r="J17" s="244">
        <f>SUM(J5:J16)</f>
        <v>989372.11999999976</v>
      </c>
      <c r="K17" s="252">
        <f>SUM(K5:K16)</f>
        <v>-12611.026999999784</v>
      </c>
      <c r="L17" s="324">
        <f>SUM(L5:L16)</f>
        <v>182517.64600000036</v>
      </c>
      <c r="M17" s="238"/>
      <c r="O17" s="30"/>
    </row>
    <row r="18" spans="1:15">
      <c r="C18" s="31"/>
      <c r="D18" s="446" t="s">
        <v>21</v>
      </c>
      <c r="E18" s="445">
        <f>SUMIFS('ENTRADA NFE ILUMI'!D:D,'ENTRADA NFE ILUMI'!A:A,"&gt;="&amp;$E$22,'ENTRADA NFE ILUMI'!A:A,"&lt;="&amp;$E$23)</f>
        <v>90767.810000000012</v>
      </c>
      <c r="F18" s="28"/>
      <c r="H18" s="232"/>
      <c r="I18" s="232"/>
      <c r="J18" s="232"/>
      <c r="K18" s="232"/>
    </row>
    <row r="19" spans="1:15">
      <c r="A19" s="333" t="s">
        <v>45</v>
      </c>
      <c r="B19" s="334">
        <v>34572.78</v>
      </c>
      <c r="C19" s="31"/>
      <c r="D19" s="446"/>
      <c r="E19" s="445"/>
      <c r="F19" s="28"/>
    </row>
    <row r="20" spans="1:15">
      <c r="A20" s="463" t="s">
        <v>1465</v>
      </c>
      <c r="B20" s="516">
        <f>B11+B19-B13</f>
        <v>21961.752999999677</v>
      </c>
      <c r="C20" s="32"/>
      <c r="D20" s="232"/>
      <c r="E20" s="232"/>
    </row>
    <row r="21" spans="1:15">
      <c r="A21" s="464"/>
      <c r="B21" s="517"/>
      <c r="C21" s="27"/>
      <c r="D21" s="231"/>
      <c r="E21" s="231"/>
    </row>
    <row r="22" spans="1:15">
      <c r="A22" s="238" t="s">
        <v>2</v>
      </c>
      <c r="B22" s="239">
        <f>IF(B8="ANUAL",DATE(2026,1,1),DATE(2026,MATCH(B8,{"JANEIRO";"FEVEREIRO";"MARÇO";"ABRIL";"MAIO";"JUNHO";"JULHO";"AGOSTO";"SETEMBRO";"OUTUBRO";"NOVEMBRO";"DEZEMBRO"},0),1))</f>
        <v>46023</v>
      </c>
      <c r="C22" s="31"/>
      <c r="D22" s="238" t="s">
        <v>2</v>
      </c>
      <c r="E22" s="239">
        <f>IF(E8="ANUAL",DATE(2026,1,1),DATE(2026,MATCH(E8,{"JANEIRO";"FEVEREIRO";"MARÇO";"ABRIL";"MAIO";"JUNHO";"JULHO";"AGOSTO";"SETEMBRO";"OUTUBRO";"NOVEMBRO";"DEZEMBRO"},0),1))</f>
        <v>46113</v>
      </c>
      <c r="F22" s="28"/>
    </row>
    <row r="23" spans="1:15">
      <c r="A23" s="238" t="s">
        <v>4</v>
      </c>
      <c r="B23" s="239">
        <f>IF(B8="ANUAL",DATE(2026,12,31),EOMONTH(DATE(2026,MATCH(B8,{"JANEIRO";"FEVEREIRO";"MARÇO";"ABRIL";"MAIO";"JUNHO";"JULHO";"AGOSTO";"SETEMBRO";"OUTUBRO";"NOVEMBRO";"DEZEMBRO"},0),1),0))</f>
        <v>46387</v>
      </c>
      <c r="C23" s="31"/>
      <c r="D23" s="238" t="s">
        <v>4</v>
      </c>
      <c r="E23" s="239">
        <f>IF(E8="ANUAL",DATE(2026,12,31),EOMONTH(DATE(2026,MATCH(E8,{"JANEIRO";"FEVEREIRO";"MARÇO";"ABRIL";"MAIO";"JUNHO";"JULHO";"AGOSTO";"SETEMBRO";"OUTUBRO";"NOVEMBRO";"DEZEMBRO"},0),1),0))</f>
        <v>46142</v>
      </c>
      <c r="F23" s="28"/>
    </row>
    <row r="24" spans="1:15">
      <c r="A24" s="253"/>
      <c r="B24" s="253"/>
      <c r="C24" s="27"/>
      <c r="D24" s="253"/>
      <c r="E24" s="253"/>
    </row>
    <row r="25" spans="1:15">
      <c r="A25" s="240" t="s">
        <v>5</v>
      </c>
      <c r="B25" s="241">
        <f>SUMIFS('ENTRADAS - FIN - ilumi'!D:D,'ENTRADAS - FIN - ilumi'!A:A,"&gt;="&amp;B22,'ENTRADAS - FIN - ilumi'!A:A,"&lt;="&amp;B23)</f>
        <v>976761.09299999999</v>
      </c>
      <c r="C25" s="31"/>
      <c r="D25" s="240" t="s">
        <v>5</v>
      </c>
      <c r="E25" s="241">
        <f>SUMIFS('SAÍDA NFE ILUMI'!D:D,'SAÍDA NFE ILUMI'!A:A,"&gt;="&amp;E22,'SAÍDA NFE ILUMI'!A:A,"&lt;="&amp;E23)</f>
        <v>150579.00000000003</v>
      </c>
      <c r="F25" s="28"/>
    </row>
    <row r="26" spans="1:15">
      <c r="A26" s="240" t="s">
        <v>8</v>
      </c>
      <c r="B26" s="241">
        <f>SUMIFS('SAIDAS-FIN-ilumi'!D:D,'SAIDAS-FIN-ilumi'!C:C,"IMPOSTOS",'SAIDAS-FIN-ilumi'!A:A,"&gt;="&amp;B22,'SAIDAS-FIN-ilumi'!A:A,"&lt;="&amp;B23)</f>
        <v>103256.70999999999</v>
      </c>
      <c r="C26" s="31"/>
      <c r="D26" s="240" t="s">
        <v>9</v>
      </c>
      <c r="E26" s="241">
        <f>SUMIFS('SAÍDA NFE ILUMI'!I:I,'SAÍDA NFE ILUMI'!J:J,"SNF",'SAÍDA NFE ILUMI'!F:F,"&gt;="&amp;E22,'SAÍDA NFE ILUMI'!F:F,"&lt;="&amp;E23)</f>
        <v>4984.12</v>
      </c>
      <c r="F26" s="28"/>
    </row>
    <row r="27" spans="1:15">
      <c r="A27" s="240" t="s">
        <v>10</v>
      </c>
      <c r="B27" s="241">
        <f>B25-B26</f>
        <v>873504.38300000003</v>
      </c>
      <c r="C27" s="31"/>
      <c r="D27" s="247" t="s">
        <v>11</v>
      </c>
      <c r="E27" s="248">
        <f>E25+E26</f>
        <v>155563.12000000002</v>
      </c>
      <c r="F27" s="28"/>
    </row>
    <row r="28" spans="1:15">
      <c r="A28" s="255"/>
      <c r="B28" s="256"/>
      <c r="C28" s="202"/>
      <c r="D28" s="240" t="s">
        <v>8</v>
      </c>
      <c r="E28" s="241">
        <f>E25*0.1</f>
        <v>15057.900000000003</v>
      </c>
      <c r="F28" s="28"/>
    </row>
    <row r="29" spans="1:15">
      <c r="A29" s="240" t="s">
        <v>12</v>
      </c>
      <c r="B29" s="241">
        <f>SUMIFS('SAIDAS-FIN-ilumi'!D:D,'SAIDAS-FIN-ilumi'!C:C,"FORNECEDORES",'SAIDAS-FIN-ilumi'!A:A,"&gt;="&amp;B22,'SAIDAS-FIN-ilumi'!A:A,"&lt;="&amp;B23)</f>
        <v>526757.77000000025</v>
      </c>
      <c r="C29" s="31"/>
      <c r="D29" s="240" t="s">
        <v>10</v>
      </c>
      <c r="E29" s="241">
        <f>E27-E28</f>
        <v>140505.22000000003</v>
      </c>
      <c r="F29" s="28"/>
    </row>
    <row r="30" spans="1:15">
      <c r="A30" s="240" t="s">
        <v>14</v>
      </c>
      <c r="B30" s="241">
        <f>B27-B29</f>
        <v>346746.61299999978</v>
      </c>
      <c r="C30" s="32"/>
      <c r="D30" s="255"/>
      <c r="E30" s="256"/>
    </row>
    <row r="31" spans="1:15">
      <c r="A31" s="255"/>
      <c r="B31" s="256"/>
      <c r="C31" s="202"/>
      <c r="D31" s="240" t="s">
        <v>12</v>
      </c>
      <c r="E31" s="241">
        <f>SUMIFS('ENTRADA NFE ILUMI'!D:D,'ENTRADA NFE ILUMI'!A:A,"&gt;="&amp;E22,'ENTRADA NFE ILUMI'!A:A,"&lt;="&amp;E23)</f>
        <v>90767.810000000012</v>
      </c>
      <c r="F31" s="28"/>
    </row>
    <row r="32" spans="1:15">
      <c r="A32" s="240" t="s">
        <v>15</v>
      </c>
      <c r="B32" s="243"/>
      <c r="C32" s="31"/>
      <c r="D32" s="240" t="s">
        <v>14</v>
      </c>
      <c r="E32" s="241">
        <f>E29-E31</f>
        <v>49737.410000000018</v>
      </c>
      <c r="F32" s="28"/>
    </row>
    <row r="33" spans="1:5">
      <c r="A33" s="240" t="s">
        <v>17</v>
      </c>
      <c r="B33" s="241">
        <f>SUMIFS('SAIDAS-FIN-ilumi'!D:D,'SAIDAS-FIN-ilumi'!C:C,"FUNCIONÁRIOS",'SAIDAS-FIN-ilumi'!A:A,"&gt;="&amp;B22,'SAIDAS-FIN-ilumi'!A:A,"&lt;="&amp;B23)</f>
        <v>64511.860000000022</v>
      </c>
      <c r="C33" s="32"/>
      <c r="D33" s="255"/>
      <c r="E33" s="256"/>
    </row>
    <row r="34" spans="1:5">
      <c r="A34" s="240" t="s">
        <v>18</v>
      </c>
      <c r="B34" s="241">
        <f>SUMIFS('SAIDAS-FIN-ilumi'!D:D,'SAIDAS-FIN-ilumi'!C:C,"GASTOS FIXOS",'SAIDAS-FIN-ilumi'!A:A,"&gt;="&amp;B22,'SAIDAS-FIN-ilumi'!A:A,"&lt;="&amp;B23)</f>
        <v>44956.210000000006</v>
      </c>
      <c r="C34" s="31"/>
      <c r="D34" s="240" t="s">
        <v>15</v>
      </c>
      <c r="E34" s="243"/>
    </row>
    <row r="35" spans="1:5">
      <c r="A35" s="240" t="s">
        <v>19</v>
      </c>
      <c r="B35" s="241">
        <f>SUMIFS('SAIDAS-FIN-ilumi'!D:D,'SAIDAS-FIN-ilumi'!C:C,"MANUTENÇÃO",'SAIDAS-FIN-ilumi'!A:A,"&gt;="&amp;B22,'SAIDAS-FIN-ilumi'!A:A,"&lt;="&amp;B23)</f>
        <v>1585</v>
      </c>
      <c r="C35" s="31"/>
      <c r="D35" s="240" t="s">
        <v>20</v>
      </c>
      <c r="E35" s="241">
        <f>SUMIFS('SAÍDA NFE ILUMI'!I:I,'SAÍDA NFE ILUMI'!J:J,"DEVOLUÇÕES",'SAÍDA NFE ILUMI'!F:F,"&gt;="&amp;E22,'SAÍDA NFE ILUMI'!F:F,"&lt;="&amp;E23)</f>
        <v>0</v>
      </c>
    </row>
    <row r="36" spans="1:5">
      <c r="A36" s="240" t="s">
        <v>22</v>
      </c>
      <c r="B36" s="241">
        <f>SUMIFS('SAIDAS-FIN-ilumi'!D:D,'SAIDAS-FIN-ilumi'!C:C,"TRANSPORTES",'SAIDAS-FIN-ilumi'!A:A,"&gt;="&amp;B22,'SAIDAS-FIN-ilumi'!A:A,"&lt;="&amp;B23)</f>
        <v>24967.74</v>
      </c>
      <c r="C36" s="31"/>
      <c r="D36" s="240" t="s">
        <v>17</v>
      </c>
      <c r="E36" s="241">
        <f>SUMIFS('SAIDAS-FIN-ilumi'!D:D,'SAIDAS-FIN-ilumi'!C:C,"FUNCIONÁRIOS",'SAIDAS-FIN-ilumi'!A:A,"&gt;="&amp;E22,'SAIDAS-FIN-ilumi'!A:A,"&lt;="&amp;E23)</f>
        <v>13100.880000000001</v>
      </c>
    </row>
    <row r="37" spans="1:5">
      <c r="A37" s="240" t="s">
        <v>23</v>
      </c>
      <c r="B37" s="241">
        <f>SUMIFS('SAIDAS-FIN-ilumi'!D:D,'SAIDAS-FIN-ilumi'!C:C,"EMPRÉSTIMO",'SAIDAS-FIN-ilumi'!A:A,"&gt;="&amp;B22,'SAIDAS-FIN-ilumi'!A:A,"&lt;="&amp;B23)</f>
        <v>29230.65</v>
      </c>
      <c r="C37" s="31"/>
      <c r="D37" s="240" t="s">
        <v>18</v>
      </c>
      <c r="E37" s="241">
        <f>SUMIFS('SAIDAS-FIN-ilumi'!D:D,'SAIDAS-FIN-ilumi'!C:C,"GASTOS FIXOS",'SAIDAS-FIN-ilumi'!A:A,"&gt;="&amp;E22,'SAIDAS-FIN-ilumi'!A:A,"&lt;="&amp;E23)</f>
        <v>8196.66</v>
      </c>
    </row>
    <row r="38" spans="1:5">
      <c r="A38" s="240" t="s">
        <v>24</v>
      </c>
      <c r="B38" s="241">
        <f>SUMIFS('SAIDAS-FIN-ilumi'!D:D,'SAIDAS-FIN-ilumi'!C:C,"SÓCIOS",'SAIDAS-FIN-ilumi'!A:A,"&gt;="&amp;B22,'SAIDAS-FIN-ilumi'!A:A,"&lt;="&amp;B23)</f>
        <v>55658.979999999996</v>
      </c>
      <c r="C38" s="31"/>
      <c r="D38" s="240" t="s">
        <v>19</v>
      </c>
      <c r="E38" s="241">
        <f>SUMIFS('SAIDAS-FIN-ilumi'!D:D,'SAIDAS-FIN-ilumi'!C:C,"MANUTENÇÃO",'SAIDAS-FIN-ilumi'!A:A,"&gt;="&amp;E22,'SAIDAS-FIN-ilumi'!A:A,"&lt;="&amp;E23)</f>
        <v>150</v>
      </c>
    </row>
    <row r="39" spans="1:5">
      <c r="A39" s="240" t="s">
        <v>25</v>
      </c>
      <c r="B39" s="241">
        <f>SUMIFS('SAIDAS-FIN-ilumi'!D:D,'SAIDAS-FIN-ilumi'!C:C,"CONSUMO",'SAIDAS-FIN-ilumi'!A:A,"&gt;="&amp;B22,'SAIDAS-FIN-ilumi'!A:A,"&lt;="&amp;B23)</f>
        <v>1741.18</v>
      </c>
      <c r="C39" s="31"/>
      <c r="D39" s="240" t="s">
        <v>22</v>
      </c>
      <c r="E39" s="241">
        <f>SUMIFS('SAIDAS-FIN-ilumi'!D:D,'SAIDAS-FIN-ilumi'!C:C,"TRANSPORTES",'SAIDAS-FIN-ilumi'!A:A,"&gt;="&amp;E22,'SAIDAS-FIN-ilumi'!A:A,"&lt;="&amp;E23)</f>
        <v>0</v>
      </c>
    </row>
    <row r="40" spans="1:5">
      <c r="A40" s="240" t="s">
        <v>26</v>
      </c>
      <c r="B40" s="241">
        <f>SUMIFS('SAIDAS-FIN-ilumi'!D:D,'SAIDAS-FIN-ilumi'!C:C,"PUBLICIDADE",'SAIDAS-FIN-ilumi'!A:A,"&gt;="&amp;B22,'SAIDAS-FIN-ilumi'!A:A,"&lt;="&amp;B23)</f>
        <v>147</v>
      </c>
      <c r="C40" s="31"/>
      <c r="D40" s="240" t="s">
        <v>23</v>
      </c>
      <c r="E40" s="241">
        <f>SUMIFS('SAIDAS-FIN-ilumi'!D:D,'SAIDAS-FIN-ilumi'!C:C,"EMPRÉSTIMO",'SAIDAS-FIN-ilumi'!A:A,"&gt;="&amp;E22,'SAIDAS-FIN-ilumi'!A:A,"&lt;="&amp;E23)</f>
        <v>6372.54</v>
      </c>
    </row>
    <row r="41" spans="1:5">
      <c r="A41" s="240" t="s">
        <v>35</v>
      </c>
      <c r="B41" s="241">
        <f>SUMIFS('SAIDAS-FIN-ilumi'!D:D,'SAIDAS-FIN-ilumi'!C:C,"OUTRAS DESPESAS",'SAIDAS-FIN-ilumi'!A:A,"&gt;="&amp;B22,'SAIDAS-FIN-ilumi'!A:A,"&lt;="&amp;B23)</f>
        <v>0</v>
      </c>
      <c r="C41" s="31"/>
      <c r="D41" s="240" t="s">
        <v>24</v>
      </c>
      <c r="E41" s="241">
        <f>SUMIFS('SAIDAS-FIN-ilumi'!D:D,'SAIDAS-FIN-ilumi'!C:C,"SÓCIOS",'SAIDAS-FIN-ilumi'!A:A,"&gt;="&amp;E22,'SAIDAS-FIN-ilumi'!A:A,"&lt;="&amp;E23)</f>
        <v>17778.98</v>
      </c>
    </row>
    <row r="42" spans="1:5">
      <c r="A42" s="240" t="s">
        <v>37</v>
      </c>
      <c r="B42" s="241">
        <f>SUM(B33:B41)</f>
        <v>222798.62</v>
      </c>
      <c r="C42" s="31"/>
      <c r="D42" s="240" t="s">
        <v>25</v>
      </c>
      <c r="E42" s="241">
        <f>SUMIFS('SAIDAS-FIN-ilumi'!D:D,'SAIDAS-FIN-ilumi'!C:C,"CONSUMO",'SAIDAS-FIN-ilumi'!A:A,"&gt;="&amp;E22,'SAIDAS-FIN-ilumi'!A:A,"&lt;="&amp;E23)</f>
        <v>0</v>
      </c>
    </row>
    <row r="43" spans="1:5">
      <c r="A43" s="253"/>
      <c r="B43" s="254"/>
      <c r="C43" s="202"/>
      <c r="D43" s="240" t="s">
        <v>26</v>
      </c>
      <c r="E43" s="241">
        <f>SUMIFS('SAIDAS-FIN-ilumi'!D:D,'SAIDAS-FIN-ilumi'!C:C,"PUBLICIDADE",'SAIDAS-FIN-ilumi'!A:A,"&gt;="&amp;E22,'SAIDAS-FIN-ilumi'!A:A,"&lt;="&amp;E23)</f>
        <v>0</v>
      </c>
    </row>
    <row r="44" spans="1:5">
      <c r="A44" s="240" t="s">
        <v>40</v>
      </c>
      <c r="B44" s="241">
        <f>B30-B42</f>
        <v>123947.99299999978</v>
      </c>
      <c r="C44" s="31"/>
      <c r="D44" s="240" t="s">
        <v>35</v>
      </c>
      <c r="E44" s="241">
        <f>SUMIFS('SAIDAS-FIN-ilumi'!D:D,'SAIDAS-FIN-ilumi'!C:C,"OUTROS",'SAIDAS-FIN-ilumi'!A:A,"&gt;="&amp;E22,'SAIDAS-FIN-ilumi'!A:A,"&lt;="&amp;E23)</f>
        <v>0</v>
      </c>
    </row>
    <row r="45" spans="1:5">
      <c r="A45" s="255"/>
      <c r="B45" s="257"/>
      <c r="C45" s="202"/>
      <c r="D45" s="240" t="s">
        <v>37</v>
      </c>
      <c r="E45" s="241">
        <f>SUM(E35:E44)</f>
        <v>45599.06</v>
      </c>
    </row>
    <row r="46" spans="1:5">
      <c r="A46" s="240" t="s">
        <v>42</v>
      </c>
      <c r="B46" s="246">
        <f>IF(B27=0,0,B30/B27)</f>
        <v>0.39696035846908828</v>
      </c>
      <c r="C46" s="32"/>
      <c r="D46" s="253"/>
      <c r="E46" s="254"/>
    </row>
    <row r="47" spans="1:5">
      <c r="A47" s="240" t="s">
        <v>43</v>
      </c>
      <c r="B47" s="246">
        <f>IF(B25=0,0,B44/B25)</f>
        <v>0.12689693916790745</v>
      </c>
      <c r="C47" s="31"/>
      <c r="D47" s="240" t="s">
        <v>40</v>
      </c>
      <c r="E47" s="241">
        <f>E32-E45</f>
        <v>4138.3500000000204</v>
      </c>
    </row>
    <row r="49" spans="4:5">
      <c r="D49" s="240" t="s">
        <v>42</v>
      </c>
      <c r="E49" s="246">
        <f>IF(E29=0,0,E32/E29)</f>
        <v>0.35398976635885848</v>
      </c>
    </row>
    <row r="50" spans="4:5">
      <c r="D50" s="240" t="s">
        <v>43</v>
      </c>
      <c r="E50" s="246">
        <f>IF(E25=0,0,E47/E25)</f>
        <v>2.7482915944454536E-2</v>
      </c>
    </row>
  </sheetData>
  <mergeCells count="26">
    <mergeCell ref="A20:A21"/>
    <mergeCell ref="B20:B21"/>
    <mergeCell ref="B6:B7"/>
    <mergeCell ref="A6:A7"/>
    <mergeCell ref="D6:D7"/>
    <mergeCell ref="A13:A14"/>
    <mergeCell ref="B13:B14"/>
    <mergeCell ref="D18:D19"/>
    <mergeCell ref="E18:E19"/>
    <mergeCell ref="A1:E3"/>
    <mergeCell ref="D15:D16"/>
    <mergeCell ref="E15:E16"/>
    <mergeCell ref="A11:A12"/>
    <mergeCell ref="B11:B12"/>
    <mergeCell ref="A16:A17"/>
    <mergeCell ref="B16:B17"/>
    <mergeCell ref="E6:E7"/>
    <mergeCell ref="H3:K3"/>
    <mergeCell ref="D12:D13"/>
    <mergeCell ref="E12:E13"/>
    <mergeCell ref="A4:B5"/>
    <mergeCell ref="D4:E5"/>
    <mergeCell ref="A8:A9"/>
    <mergeCell ref="B8:B9"/>
    <mergeCell ref="D8:D9"/>
    <mergeCell ref="E8:E9"/>
  </mergeCells>
  <conditionalFormatting sqref="B11 B13 B16 B20">
    <cfRule type="cellIs" dxfId="18" priority="13" stopIfTrue="1" operator="lessThan">
      <formula>0</formula>
    </cfRule>
    <cfRule type="cellIs" dxfId="17" priority="14" stopIfTrue="1" operator="greaterThan">
      <formula>0</formula>
    </cfRule>
  </conditionalFormatting>
  <conditionalFormatting sqref="E12:E19">
    <cfRule type="cellIs" dxfId="16" priority="11" operator="greaterThan">
      <formula>0</formula>
    </cfRule>
    <cfRule type="cellIs" dxfId="15" priority="12" operator="lessThan">
      <formula>0</formula>
    </cfRule>
  </conditionalFormatting>
  <conditionalFormatting sqref="J5:J17">
    <cfRule type="cellIs" dxfId="14" priority="1" operator="between">
      <formula>1</formula>
      <formula>10000</formula>
    </cfRule>
    <cfRule type="cellIs" dxfId="13" priority="2" operator="greaterThan">
      <formula>10000</formula>
    </cfRule>
    <cfRule type="cellIs" dxfId="12" priority="3" operator="lessThan">
      <formula>0</formula>
    </cfRule>
  </conditionalFormatting>
  <conditionalFormatting sqref="K5:K16">
    <cfRule type="cellIs" dxfId="11" priority="8" operator="between">
      <formula>1</formula>
      <formula>10000</formula>
    </cfRule>
    <cfRule type="cellIs" dxfId="10" priority="9" operator="greaterThan">
      <formula>10000</formula>
    </cfRule>
    <cfRule type="cellIs" dxfId="9" priority="10" operator="lessThan">
      <formula>0</formula>
    </cfRule>
  </conditionalFormatting>
  <dataValidations count="1">
    <dataValidation type="list" allowBlank="1" showInputMessage="1" showErrorMessage="1" sqref="B8 E8" xr:uid="{844095DD-0D9D-47C0-9737-3EA3EA936E69}">
      <formula1>"Janeiro, Fevereiro, Março, Abril, Maio,  Junho,  Julho, Agosto, Setembro, Outubro,  Novembro, Dezembro, Anual"</formula1>
    </dataValidation>
  </dataValidations>
  <hyperlinks>
    <hyperlink ref="B6" location="'SAIDAS-FIN-ilumi'!A1" display="Saidas Fin Ilu" xr:uid="{75F3D1C7-B637-456F-A3F5-72BA7056695B}"/>
    <hyperlink ref="E6" location="'ENTRADA NFE ILUMI'!A1" display="Saidas ilu NFE" xr:uid="{6CBA0DC5-29D4-4EC1-B57E-D98293069896}"/>
    <hyperlink ref="A6" location="'Entradas- fin- import'!A1" display="Entradas Fin ilumi" xr:uid="{47EEEBC0-634B-47E7-9C2E-E266751E4483}"/>
    <hyperlink ref="D6" location="'SAÍDA NFE ILUMI'!A1" display="Entradas ilu NFE" xr:uid="{5B736FA3-3424-4234-9F0A-E416944326C1}"/>
  </hyperlink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8C36-60D7-41AC-94E3-1B2FA32C9273}">
  <dimension ref="A1:L50"/>
  <sheetViews>
    <sheetView zoomScale="70" zoomScaleNormal="70" workbookViewId="0">
      <selection activeCell="E12" sqref="E12:E13"/>
    </sheetView>
  </sheetViews>
  <sheetFormatPr defaultRowHeight="15"/>
  <cols>
    <col min="1" max="1" width="44.5703125" style="26" customWidth="1"/>
    <col min="2" max="2" width="20.5703125" style="27" customWidth="1"/>
    <col min="3" max="3" width="15.85546875" style="27" customWidth="1"/>
    <col min="4" max="4" width="44.140625" style="26" bestFit="1" customWidth="1"/>
    <col min="5" max="5" width="20.42578125" style="26" customWidth="1"/>
    <col min="6" max="6" width="12.7109375" style="26" customWidth="1"/>
    <col min="7" max="7" width="15.85546875" style="26" bestFit="1" customWidth="1"/>
    <col min="8" max="8" width="18.28515625" style="26" customWidth="1"/>
    <col min="9" max="9" width="22.28515625" style="26" customWidth="1"/>
    <col min="10" max="10" width="16.7109375" style="26" bestFit="1" customWidth="1"/>
    <col min="11" max="11" width="15.85546875" style="26" customWidth="1"/>
    <col min="12" max="12" width="14.28515625" style="26" bestFit="1" customWidth="1"/>
    <col min="13" max="13" width="16.7109375" style="26" bestFit="1" customWidth="1"/>
    <col min="14" max="14" width="10.85546875" style="26" bestFit="1" customWidth="1"/>
    <col min="15" max="15" width="9.140625" style="26"/>
    <col min="16" max="16" width="15.7109375" style="26" bestFit="1" customWidth="1"/>
    <col min="17" max="17" width="16.7109375" style="26" bestFit="1" customWidth="1"/>
    <col min="18" max="16384" width="9.140625" style="26"/>
  </cols>
  <sheetData>
    <row r="1" spans="1:12">
      <c r="A1" s="447" t="s">
        <v>65</v>
      </c>
      <c r="B1" s="447"/>
      <c r="C1" s="447"/>
      <c r="D1" s="447"/>
      <c r="E1" s="447"/>
      <c r="I1" s="231"/>
      <c r="J1" s="231"/>
    </row>
    <row r="2" spans="1:12">
      <c r="A2" s="447"/>
      <c r="B2" s="447"/>
      <c r="C2" s="447"/>
      <c r="D2" s="447"/>
      <c r="E2" s="447"/>
      <c r="H2" s="207" t="s">
        <v>1454</v>
      </c>
      <c r="I2" s="335">
        <v>73534.87</v>
      </c>
      <c r="J2" s="336"/>
      <c r="K2" s="28"/>
    </row>
    <row r="3" spans="1:12">
      <c r="A3" s="448"/>
      <c r="B3" s="448"/>
      <c r="C3" s="447"/>
      <c r="D3" s="448"/>
      <c r="E3" s="448"/>
      <c r="G3" s="231"/>
      <c r="H3" s="231"/>
      <c r="I3" s="253"/>
      <c r="J3" s="253"/>
      <c r="K3" s="231"/>
    </row>
    <row r="4" spans="1:12">
      <c r="A4" s="449" t="s">
        <v>1</v>
      </c>
      <c r="B4" s="449"/>
      <c r="C4" s="31"/>
      <c r="D4" s="449" t="s">
        <v>3</v>
      </c>
      <c r="E4" s="449"/>
      <c r="G4" s="249" t="s">
        <v>47</v>
      </c>
      <c r="H4" s="250" t="s">
        <v>48</v>
      </c>
      <c r="I4" s="250" t="s">
        <v>1453</v>
      </c>
      <c r="J4" s="318" t="s">
        <v>49</v>
      </c>
      <c r="K4" s="327" t="s">
        <v>1463</v>
      </c>
      <c r="L4" s="321" t="s">
        <v>50</v>
      </c>
    </row>
    <row r="5" spans="1:12">
      <c r="A5" s="449"/>
      <c r="B5" s="449"/>
      <c r="C5" s="31"/>
      <c r="D5" s="449"/>
      <c r="E5" s="449"/>
      <c r="G5" s="238" t="s">
        <v>52</v>
      </c>
      <c r="H5" s="314">
        <f>SUMIF('Entradas- fin- import'!E:E,"Janeiro",'Entradas- fin- import'!D:D)</f>
        <v>13593.52</v>
      </c>
      <c r="I5" s="314">
        <f>SUMIF('Saidas-fin-import'!E:E,"Janeiro",'Saidas-fin-import'!D:D)</f>
        <v>74876.929999999978</v>
      </c>
      <c r="J5" s="319">
        <f>H5-I5</f>
        <v>-61283.409999999974</v>
      </c>
      <c r="K5" s="328">
        <f>I2+H5-I5</f>
        <v>12251.460000000021</v>
      </c>
      <c r="L5" s="322">
        <f>IF(I2=0,0,(H5-I2)/I2)</f>
        <v>-0.81514185039016174</v>
      </c>
    </row>
    <row r="6" spans="1:12">
      <c r="A6" s="459" t="s">
        <v>1457</v>
      </c>
      <c r="B6" s="461" t="s">
        <v>1455</v>
      </c>
      <c r="C6" s="313"/>
      <c r="D6" s="459" t="s">
        <v>1458</v>
      </c>
      <c r="E6" s="461" t="s">
        <v>1456</v>
      </c>
      <c r="G6" s="238" t="s">
        <v>53</v>
      </c>
      <c r="H6" s="314">
        <f>SUMIF('Entradas- fin- import'!E:E,"Fevereiro",'Entradas- fin- import'!D:D)</f>
        <v>37091.380000000005</v>
      </c>
      <c r="I6" s="314">
        <f>SUMIF('Saidas-fin-import'!E:E,"Fevereiro",'Saidas-fin-import'!D:D)</f>
        <v>44764.380000000005</v>
      </c>
      <c r="J6" s="319">
        <f t="shared" ref="J6:J16" si="0">H6-I6</f>
        <v>-7673</v>
      </c>
      <c r="K6" s="330">
        <f>K5+H6-I6</f>
        <v>4578.460000000021</v>
      </c>
      <c r="L6" s="322">
        <f t="shared" ref="L6:L16" si="1">IF(H5=0,0,(H6-H5)/H5)</f>
        <v>1.7286074541399139</v>
      </c>
    </row>
    <row r="7" spans="1:12">
      <c r="A7" s="460"/>
      <c r="B7" s="462"/>
      <c r="C7" s="313"/>
      <c r="D7" s="460"/>
      <c r="E7" s="462"/>
      <c r="G7" s="238" t="s">
        <v>54</v>
      </c>
      <c r="H7" s="314">
        <f>SUMIF('Entradas- fin- import'!E:E,"mArço",'Entradas- fin- import'!D:D)</f>
        <v>37723.490000000005</v>
      </c>
      <c r="I7" s="314">
        <f>SUMIF('Saidas-fin-import'!E:E,"Março",'Saidas-fin-import'!D:D)</f>
        <v>35226.35</v>
      </c>
      <c r="J7" s="319">
        <f t="shared" si="0"/>
        <v>2497.1400000000067</v>
      </c>
      <c r="K7" s="330">
        <f t="shared" ref="K7:K16" si="2">K6+H7-I7</f>
        <v>7075.6000000000276</v>
      </c>
      <c r="L7" s="322">
        <f t="shared" si="1"/>
        <v>1.7041965006424686E-2</v>
      </c>
    </row>
    <row r="8" spans="1:12">
      <c r="A8" s="452" t="s">
        <v>6</v>
      </c>
      <c r="B8" s="450" t="s">
        <v>1452</v>
      </c>
      <c r="C8" s="31"/>
      <c r="D8" s="455" t="s">
        <v>6</v>
      </c>
      <c r="E8" s="445" t="s">
        <v>1452</v>
      </c>
      <c r="G8" s="238" t="s">
        <v>56</v>
      </c>
      <c r="H8" s="314">
        <f>SUMIF('Entradas- fin- import'!E:E,"Abril",'Entradas- fin- import'!D:D)</f>
        <v>105609.12</v>
      </c>
      <c r="I8" s="314">
        <f>SUMIF('Saidas-fin-import'!E:E,"Abril",'Saidas-fin-import'!D:D)</f>
        <v>108035.78</v>
      </c>
      <c r="J8" s="319">
        <f t="shared" si="0"/>
        <v>-2426.6600000000035</v>
      </c>
      <c r="K8" s="329">
        <f t="shared" si="2"/>
        <v>4648.9400000000314</v>
      </c>
      <c r="L8" s="322">
        <f t="shared" si="1"/>
        <v>1.7995585774274856</v>
      </c>
    </row>
    <row r="9" spans="1:12">
      <c r="A9" s="453"/>
      <c r="B9" s="451"/>
      <c r="C9" s="31"/>
      <c r="D9" s="455"/>
      <c r="E9" s="445"/>
      <c r="G9" s="238" t="s">
        <v>57</v>
      </c>
      <c r="H9" s="314">
        <f>SUMIF('Entradas- fin- import'!E:E,"MAIO",'Entradas- fin- import'!D:D)</f>
        <v>80008.320000000007</v>
      </c>
      <c r="I9" s="314">
        <f>SUMIF('Saidas-fin-import'!E:E,"Maio",'Saidas-fin-import'!D:D)</f>
        <v>70645.67</v>
      </c>
      <c r="J9" s="319">
        <f t="shared" si="0"/>
        <v>9362.6500000000087</v>
      </c>
      <c r="K9" s="329">
        <f t="shared" si="2"/>
        <v>14011.59000000004</v>
      </c>
      <c r="L9" s="322">
        <f t="shared" si="1"/>
        <v>-0.2424108826964943</v>
      </c>
    </row>
    <row r="10" spans="1:12">
      <c r="B10" s="337"/>
      <c r="D10" s="232"/>
      <c r="E10" s="236"/>
      <c r="G10" s="238" t="s">
        <v>58</v>
      </c>
      <c r="H10" s="314">
        <f>SUMIF('Entradas- fin- import'!E:E,"JUNHO",'Entradas- fin- import'!D:D)</f>
        <v>67961.09</v>
      </c>
      <c r="I10" s="314">
        <f>SUMIF('Saidas-fin-import'!E:E,"Junho",'Saidas-fin-import'!D:D)</f>
        <v>77528.78</v>
      </c>
      <c r="J10" s="319">
        <f t="shared" si="0"/>
        <v>-9567.6900000000023</v>
      </c>
      <c r="K10" s="329">
        <f t="shared" si="2"/>
        <v>4443.9000000000378</v>
      </c>
      <c r="L10" s="322">
        <f t="shared" si="1"/>
        <v>-0.15057471522961624</v>
      </c>
    </row>
    <row r="11" spans="1:12">
      <c r="A11" s="457" t="s">
        <v>16</v>
      </c>
      <c r="B11" s="450">
        <f>SUMIFS('Entradas- fin- import'!D:D,'Entradas- fin- import'!A:A,"&gt;="&amp;$B$22,'Entradas- fin- import'!A:A,"&lt;="&amp;$B$23)</f>
        <v>343602.08000000007</v>
      </c>
      <c r="D11" s="231"/>
      <c r="E11" s="237"/>
      <c r="G11" s="238" t="s">
        <v>59</v>
      </c>
      <c r="H11" s="314">
        <f>SUMIF('Entradas- fin- import'!E:E,G11,'Entradas- fin- import'!C:C)</f>
        <v>0</v>
      </c>
      <c r="I11" s="314">
        <f>SUMIF('Saidas-fin-import'!E:E,"Julho",'Saidas-fin-import'!D:D)</f>
        <v>0</v>
      </c>
      <c r="J11" s="319">
        <f t="shared" si="0"/>
        <v>0</v>
      </c>
      <c r="K11" s="325"/>
      <c r="L11" s="322">
        <f t="shared" si="1"/>
        <v>-1</v>
      </c>
    </row>
    <row r="12" spans="1:12">
      <c r="A12" s="458"/>
      <c r="B12" s="451"/>
      <c r="C12" s="31"/>
      <c r="D12" s="456" t="s">
        <v>13</v>
      </c>
      <c r="E12" s="454">
        <f>E15-E18</f>
        <v>184519.89</v>
      </c>
      <c r="F12" s="30"/>
      <c r="G12" s="238" t="s">
        <v>60</v>
      </c>
      <c r="H12" s="314">
        <f>SUMIF('Entradas- fin- import'!E:E,G12,'Entradas- fin- import'!C:C)</f>
        <v>0</v>
      </c>
      <c r="I12" s="314">
        <f>SUMIF('Saidas-fin-import'!E:E,"Agosto",'Saidas-fin-import'!D:D)</f>
        <v>0</v>
      </c>
      <c r="J12" s="319">
        <f t="shared" si="0"/>
        <v>0</v>
      </c>
      <c r="K12" s="325">
        <f t="shared" si="2"/>
        <v>0</v>
      </c>
      <c r="L12" s="322">
        <f t="shared" si="1"/>
        <v>0</v>
      </c>
    </row>
    <row r="13" spans="1:12">
      <c r="A13" s="467" t="s">
        <v>21</v>
      </c>
      <c r="B13" s="469">
        <f>SUMIFS('Saidas-fin-import'!D:D,'Saidas-fin-import'!A:A,"&gt;="&amp;$B$22,'Saidas-fin-import'!A:A,"&lt;="&amp;$B$23)</f>
        <v>414108.55999999982</v>
      </c>
      <c r="C13" s="31"/>
      <c r="D13" s="456"/>
      <c r="E13" s="454"/>
      <c r="F13" s="30"/>
      <c r="G13" s="238" t="s">
        <v>61</v>
      </c>
      <c r="H13" s="314">
        <f>SUMIF('Entradas- fin- import'!E:E,G13,'Entradas- fin- import'!C:C)</f>
        <v>0</v>
      </c>
      <c r="I13" s="314">
        <f>SUMIF('Saidas-fin-import'!E:E,"Setembro",'Saidas-fin-import'!D:D)</f>
        <v>0</v>
      </c>
      <c r="J13" s="331">
        <f t="shared" si="0"/>
        <v>0</v>
      </c>
      <c r="K13" s="324">
        <f t="shared" si="2"/>
        <v>0</v>
      </c>
      <c r="L13" s="322">
        <f t="shared" si="1"/>
        <v>0</v>
      </c>
    </row>
    <row r="14" spans="1:12">
      <c r="A14" s="468"/>
      <c r="B14" s="470"/>
      <c r="D14" s="253"/>
      <c r="E14" s="254"/>
      <c r="F14" s="207"/>
      <c r="G14" s="238" t="s">
        <v>62</v>
      </c>
      <c r="H14" s="314">
        <f>SUMIF('Entradas- fin- import'!E:E,G14,'Entradas- fin- import'!C:C)</f>
        <v>0</v>
      </c>
      <c r="I14" s="314">
        <f>SUMIF('Saidas-fin-import'!E:E,"Outubro",'Saidas-fin-import'!D:D)</f>
        <v>0</v>
      </c>
      <c r="J14" s="332">
        <f t="shared" si="0"/>
        <v>0</v>
      </c>
      <c r="K14" s="325">
        <f t="shared" si="2"/>
        <v>0</v>
      </c>
      <c r="L14" s="322">
        <f t="shared" si="1"/>
        <v>0</v>
      </c>
    </row>
    <row r="15" spans="1:12">
      <c r="A15" s="31"/>
      <c r="B15" s="340"/>
      <c r="C15" s="31"/>
      <c r="D15" s="444" t="s">
        <v>16</v>
      </c>
      <c r="E15" s="445">
        <f>SUMIFS('Saídas-NFE-import'!D:D,'Saídas-NFE-import'!A:A,"&gt;="&amp;$E$22,'Saídas-NFE-import'!A:A,"&lt;="&amp;$E$23)</f>
        <v>349325.9</v>
      </c>
      <c r="F15" s="30"/>
      <c r="G15" s="238" t="s">
        <v>63</v>
      </c>
      <c r="H15" s="314">
        <f>SUMIF('Entradas- fin- import'!E:E,G15,'Entradas- fin- import'!C:C)</f>
        <v>0</v>
      </c>
      <c r="I15" s="314">
        <f>SUMIF('Saidas-fin-import'!E:E,"Novembro",'Saidas-fin-import'!D:D)</f>
        <v>0</v>
      </c>
      <c r="J15" s="319">
        <f t="shared" si="0"/>
        <v>0</v>
      </c>
      <c r="K15" s="325">
        <f t="shared" si="2"/>
        <v>0</v>
      </c>
      <c r="L15" s="322">
        <f t="shared" si="1"/>
        <v>0</v>
      </c>
    </row>
    <row r="16" spans="1:12">
      <c r="A16" s="471" t="s">
        <v>13</v>
      </c>
      <c r="B16" s="473">
        <f>B11-B13</f>
        <v>-70506.479999999749</v>
      </c>
      <c r="C16" s="31"/>
      <c r="D16" s="444"/>
      <c r="E16" s="445"/>
      <c r="F16" s="30"/>
      <c r="G16" s="238" t="s">
        <v>64</v>
      </c>
      <c r="H16" s="314">
        <f>SUMIF('Entradas- fin- import'!E:E,G16,'Entradas- fin- import'!C:C)</f>
        <v>0</v>
      </c>
      <c r="I16" s="314">
        <f>SUMIF('Saidas-fin-import'!E:E,"Dezembro",'Saidas-fin-import'!D:D)</f>
        <v>0</v>
      </c>
      <c r="J16" s="319">
        <f t="shared" si="0"/>
        <v>0</v>
      </c>
      <c r="K16" s="325">
        <f t="shared" si="2"/>
        <v>0</v>
      </c>
      <c r="L16" s="322">
        <f t="shared" si="1"/>
        <v>0</v>
      </c>
    </row>
    <row r="17" spans="1:12">
      <c r="A17" s="472"/>
      <c r="B17" s="473"/>
      <c r="C17" s="32"/>
      <c r="D17" s="253"/>
      <c r="E17" s="254"/>
      <c r="F17" s="207"/>
      <c r="G17" s="238" t="s">
        <v>13</v>
      </c>
      <c r="H17" s="252">
        <f>SUM(H5:H16)</f>
        <v>341986.92000000004</v>
      </c>
      <c r="I17" s="252">
        <f>SUM(I5:I16)</f>
        <v>411077.8899999999</v>
      </c>
      <c r="J17" s="320">
        <f>SUM(J5:J16)</f>
        <v>-69090.969999999958</v>
      </c>
      <c r="K17" s="324">
        <f>SUM(K5:K16)</f>
        <v>47009.950000000179</v>
      </c>
      <c r="L17" s="323"/>
    </row>
    <row r="18" spans="1:12">
      <c r="B18" s="236"/>
      <c r="C18" s="31"/>
      <c r="D18" s="446" t="s">
        <v>21</v>
      </c>
      <c r="E18" s="445">
        <f>SUMIFS('Entradas-NFE-Import'!D:D,'Entradas-NFE-Import'!A:A,"&gt;="&amp;$E$22,'Entradas-NFE-Import'!A:A,"&lt;="&amp;$E$23)</f>
        <v>164806.01</v>
      </c>
      <c r="F18" s="28"/>
      <c r="G18" s="232"/>
      <c r="H18" s="232"/>
      <c r="I18" s="232"/>
      <c r="J18" s="232"/>
      <c r="K18" s="232"/>
    </row>
    <row r="19" spans="1:12" ht="15.75" thickBot="1">
      <c r="A19" s="338" t="s">
        <v>1454</v>
      </c>
      <c r="B19" s="339">
        <v>73534.87</v>
      </c>
      <c r="C19" s="31"/>
      <c r="D19" s="446"/>
      <c r="E19" s="445"/>
      <c r="F19" s="28"/>
    </row>
    <row r="20" spans="1:12">
      <c r="A20" s="463" t="s">
        <v>1465</v>
      </c>
      <c r="B20" s="465">
        <f>B11+B19-B13</f>
        <v>3028.3900000002468</v>
      </c>
      <c r="D20" s="232"/>
      <c r="E20" s="232"/>
    </row>
    <row r="21" spans="1:12">
      <c r="A21" s="464"/>
      <c r="B21" s="466"/>
      <c r="D21" s="231"/>
      <c r="E21" s="231"/>
    </row>
    <row r="22" spans="1:12">
      <c r="A22" s="238" t="s">
        <v>2</v>
      </c>
      <c r="B22" s="239">
        <f>IF(B8="Janeiro",DATE(2026,1,1),
IF(B8="Fevereiro",DATE(2026,2,1),
IF(B8="Março",DATE(2026,3,1),
IF(B8="Abril",DATE(2026,4,1),
IF(B8="Maio",DATE(2026,5,1),
IF(B8="Junho",DATE(2026,6,1),
IF(B8="Julho",DATE(2026,7,1),
IF(B8="Agosto",DATE(2026,8,1),
IF(B8="Setembro",DATE(2026,9,1),
IF(B8="Outubro",DATE(2026,10,1),
IF(B8="Novembro",DATE(2026,11,1),
IF(B8="Dezembro",DATE(2026,12,1),
IF(B8="Anual",DATE(2026,1,1))))))))))))))</f>
        <v>46023</v>
      </c>
      <c r="C22" s="31"/>
      <c r="D22" s="238" t="s">
        <v>2</v>
      </c>
      <c r="E22" s="239">
        <f>IF(E8="ANUAL",DATE(2026,1,1),DATE(2026,MATCH(E8,{"JANEIRO";"FEVEREIRO";"MARÇO";"ABRIL";"MAIO";"JUNHO";"JULHO";"AGOSTO";"SETEMBRO";"OUTUBRO";"NOVEMBRO";"DEZEMBRO"},0),1))</f>
        <v>46023</v>
      </c>
      <c r="F22" s="28"/>
      <c r="I22" s="26" t="s">
        <v>66</v>
      </c>
    </row>
    <row r="23" spans="1:12">
      <c r="A23" s="238" t="s">
        <v>4</v>
      </c>
      <c r="B23" s="239">
        <f>IF(B8="ANUAL",DATE(2026,12,31),EOMONTH(DATE(2026,MATCH(B8,{"JANEIRO";"FEVEREIRO";"MARÇO";"ABRIL";"MAIO";"JUNHO";"JULHO";"AGOSTO";"SETEMBRO";"OUTUBRO";"NOVEMBRO";"DEZEMBRO"},0),1),0))</f>
        <v>46387</v>
      </c>
      <c r="C23" s="31"/>
      <c r="D23" s="238" t="s">
        <v>4</v>
      </c>
      <c r="E23" s="239">
        <f>IF(E8="ANUAL",DATE(2026,12,31),EOMONTH(DATE(2026,MATCH(E8,{"JANEIRO";"FEVEREIRO";"MARÇO";"ABRIL";"MAIO";"JUNHO";"JULHO";"AGOSTO";"SETEMBRO";"OUTUBRO";"NOVEMBRO";"DEZEMBRO"},0),1),0))</f>
        <v>46387</v>
      </c>
      <c r="F23" s="28"/>
    </row>
    <row r="24" spans="1:12">
      <c r="A24" s="238"/>
      <c r="B24" s="238"/>
      <c r="C24" s="31"/>
      <c r="D24" s="238"/>
      <c r="E24" s="238"/>
      <c r="F24" s="28"/>
    </row>
    <row r="25" spans="1:12">
      <c r="A25" s="240" t="s">
        <v>5</v>
      </c>
      <c r="B25" s="241">
        <f>SUMIFS('Entradas- fin- import'!D:D,'Entradas- fin- import'!A:A,"&gt;="&amp;B22,'Entradas- fin- import'!A:A,"&lt;="&amp;B23)</f>
        <v>343602.08000000007</v>
      </c>
      <c r="C25" s="31"/>
      <c r="D25" s="240" t="s">
        <v>5</v>
      </c>
      <c r="E25" s="241">
        <f>SUMIFS('Saídas-NFE-import'!D:D,'Saídas-NFE-import'!A:A,"&gt;="&amp;E22,'Saídas-NFE-import'!A:A,"&lt;="&amp;E23)</f>
        <v>349325.9</v>
      </c>
      <c r="F25" s="28"/>
    </row>
    <row r="26" spans="1:12">
      <c r="A26" s="240" t="s">
        <v>8</v>
      </c>
      <c r="B26" s="241">
        <f>SUMIFS('Saidas-fin-import'!D:D,'Saidas-fin-import'!C:C,"IMPOSTOS",'Saidas-fin-import'!A:A,"&gt;="&amp;B22,'Saidas-fin-import'!A:A,"&lt;="&amp;B23)</f>
        <v>23548.449999999997</v>
      </c>
      <c r="C26" s="31"/>
      <c r="D26" s="240" t="s">
        <v>9</v>
      </c>
      <c r="E26" s="241">
        <f>SUMIFS('Saídas-NFE-import'!D:D,'Saídas-NFE-import'!E:E,"SNF",'Saídas-NFE-import'!A:A,"&gt;="&amp;E22,'Saídas-NFE-import'!A:A,"&lt;="&amp;E23)</f>
        <v>0</v>
      </c>
      <c r="F26" s="28"/>
    </row>
    <row r="27" spans="1:12">
      <c r="A27" s="240" t="s">
        <v>10</v>
      </c>
      <c r="B27" s="241">
        <f>B25-B26</f>
        <v>320053.63000000006</v>
      </c>
      <c r="C27" s="31"/>
      <c r="D27" s="247" t="s">
        <v>11</v>
      </c>
      <c r="E27" s="248">
        <f>E25+E26</f>
        <v>349325.9</v>
      </c>
      <c r="F27" s="28"/>
    </row>
    <row r="28" spans="1:12">
      <c r="A28" s="242"/>
      <c r="B28" s="243"/>
      <c r="C28" s="31"/>
      <c r="D28" s="240" t="s">
        <v>8</v>
      </c>
      <c r="E28" s="241">
        <f>E25*0.1</f>
        <v>34932.590000000004</v>
      </c>
      <c r="F28" s="28"/>
    </row>
    <row r="29" spans="1:12">
      <c r="A29" s="240" t="s">
        <v>12</v>
      </c>
      <c r="B29" s="241">
        <f>SUMIFS('Saidas-fin-import'!D:D,'Saidas-fin-import'!C:C,"FORNECEDORES",'Saidas-fin-import'!A:A,"&gt;="&amp;B22,'Saidas-fin-import'!A:A,"&lt;="&amp;B23)</f>
        <v>62529.419999999991</v>
      </c>
      <c r="C29" s="31"/>
      <c r="D29" s="240" t="s">
        <v>10</v>
      </c>
      <c r="E29" s="241">
        <f>E27-E28</f>
        <v>314393.31</v>
      </c>
      <c r="F29" s="28"/>
    </row>
    <row r="30" spans="1:12">
      <c r="A30" s="240" t="s">
        <v>14</v>
      </c>
      <c r="B30" s="241">
        <f>B27-B29</f>
        <v>257524.21000000008</v>
      </c>
      <c r="C30" s="31"/>
      <c r="D30" s="242"/>
      <c r="E30" s="243"/>
      <c r="F30" s="28"/>
    </row>
    <row r="31" spans="1:12">
      <c r="A31" s="242"/>
      <c r="B31" s="243"/>
      <c r="C31" s="31"/>
      <c r="D31" s="240" t="s">
        <v>12</v>
      </c>
      <c r="E31" s="241">
        <f>SUMIFS('Entradas-NFE-Import'!D:D,'Entradas-NFE-Import'!A:A,"&gt;="&amp;E22,'Entradas-NFE-Import'!A:A,"&lt;="&amp;E23)</f>
        <v>164806.01</v>
      </c>
      <c r="F31" s="28"/>
    </row>
    <row r="32" spans="1:12">
      <c r="A32" s="240" t="s">
        <v>15</v>
      </c>
      <c r="B32" s="243"/>
      <c r="C32" s="31"/>
      <c r="D32" s="240" t="s">
        <v>14</v>
      </c>
      <c r="E32" s="241">
        <f>E29-E31</f>
        <v>149587.29999999999</v>
      </c>
      <c r="F32" s="28"/>
    </row>
    <row r="33" spans="1:5">
      <c r="A33" s="240" t="s">
        <v>17</v>
      </c>
      <c r="B33" s="241">
        <f>SUMIFS('Saidas-fin-import'!D:D,'Saidas-fin-import'!C:C,"FUNCIONÁRIOS",'Saidas-fin-import'!A:A,"&gt;="&amp;B22,'Saidas-fin-import'!A:A,"&lt;="&amp;B23)</f>
        <v>30024.280000000002</v>
      </c>
      <c r="C33" s="31"/>
      <c r="D33" s="242"/>
      <c r="E33" s="243"/>
    </row>
    <row r="34" spans="1:5">
      <c r="A34" s="240" t="s">
        <v>31</v>
      </c>
      <c r="B34" s="241">
        <f>SUMIFS('Saidas-fin-import'!D:D,'Saidas-fin-import'!C:C,"SEGURO",'Saidas-fin-import'!A:A,"&gt;="&amp;B22,'Saidas-fin-import'!A:A,"&lt;="&amp;B23)</f>
        <v>219.58</v>
      </c>
      <c r="C34" s="31"/>
      <c r="D34" s="240" t="s">
        <v>15</v>
      </c>
      <c r="E34" s="243"/>
    </row>
    <row r="35" spans="1:5">
      <c r="A35" s="240" t="s">
        <v>33</v>
      </c>
      <c r="B35" s="241">
        <f>SUMIFS('Saidas-fin-import'!D:D,'Saidas-fin-import'!C:C,"IMPORTAÇÕES",'Saidas-fin-import'!A:A,"&gt;="&amp;B22,'Saidas-fin-import'!A:A,"&lt;="&amp;B23)</f>
        <v>46171.34</v>
      </c>
      <c r="C35" s="31"/>
      <c r="D35" s="240" t="s">
        <v>20</v>
      </c>
      <c r="E35" s="241">
        <f>SUMIFS('Entradas-NFE-Import'!D:D,'Entradas-NFE-Import'!E:E,"DEVOLUÇÕES",'Entradas-NFE-Import'!A:A,"&gt;="&amp;E22,'Entradas-NFE-Import'!A:A,"&lt;="&amp;E23)</f>
        <v>0</v>
      </c>
    </row>
    <row r="36" spans="1:5">
      <c r="A36" s="240" t="s">
        <v>29</v>
      </c>
      <c r="B36" s="241">
        <f>SUMIFS('Saidas-fin-import'!D:D,'Saidas-fin-import'!C:C,"BRINDES",'Saidas-fin-import'!A:A,"&gt;="&amp;B22,'Saidas-fin-import'!A:A,"&lt;="&amp;B23)</f>
        <v>2569</v>
      </c>
      <c r="C36" s="31"/>
      <c r="D36" s="240" t="s">
        <v>17</v>
      </c>
      <c r="E36" s="241">
        <f>B33</f>
        <v>30024.280000000002</v>
      </c>
    </row>
    <row r="37" spans="1:5">
      <c r="A37" s="240" t="s">
        <v>23</v>
      </c>
      <c r="B37" s="241">
        <f>SUMIFS('Saidas-fin-import'!D:D,'Saidas-fin-import'!C:C,"EMPRÉSTIMOS",'Saidas-fin-import'!A:A,"&gt;="&amp;B22,'Saidas-fin-import'!A:A,"&lt;="&amp;B23)</f>
        <v>13065.919999999998</v>
      </c>
      <c r="C37" s="31"/>
      <c r="D37" s="240" t="s">
        <v>18</v>
      </c>
      <c r="E37" s="241">
        <f t="shared" ref="E37:E43" si="3">B34</f>
        <v>219.58</v>
      </c>
    </row>
    <row r="38" spans="1:5">
      <c r="A38" s="240" t="s">
        <v>24</v>
      </c>
      <c r="B38" s="241">
        <f>SUMIFS('Saidas-fin-import'!D:D,'Saidas-fin-import'!C:C,"SÓCIOS",'Saidas-fin-import'!A:A,"&gt;="&amp;B22,'Saidas-fin-import'!A:A,"&lt;="&amp;B23)</f>
        <v>70555.490000000005</v>
      </c>
      <c r="C38" s="31"/>
      <c r="D38" s="240" t="s">
        <v>19</v>
      </c>
      <c r="E38" s="241">
        <f>B35</f>
        <v>46171.34</v>
      </c>
    </row>
    <row r="39" spans="1:5">
      <c r="A39" s="240" t="s">
        <v>25</v>
      </c>
      <c r="B39" s="241">
        <f>SUMIFS('Saidas-fin-import'!D:D,'Saidas-fin-import'!C:C,"CONSUMO",'Saidas-fin-import'!A:A,"&gt;="&amp;B22,'Saidas-fin-import'!A:A,"&lt;="&amp;B23)</f>
        <v>10521.03</v>
      </c>
      <c r="C39" s="31"/>
      <c r="D39" s="240" t="s">
        <v>22</v>
      </c>
      <c r="E39" s="241">
        <f t="shared" si="3"/>
        <v>2569</v>
      </c>
    </row>
    <row r="40" spans="1:5">
      <c r="A40" s="240" t="s">
        <v>18</v>
      </c>
      <c r="B40" s="241">
        <f>SUMIFS('Saidas-fin-import'!D:D,'Saidas-fin-import'!C:C,"GASTOS FIXOS",'Saidas-fin-import'!A:A,"&gt;="&amp;B22,'Saidas-fin-import'!A:A,"&lt;="&amp;B23)</f>
        <v>20525.620000000003</v>
      </c>
      <c r="C40" s="31"/>
      <c r="D40" s="240" t="s">
        <v>23</v>
      </c>
      <c r="E40" s="241">
        <f t="shared" si="3"/>
        <v>13065.919999999998</v>
      </c>
    </row>
    <row r="41" spans="1:5">
      <c r="A41" s="240" t="s">
        <v>27</v>
      </c>
      <c r="B41" s="241">
        <f>SUMIFS('Saidas-fin-import'!D:D,'Saidas-fin-import'!C:C,"BANCO",'Saidas-fin-import'!A:A,"&gt;="&amp;B22,'Saidas-fin-import'!A:A,"&lt;="&amp;B23)</f>
        <v>292.13000000000011</v>
      </c>
      <c r="C41" s="31"/>
      <c r="D41" s="240" t="s">
        <v>24</v>
      </c>
      <c r="E41" s="241">
        <f t="shared" si="3"/>
        <v>70555.490000000005</v>
      </c>
    </row>
    <row r="42" spans="1:5">
      <c r="A42" s="238"/>
      <c r="B42" s="244"/>
      <c r="C42" s="31"/>
      <c r="D42" s="240" t="s">
        <v>25</v>
      </c>
      <c r="E42" s="241">
        <f t="shared" si="3"/>
        <v>10521.03</v>
      </c>
    </row>
    <row r="43" spans="1:5">
      <c r="A43" s="240" t="s">
        <v>35</v>
      </c>
      <c r="B43" s="241">
        <f>SUMIFS('SAIDAS-FIN-ilumi'!D:D,'SAIDAS-FIN-ilumi'!C:C,"OUTRAS DESPESAS",'SAIDAS-FIN-ilumi'!A:A,"&gt;="&amp;B22,'SAIDAS-FIN-ilumi'!A:A,"&lt;="&amp;B23)</f>
        <v>0</v>
      </c>
      <c r="C43" s="31"/>
      <c r="D43" s="240" t="s">
        <v>26</v>
      </c>
      <c r="E43" s="241">
        <f t="shared" si="3"/>
        <v>20525.620000000003</v>
      </c>
    </row>
    <row r="44" spans="1:5">
      <c r="A44" s="240" t="s">
        <v>37</v>
      </c>
      <c r="B44" s="241">
        <f>SUM(B33:B43)</f>
        <v>193944.38999999998</v>
      </c>
      <c r="C44" s="31"/>
      <c r="D44" s="240" t="s">
        <v>35</v>
      </c>
      <c r="E44" s="241">
        <f>B43</f>
        <v>0</v>
      </c>
    </row>
    <row r="45" spans="1:5">
      <c r="A45" s="238"/>
      <c r="B45" s="244"/>
      <c r="C45" s="31"/>
      <c r="D45" s="240" t="s">
        <v>37</v>
      </c>
      <c r="E45" s="241">
        <f>SUM(E35:E44)</f>
        <v>193652.25999999998</v>
      </c>
    </row>
    <row r="46" spans="1:5">
      <c r="A46" s="240" t="s">
        <v>40</v>
      </c>
      <c r="B46" s="241">
        <f>B30-B44</f>
        <v>63579.820000000094</v>
      </c>
      <c r="C46" s="31"/>
      <c r="D46" s="238"/>
      <c r="E46" s="244"/>
    </row>
    <row r="47" spans="1:5">
      <c r="A47" s="242"/>
      <c r="B47" s="245"/>
      <c r="C47" s="31"/>
      <c r="D47" s="240" t="s">
        <v>40</v>
      </c>
      <c r="E47" s="241">
        <f>E32-E45</f>
        <v>-44064.959999999992</v>
      </c>
    </row>
    <row r="48" spans="1:5">
      <c r="A48" s="240" t="s">
        <v>42</v>
      </c>
      <c r="B48" s="246">
        <f>IF(B27=0,0,B30/B27)</f>
        <v>0.80462830557491261</v>
      </c>
      <c r="C48" s="31"/>
      <c r="D48" s="242"/>
      <c r="E48" s="245"/>
    </row>
    <row r="49" spans="1:5">
      <c r="A49" s="240" t="s">
        <v>43</v>
      </c>
      <c r="B49" s="246">
        <f>IF(B25=0,0,B46/B25)</f>
        <v>0.18503910104385887</v>
      </c>
      <c r="C49" s="31"/>
      <c r="D49" s="240" t="s">
        <v>42</v>
      </c>
      <c r="E49" s="246">
        <f>IF(E29=0,0,E32/E29)</f>
        <v>0.47579670190819262</v>
      </c>
    </row>
    <row r="50" spans="1:5">
      <c r="A50" s="232"/>
      <c r="B50" s="236"/>
      <c r="C50" s="202"/>
      <c r="D50" s="240" t="s">
        <v>43</v>
      </c>
      <c r="E50" s="246">
        <f>IF(E25=0,0,E47/E25)</f>
        <v>-0.12614283681799715</v>
      </c>
    </row>
  </sheetData>
  <mergeCells count="25">
    <mergeCell ref="A20:A21"/>
    <mergeCell ref="B20:B21"/>
    <mergeCell ref="A6:A7"/>
    <mergeCell ref="B6:B7"/>
    <mergeCell ref="B11:B12"/>
    <mergeCell ref="A13:A14"/>
    <mergeCell ref="B13:B14"/>
    <mergeCell ref="A16:A17"/>
    <mergeCell ref="B16:B17"/>
    <mergeCell ref="D15:D16"/>
    <mergeCell ref="E15:E16"/>
    <mergeCell ref="D18:D19"/>
    <mergeCell ref="E18:E19"/>
    <mergeCell ref="A1:E3"/>
    <mergeCell ref="A4:B5"/>
    <mergeCell ref="B8:B9"/>
    <mergeCell ref="A8:A9"/>
    <mergeCell ref="E12:E13"/>
    <mergeCell ref="D4:E5"/>
    <mergeCell ref="D8:D9"/>
    <mergeCell ref="E8:E9"/>
    <mergeCell ref="D12:D13"/>
    <mergeCell ref="A11:A12"/>
    <mergeCell ref="D6:D7"/>
    <mergeCell ref="E6:E7"/>
  </mergeCells>
  <conditionalFormatting sqref="B11 B13 B16">
    <cfRule type="cellIs" dxfId="8" priority="9" operator="lessThan">
      <formula>0</formula>
    </cfRule>
    <cfRule type="cellIs" dxfId="7" priority="10" operator="greaterThan">
      <formula>0</formula>
    </cfRule>
  </conditionalFormatting>
  <conditionalFormatting sqref="B20">
    <cfRule type="cellIs" dxfId="6" priority="1" stopIfTrue="1" operator="lessThan">
      <formula>0</formula>
    </cfRule>
    <cfRule type="cellIs" dxfId="5" priority="2" stopIfTrue="1" operator="greaterThan">
      <formula>0</formula>
    </cfRule>
  </conditionalFormatting>
  <conditionalFormatting sqref="E12:E19"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J5:J16">
    <cfRule type="cellIs" dxfId="2" priority="4" operator="between">
      <formula>1</formula>
      <formula>10000</formula>
    </cfRule>
    <cfRule type="cellIs" dxfId="1" priority="5" operator="greaterThan">
      <formula>10000</formula>
    </cfRule>
    <cfRule type="cellIs" dxfId="0" priority="6" operator="lessThan">
      <formula>0</formula>
    </cfRule>
  </conditionalFormatting>
  <dataValidations count="1">
    <dataValidation type="list" allowBlank="1" showInputMessage="1" showErrorMessage="1" sqref="B8 E8" xr:uid="{A5ECE40F-91E5-43C5-ABCE-1120744591D3}">
      <formula1>"Janeiro, Fevereiro, Março, Abril, Maio,  Junho,  Julho, Agosto, Setembro, Outubro,  Novembro, Dezembro, Anual"</formula1>
    </dataValidation>
  </dataValidations>
  <hyperlinks>
    <hyperlink ref="B6" location="'Saidas-fin-import'!A1" display="Saidas Import fin" xr:uid="{F5DC5AA2-20B9-4DA1-8F72-0DE9CC302507}"/>
    <hyperlink ref="E6" location="'Saídas-NFE-import'!A1" display="Saidas Import NFE" xr:uid="{CC5433B9-4B05-40C3-A370-81D82649E025}"/>
    <hyperlink ref="A6" location="'Entradas- fin- import'!A1" display="Entradas Import FIN" xr:uid="{DED260DC-EC8D-4014-90E3-40DA199F002B}"/>
    <hyperlink ref="D6" location="'Entradas-NFE-Import'!A1" display="Entradas Import NFE" xr:uid="{C3E064C9-FA1A-41F1-817D-1807856D9416}"/>
  </hyperlink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AF462-7A77-4E60-9C4A-936254F93367}">
  <dimension ref="A1:F135"/>
  <sheetViews>
    <sheetView tabSelected="1" topLeftCell="A105" workbookViewId="0">
      <selection activeCell="D136" sqref="D136"/>
    </sheetView>
  </sheetViews>
  <sheetFormatPr defaultRowHeight="15"/>
  <cols>
    <col min="1" max="1" width="10.7109375" bestFit="1" customWidth="1"/>
    <col min="2" max="2" width="23.7109375" bestFit="1" customWidth="1"/>
    <col min="3" max="3" width="17.140625" customWidth="1"/>
    <col min="4" max="4" width="18.42578125" customWidth="1"/>
    <col min="6" max="6" width="14.28515625" bestFit="1" customWidth="1"/>
  </cols>
  <sheetData>
    <row r="1" spans="1:6">
      <c r="A1" s="59" t="s">
        <v>67</v>
      </c>
      <c r="B1" s="59" t="s">
        <v>68</v>
      </c>
      <c r="C1" s="79" t="s">
        <v>69</v>
      </c>
      <c r="D1" s="80" t="s">
        <v>70</v>
      </c>
    </row>
    <row r="2" spans="1:6">
      <c r="A2" s="81"/>
      <c r="B2" s="435"/>
      <c r="C2" s="436"/>
      <c r="D2" s="437"/>
    </row>
    <row r="3" spans="1:6">
      <c r="A3" s="61">
        <v>46027</v>
      </c>
      <c r="B3" s="63" t="s">
        <v>71</v>
      </c>
      <c r="C3" s="82">
        <v>777</v>
      </c>
      <c r="D3" s="83">
        <v>272</v>
      </c>
      <c r="E3" s="258" t="s">
        <v>72</v>
      </c>
      <c r="F3" s="273">
        <f>SUM(D3:D13)</f>
        <v>15208.68</v>
      </c>
    </row>
    <row r="4" spans="1:6">
      <c r="A4" s="61">
        <v>46027</v>
      </c>
      <c r="B4" s="63" t="s">
        <v>73</v>
      </c>
      <c r="C4" s="82">
        <v>768</v>
      </c>
      <c r="D4" s="83">
        <v>1343.16</v>
      </c>
      <c r="E4" s="258" t="s">
        <v>72</v>
      </c>
    </row>
    <row r="5" spans="1:6">
      <c r="A5" s="61">
        <v>46034</v>
      </c>
      <c r="B5" s="63" t="s">
        <v>73</v>
      </c>
      <c r="C5" s="82">
        <v>778</v>
      </c>
      <c r="D5" s="83">
        <v>1762.68</v>
      </c>
      <c r="E5" s="258" t="s">
        <v>74</v>
      </c>
    </row>
    <row r="6" spans="1:6">
      <c r="A6" s="61">
        <v>46034</v>
      </c>
      <c r="B6" s="63" t="s">
        <v>75</v>
      </c>
      <c r="C6" s="82">
        <v>779</v>
      </c>
      <c r="D6" s="83">
        <v>480</v>
      </c>
      <c r="E6" s="258" t="s">
        <v>74</v>
      </c>
    </row>
    <row r="7" spans="1:6">
      <c r="A7" s="61">
        <v>46038</v>
      </c>
      <c r="B7" s="63" t="s">
        <v>76</v>
      </c>
      <c r="C7" s="82">
        <v>771</v>
      </c>
      <c r="D7" s="83">
        <v>980</v>
      </c>
      <c r="E7" s="258" t="s">
        <v>74</v>
      </c>
    </row>
    <row r="8" spans="1:6">
      <c r="A8" s="61">
        <v>46038</v>
      </c>
      <c r="B8" s="63" t="s">
        <v>77</v>
      </c>
      <c r="C8" s="82">
        <v>770</v>
      </c>
      <c r="D8" s="83">
        <v>4105</v>
      </c>
      <c r="E8" s="258" t="s">
        <v>74</v>
      </c>
    </row>
    <row r="9" spans="1:6">
      <c r="A9" s="61">
        <v>46038</v>
      </c>
      <c r="B9" s="63" t="s">
        <v>75</v>
      </c>
      <c r="C9" s="82">
        <v>769</v>
      </c>
      <c r="D9" s="83">
        <v>3435.92</v>
      </c>
      <c r="E9" s="258" t="s">
        <v>74</v>
      </c>
    </row>
    <row r="10" spans="1:6">
      <c r="A10" s="61">
        <v>46041</v>
      </c>
      <c r="B10" s="63" t="s">
        <v>78</v>
      </c>
      <c r="C10" s="82">
        <v>775</v>
      </c>
      <c r="D10" s="83">
        <v>700.6</v>
      </c>
      <c r="E10" s="258" t="s">
        <v>74</v>
      </c>
    </row>
    <row r="11" spans="1:6">
      <c r="A11" s="61">
        <v>46043</v>
      </c>
      <c r="B11" s="63" t="s">
        <v>79</v>
      </c>
      <c r="C11" s="82" t="s">
        <v>80</v>
      </c>
      <c r="D11" s="83">
        <v>1479.32</v>
      </c>
      <c r="E11" s="258" t="s">
        <v>74</v>
      </c>
    </row>
    <row r="12" spans="1:6">
      <c r="A12" s="61">
        <v>46045</v>
      </c>
      <c r="B12" s="63" t="s">
        <v>81</v>
      </c>
      <c r="C12" s="82">
        <v>776</v>
      </c>
      <c r="D12" s="83">
        <v>170</v>
      </c>
      <c r="E12" s="258" t="s">
        <v>74</v>
      </c>
    </row>
    <row r="13" spans="1:6">
      <c r="A13" s="61">
        <v>46048</v>
      </c>
      <c r="B13" s="63" t="s">
        <v>75</v>
      </c>
      <c r="C13" s="82">
        <v>779</v>
      </c>
      <c r="D13" s="83">
        <v>480</v>
      </c>
      <c r="E13" s="258" t="s">
        <v>74</v>
      </c>
    </row>
    <row r="14" spans="1:6">
      <c r="A14" s="186">
        <v>46056</v>
      </c>
      <c r="B14" s="112" t="s">
        <v>78</v>
      </c>
      <c r="C14" s="112">
        <v>773</v>
      </c>
      <c r="D14" s="191">
        <v>980.84</v>
      </c>
      <c r="E14" s="107" t="s">
        <v>82</v>
      </c>
      <c r="F14" s="317">
        <f>SUM(D14:D36)</f>
        <v>37091.380000000005</v>
      </c>
    </row>
    <row r="15" spans="1:6">
      <c r="A15" s="186">
        <v>46058</v>
      </c>
      <c r="B15" s="112" t="s">
        <v>76</v>
      </c>
      <c r="C15" s="112">
        <v>784</v>
      </c>
      <c r="D15" s="191">
        <v>608.34</v>
      </c>
      <c r="E15" s="107" t="s">
        <v>82</v>
      </c>
    </row>
    <row r="16" spans="1:6">
      <c r="A16" s="186">
        <v>46058</v>
      </c>
      <c r="B16" s="112" t="s">
        <v>83</v>
      </c>
      <c r="C16" s="112" t="s">
        <v>84</v>
      </c>
      <c r="D16" s="191">
        <v>482.09</v>
      </c>
      <c r="E16" s="107" t="s">
        <v>82</v>
      </c>
    </row>
    <row r="17" spans="1:5">
      <c r="A17" s="186">
        <v>46059</v>
      </c>
      <c r="B17" s="112" t="s">
        <v>85</v>
      </c>
      <c r="C17" s="112">
        <v>783</v>
      </c>
      <c r="D17" s="191">
        <v>1714</v>
      </c>
      <c r="E17" s="107" t="s">
        <v>82</v>
      </c>
    </row>
    <row r="18" spans="1:5">
      <c r="A18" s="186">
        <v>46062</v>
      </c>
      <c r="B18" s="112" t="s">
        <v>73</v>
      </c>
      <c r="C18" s="112">
        <v>778</v>
      </c>
      <c r="D18" s="191">
        <v>1711.5</v>
      </c>
      <c r="E18" s="107" t="s">
        <v>82</v>
      </c>
    </row>
    <row r="19" spans="1:5">
      <c r="A19" s="186">
        <v>46062</v>
      </c>
      <c r="B19" s="112" t="s">
        <v>86</v>
      </c>
      <c r="C19" s="112">
        <v>782</v>
      </c>
      <c r="D19" s="191">
        <v>2850</v>
      </c>
      <c r="E19" s="107" t="s">
        <v>82</v>
      </c>
    </row>
    <row r="20" spans="1:5">
      <c r="A20" s="186">
        <v>46063</v>
      </c>
      <c r="B20" s="112" t="s">
        <v>87</v>
      </c>
      <c r="C20" s="112">
        <v>786</v>
      </c>
      <c r="D20" s="191">
        <v>452</v>
      </c>
      <c r="E20" s="107" t="s">
        <v>82</v>
      </c>
    </row>
    <row r="21" spans="1:5">
      <c r="A21" s="186">
        <v>46063</v>
      </c>
      <c r="B21" s="112" t="s">
        <v>75</v>
      </c>
      <c r="C21" s="112">
        <v>779</v>
      </c>
      <c r="D21" s="191">
        <v>480</v>
      </c>
      <c r="E21" s="107" t="s">
        <v>82</v>
      </c>
    </row>
    <row r="22" spans="1:5">
      <c r="A22" s="186">
        <v>46064</v>
      </c>
      <c r="B22" s="112" t="s">
        <v>88</v>
      </c>
      <c r="C22" s="112">
        <v>785</v>
      </c>
      <c r="D22" s="191">
        <v>5272.5</v>
      </c>
      <c r="E22" s="107" t="s">
        <v>82</v>
      </c>
    </row>
    <row r="23" spans="1:5">
      <c r="A23" s="186">
        <v>46064</v>
      </c>
      <c r="B23" s="112" t="s">
        <v>89</v>
      </c>
      <c r="C23" s="112">
        <v>787</v>
      </c>
      <c r="D23" s="191">
        <v>732</v>
      </c>
      <c r="E23" s="107" t="s">
        <v>82</v>
      </c>
    </row>
    <row r="24" spans="1:5">
      <c r="A24" s="186">
        <v>46066</v>
      </c>
      <c r="B24" s="162" t="s">
        <v>90</v>
      </c>
      <c r="C24" s="163" t="s">
        <v>91</v>
      </c>
      <c r="D24" s="113">
        <v>3435.92</v>
      </c>
      <c r="E24" s="107" t="s">
        <v>82</v>
      </c>
    </row>
    <row r="25" spans="1:5">
      <c r="A25" s="186">
        <v>46066</v>
      </c>
      <c r="B25" s="160" t="s">
        <v>92</v>
      </c>
      <c r="C25" s="161" t="s">
        <v>93</v>
      </c>
      <c r="D25" s="113">
        <v>1714</v>
      </c>
      <c r="E25" s="107" t="s">
        <v>82</v>
      </c>
    </row>
    <row r="26" spans="1:5">
      <c r="A26" s="186">
        <v>46066</v>
      </c>
      <c r="B26" s="162" t="s">
        <v>94</v>
      </c>
      <c r="C26" s="163" t="s">
        <v>95</v>
      </c>
      <c r="D26" s="113">
        <v>860</v>
      </c>
      <c r="E26" s="107" t="s">
        <v>82</v>
      </c>
    </row>
    <row r="27" spans="1:5">
      <c r="A27" s="186">
        <v>46071</v>
      </c>
      <c r="B27" s="160" t="s">
        <v>96</v>
      </c>
      <c r="C27" s="161" t="s">
        <v>97</v>
      </c>
      <c r="D27" s="113">
        <v>4105</v>
      </c>
      <c r="E27" s="107" t="s">
        <v>82</v>
      </c>
    </row>
    <row r="28" spans="1:5">
      <c r="A28" s="186">
        <v>46071</v>
      </c>
      <c r="B28" s="160" t="s">
        <v>98</v>
      </c>
      <c r="C28" s="161" t="s">
        <v>99</v>
      </c>
      <c r="D28" s="113">
        <v>452</v>
      </c>
      <c r="E28" s="107" t="s">
        <v>82</v>
      </c>
    </row>
    <row r="29" spans="1:5">
      <c r="A29" s="186">
        <v>46071</v>
      </c>
      <c r="B29" s="162" t="s">
        <v>100</v>
      </c>
      <c r="C29" s="163" t="s">
        <v>101</v>
      </c>
      <c r="D29" s="113">
        <v>1160.5</v>
      </c>
      <c r="E29" s="107" t="s">
        <v>82</v>
      </c>
    </row>
    <row r="30" spans="1:5">
      <c r="A30" s="186">
        <v>46071</v>
      </c>
      <c r="B30" s="160" t="s">
        <v>98</v>
      </c>
      <c r="C30" s="161" t="s">
        <v>102</v>
      </c>
      <c r="D30" s="113">
        <v>121.7</v>
      </c>
      <c r="E30" s="107" t="s">
        <v>82</v>
      </c>
    </row>
    <row r="31" spans="1:5">
      <c r="A31" s="186">
        <v>46073</v>
      </c>
      <c r="B31" s="162" t="s">
        <v>103</v>
      </c>
      <c r="C31" s="163" t="s">
        <v>104</v>
      </c>
      <c r="D31" s="113">
        <v>1714</v>
      </c>
      <c r="E31" s="107" t="s">
        <v>82</v>
      </c>
    </row>
    <row r="32" spans="1:5">
      <c r="A32" s="186">
        <v>46073</v>
      </c>
      <c r="B32" s="162" t="s">
        <v>76</v>
      </c>
      <c r="C32" s="163">
        <v>792</v>
      </c>
      <c r="D32" s="113">
        <v>324.66000000000003</v>
      </c>
      <c r="E32" s="107" t="s">
        <v>82</v>
      </c>
    </row>
    <row r="33" spans="1:6">
      <c r="A33" s="186">
        <v>46076</v>
      </c>
      <c r="B33" s="160" t="s">
        <v>105</v>
      </c>
      <c r="C33" s="161" t="s">
        <v>106</v>
      </c>
      <c r="D33" s="113">
        <v>2850</v>
      </c>
      <c r="E33" s="107" t="s">
        <v>82</v>
      </c>
    </row>
    <row r="34" spans="1:6">
      <c r="A34" s="186">
        <v>46077</v>
      </c>
      <c r="B34" s="162" t="s">
        <v>78</v>
      </c>
      <c r="C34" s="112">
        <v>793</v>
      </c>
      <c r="D34" s="113">
        <v>462</v>
      </c>
      <c r="E34" s="107" t="s">
        <v>82</v>
      </c>
    </row>
    <row r="35" spans="1:6">
      <c r="A35" s="186">
        <v>46078</v>
      </c>
      <c r="B35" s="112" t="s">
        <v>76</v>
      </c>
      <c r="C35" s="112">
        <v>803</v>
      </c>
      <c r="D35" s="191">
        <v>608.33000000000004</v>
      </c>
      <c r="E35" s="107" t="s">
        <v>82</v>
      </c>
    </row>
    <row r="36" spans="1:6">
      <c r="A36" s="186">
        <v>46079</v>
      </c>
      <c r="B36" s="112" t="s">
        <v>107</v>
      </c>
      <c r="C36" s="112" t="s">
        <v>108</v>
      </c>
      <c r="D36" s="191">
        <v>4000</v>
      </c>
      <c r="E36" s="107" t="s">
        <v>82</v>
      </c>
    </row>
    <row r="37" spans="1:6">
      <c r="A37" s="186">
        <v>46087</v>
      </c>
      <c r="B37" s="112" t="s">
        <v>76</v>
      </c>
      <c r="C37" s="112">
        <v>795</v>
      </c>
      <c r="D37" s="191">
        <v>5610.67</v>
      </c>
      <c r="E37" s="107" t="s">
        <v>109</v>
      </c>
      <c r="F37" s="317">
        <f>SUM(D37:D55)</f>
        <v>37723.490000000005</v>
      </c>
    </row>
    <row r="38" spans="1:6">
      <c r="A38" s="186">
        <v>46087</v>
      </c>
      <c r="B38" s="112" t="s">
        <v>107</v>
      </c>
      <c r="C38" s="112" t="s">
        <v>110</v>
      </c>
      <c r="D38" s="191">
        <v>7000</v>
      </c>
      <c r="E38" s="107" t="s">
        <v>109</v>
      </c>
    </row>
    <row r="39" spans="1:6">
      <c r="A39" s="186">
        <v>46087</v>
      </c>
      <c r="B39" s="112" t="s">
        <v>77</v>
      </c>
      <c r="C39" s="112">
        <v>796</v>
      </c>
      <c r="D39" s="191">
        <v>2581.66</v>
      </c>
      <c r="E39" s="107" t="s">
        <v>109</v>
      </c>
    </row>
    <row r="40" spans="1:6">
      <c r="A40" s="186">
        <v>46092</v>
      </c>
      <c r="B40" s="438" t="s">
        <v>111</v>
      </c>
      <c r="C40" s="439" t="s">
        <v>112</v>
      </c>
      <c r="D40" s="113">
        <v>1316.45</v>
      </c>
      <c r="E40" s="107" t="s">
        <v>109</v>
      </c>
    </row>
    <row r="41" spans="1:6">
      <c r="A41" s="186">
        <v>46092</v>
      </c>
      <c r="B41" s="438" t="s">
        <v>111</v>
      </c>
      <c r="C41" s="439" t="s">
        <v>113</v>
      </c>
      <c r="D41" s="113">
        <v>1751.38</v>
      </c>
      <c r="E41" s="107" t="s">
        <v>109</v>
      </c>
    </row>
    <row r="42" spans="1:6">
      <c r="A42" s="186">
        <v>46093</v>
      </c>
      <c r="B42" s="438" t="s">
        <v>114</v>
      </c>
      <c r="C42" s="439" t="s">
        <v>115</v>
      </c>
      <c r="D42" s="113">
        <v>4105</v>
      </c>
      <c r="E42" s="107" t="s">
        <v>109</v>
      </c>
    </row>
    <row r="43" spans="1:6">
      <c r="A43" s="186">
        <v>46093</v>
      </c>
      <c r="B43" s="438" t="s">
        <v>116</v>
      </c>
      <c r="C43" s="439" t="s">
        <v>117</v>
      </c>
      <c r="D43" s="113">
        <v>2081.25</v>
      </c>
      <c r="E43" s="107" t="s">
        <v>109</v>
      </c>
    </row>
    <row r="44" spans="1:6">
      <c r="A44" s="186">
        <v>46094</v>
      </c>
      <c r="B44" s="112" t="s">
        <v>76</v>
      </c>
      <c r="C44" s="112">
        <v>784</v>
      </c>
      <c r="D44" s="191">
        <v>608.33000000000004</v>
      </c>
      <c r="E44" s="107" t="s">
        <v>109</v>
      </c>
    </row>
    <row r="45" spans="1:6">
      <c r="A45" s="186">
        <v>46098</v>
      </c>
      <c r="B45" s="112" t="s">
        <v>111</v>
      </c>
      <c r="C45" s="112">
        <v>798</v>
      </c>
      <c r="D45" s="191">
        <v>1286.47</v>
      </c>
      <c r="E45" s="107" t="s">
        <v>109</v>
      </c>
    </row>
    <row r="46" spans="1:6">
      <c r="A46" s="186">
        <v>46099</v>
      </c>
      <c r="B46" s="112" t="s">
        <v>111</v>
      </c>
      <c r="C46" s="112">
        <v>800</v>
      </c>
      <c r="D46" s="191">
        <v>709.5</v>
      </c>
      <c r="E46" s="107" t="s">
        <v>109</v>
      </c>
    </row>
    <row r="47" spans="1:6">
      <c r="A47" s="186">
        <v>46100</v>
      </c>
      <c r="B47" s="162" t="s">
        <v>76</v>
      </c>
      <c r="C47" s="163" t="s">
        <v>118</v>
      </c>
      <c r="D47" s="113">
        <v>899.67</v>
      </c>
      <c r="E47" s="107" t="s">
        <v>109</v>
      </c>
    </row>
    <row r="48" spans="1:6">
      <c r="A48" s="186">
        <v>46104</v>
      </c>
      <c r="B48" s="160" t="s">
        <v>114</v>
      </c>
      <c r="C48" s="161">
        <v>796</v>
      </c>
      <c r="D48" s="113">
        <v>2581.67</v>
      </c>
      <c r="E48" s="107" t="s">
        <v>109</v>
      </c>
    </row>
    <row r="49" spans="1:6">
      <c r="A49" s="186">
        <v>46104</v>
      </c>
      <c r="B49" s="162" t="s">
        <v>111</v>
      </c>
      <c r="C49" s="163">
        <v>801</v>
      </c>
      <c r="D49" s="113">
        <v>543</v>
      </c>
      <c r="E49" s="107" t="s">
        <v>109</v>
      </c>
    </row>
    <row r="50" spans="1:6">
      <c r="A50" s="186">
        <v>46105</v>
      </c>
      <c r="B50" s="162" t="s">
        <v>111</v>
      </c>
      <c r="C50" s="163">
        <v>798</v>
      </c>
      <c r="D50" s="113">
        <v>1286.47</v>
      </c>
      <c r="E50" s="107" t="s">
        <v>109</v>
      </c>
    </row>
    <row r="51" spans="1:6">
      <c r="A51" s="186">
        <v>46105</v>
      </c>
      <c r="B51" s="160" t="s">
        <v>86</v>
      </c>
      <c r="C51" s="161">
        <v>802</v>
      </c>
      <c r="D51" s="113">
        <v>1452</v>
      </c>
      <c r="E51" s="107" t="s">
        <v>109</v>
      </c>
    </row>
    <row r="52" spans="1:6">
      <c r="A52" s="186">
        <v>46106</v>
      </c>
      <c r="B52" s="162" t="s">
        <v>111</v>
      </c>
      <c r="C52" s="163">
        <v>800</v>
      </c>
      <c r="D52" s="113">
        <v>709.5</v>
      </c>
      <c r="E52" s="107" t="s">
        <v>109</v>
      </c>
    </row>
    <row r="53" spans="1:6">
      <c r="A53" s="186">
        <v>46111</v>
      </c>
      <c r="B53" s="160" t="s">
        <v>119</v>
      </c>
      <c r="C53" s="161">
        <v>793</v>
      </c>
      <c r="D53" s="113">
        <v>462</v>
      </c>
      <c r="E53" s="107" t="s">
        <v>109</v>
      </c>
    </row>
    <row r="54" spans="1:6">
      <c r="A54" s="186">
        <v>46112</v>
      </c>
      <c r="B54" s="162" t="s">
        <v>111</v>
      </c>
      <c r="C54" s="163">
        <v>798</v>
      </c>
      <c r="D54" s="113">
        <v>1286.47</v>
      </c>
      <c r="E54" s="107" t="s">
        <v>109</v>
      </c>
    </row>
    <row r="55" spans="1:6">
      <c r="A55" s="186">
        <v>46112</v>
      </c>
      <c r="B55" s="162" t="s">
        <v>86</v>
      </c>
      <c r="C55" s="163">
        <v>802</v>
      </c>
      <c r="D55" s="113">
        <v>1452</v>
      </c>
      <c r="E55" s="107" t="s">
        <v>109</v>
      </c>
    </row>
    <row r="56" spans="1:6">
      <c r="A56" s="61">
        <v>46113</v>
      </c>
      <c r="B56" s="63" t="s">
        <v>76</v>
      </c>
      <c r="C56" s="63">
        <v>795</v>
      </c>
      <c r="D56" s="83">
        <v>5610.66</v>
      </c>
      <c r="E56" s="258" t="s">
        <v>1149</v>
      </c>
      <c r="F56" s="273">
        <f>SUM(D56:D83)</f>
        <v>105609.12</v>
      </c>
    </row>
    <row r="57" spans="1:6">
      <c r="A57" s="61">
        <v>46118</v>
      </c>
      <c r="B57" s="63" t="s">
        <v>77</v>
      </c>
      <c r="C57" s="63">
        <v>796</v>
      </c>
      <c r="D57" s="83">
        <v>2581.67</v>
      </c>
      <c r="E57" s="258" t="s">
        <v>1149</v>
      </c>
    </row>
    <row r="58" spans="1:6">
      <c r="A58" s="61">
        <v>46119</v>
      </c>
      <c r="B58" s="63" t="s">
        <v>86</v>
      </c>
      <c r="C58" s="63">
        <v>802</v>
      </c>
      <c r="D58" s="83">
        <v>1452</v>
      </c>
      <c r="E58" s="258" t="s">
        <v>1149</v>
      </c>
    </row>
    <row r="59" spans="1:6">
      <c r="A59" s="61">
        <v>46120</v>
      </c>
      <c r="B59" s="63" t="s">
        <v>119</v>
      </c>
      <c r="C59" s="63">
        <v>804</v>
      </c>
      <c r="D59" s="83">
        <v>539</v>
      </c>
      <c r="E59" s="258" t="s">
        <v>1149</v>
      </c>
    </row>
    <row r="60" spans="1:6">
      <c r="A60" s="61">
        <v>46122</v>
      </c>
      <c r="B60" s="259" t="s">
        <v>76</v>
      </c>
      <c r="C60" s="260">
        <v>805</v>
      </c>
      <c r="D60" s="261">
        <v>1115</v>
      </c>
      <c r="E60" s="258" t="s">
        <v>1149</v>
      </c>
    </row>
    <row r="61" spans="1:6">
      <c r="A61" s="61">
        <v>46125</v>
      </c>
      <c r="B61" s="262" t="s">
        <v>77</v>
      </c>
      <c r="C61" s="263">
        <v>806</v>
      </c>
      <c r="D61" s="261">
        <v>1722.5</v>
      </c>
      <c r="E61" s="258" t="s">
        <v>1149</v>
      </c>
    </row>
    <row r="62" spans="1:6">
      <c r="A62" s="61">
        <v>46126</v>
      </c>
      <c r="B62" s="259" t="s">
        <v>76</v>
      </c>
      <c r="C62" s="260">
        <v>808</v>
      </c>
      <c r="D62" s="261">
        <v>294</v>
      </c>
      <c r="E62" s="258" t="s">
        <v>1149</v>
      </c>
    </row>
    <row r="63" spans="1:6">
      <c r="A63" s="61">
        <v>46126</v>
      </c>
      <c r="B63" s="259" t="s">
        <v>86</v>
      </c>
      <c r="C63" s="260">
        <v>802</v>
      </c>
      <c r="D63" s="261">
        <v>1452</v>
      </c>
      <c r="E63" s="258" t="s">
        <v>1149</v>
      </c>
    </row>
    <row r="64" spans="1:6" ht="15.75" customHeight="1">
      <c r="A64" s="61">
        <v>46127</v>
      </c>
      <c r="B64" s="262" t="s">
        <v>1150</v>
      </c>
      <c r="C64" s="263" t="s">
        <v>763</v>
      </c>
      <c r="D64" s="261">
        <v>5460</v>
      </c>
      <c r="E64" s="258" t="s">
        <v>1149</v>
      </c>
    </row>
    <row r="65" spans="1:5">
      <c r="A65" s="61">
        <v>46128</v>
      </c>
      <c r="B65" s="259" t="s">
        <v>75</v>
      </c>
      <c r="C65" s="260">
        <v>807</v>
      </c>
      <c r="D65" s="261">
        <v>6200.34</v>
      </c>
      <c r="E65" s="258" t="s">
        <v>1149</v>
      </c>
    </row>
    <row r="66" spans="1:5">
      <c r="A66" s="61">
        <v>46129</v>
      </c>
      <c r="B66" s="262" t="s">
        <v>76</v>
      </c>
      <c r="C66" s="263">
        <v>792</v>
      </c>
      <c r="D66" s="261">
        <v>324.67</v>
      </c>
      <c r="E66" s="258" t="s">
        <v>1149</v>
      </c>
    </row>
    <row r="67" spans="1:5">
      <c r="A67" s="61">
        <v>46132</v>
      </c>
      <c r="B67" s="259" t="s">
        <v>86</v>
      </c>
      <c r="C67" s="260">
        <v>809</v>
      </c>
      <c r="D67" s="261">
        <v>3720</v>
      </c>
      <c r="E67" s="258" t="s">
        <v>1149</v>
      </c>
    </row>
    <row r="68" spans="1:5">
      <c r="A68" s="61">
        <v>46134</v>
      </c>
      <c r="B68" s="259" t="s">
        <v>1151</v>
      </c>
      <c r="C68" s="260">
        <v>810</v>
      </c>
      <c r="D68" s="261">
        <v>234</v>
      </c>
      <c r="E68" s="258" t="s">
        <v>1149</v>
      </c>
    </row>
    <row r="69" spans="1:5" ht="21.75" customHeight="1">
      <c r="A69" s="61">
        <v>46135</v>
      </c>
      <c r="B69" s="262" t="s">
        <v>1152</v>
      </c>
      <c r="C69" s="263" t="s">
        <v>264</v>
      </c>
      <c r="D69" s="261">
        <v>1479.8</v>
      </c>
      <c r="E69" s="258" t="s">
        <v>1149</v>
      </c>
    </row>
    <row r="70" spans="1:5">
      <c r="A70" s="61">
        <v>46136</v>
      </c>
      <c r="B70" s="259" t="s">
        <v>333</v>
      </c>
      <c r="C70" s="264">
        <v>823</v>
      </c>
      <c r="D70" s="261">
        <v>12352.44</v>
      </c>
      <c r="E70" s="258" t="s">
        <v>1149</v>
      </c>
    </row>
    <row r="71" spans="1:5">
      <c r="A71" s="61">
        <v>46139</v>
      </c>
      <c r="B71" s="63" t="s">
        <v>76</v>
      </c>
      <c r="C71" s="63">
        <v>805</v>
      </c>
      <c r="D71" s="83">
        <v>1115</v>
      </c>
      <c r="E71" s="258" t="s">
        <v>1149</v>
      </c>
    </row>
    <row r="72" spans="1:5">
      <c r="A72" s="61">
        <v>46139</v>
      </c>
      <c r="B72" s="63" t="s">
        <v>77</v>
      </c>
      <c r="C72" s="63">
        <v>806</v>
      </c>
      <c r="D72" s="83">
        <v>1722.5</v>
      </c>
      <c r="E72" s="258" t="s">
        <v>1149</v>
      </c>
    </row>
    <row r="73" spans="1:5">
      <c r="A73" s="61">
        <v>46139</v>
      </c>
      <c r="B73" s="63" t="s">
        <v>73</v>
      </c>
      <c r="C73" s="63">
        <v>814</v>
      </c>
      <c r="D73" s="83">
        <v>1419.61</v>
      </c>
      <c r="E73" s="258" t="s">
        <v>1149</v>
      </c>
    </row>
    <row r="74" spans="1:5">
      <c r="A74" s="265">
        <v>46140</v>
      </c>
      <c r="B74" s="266" t="s">
        <v>333</v>
      </c>
      <c r="C74" s="266" t="s">
        <v>1153</v>
      </c>
      <c r="D74" s="267">
        <v>12352.44</v>
      </c>
      <c r="E74" s="258" t="s">
        <v>1149</v>
      </c>
    </row>
    <row r="75" spans="1:5">
      <c r="A75" s="265">
        <v>46140</v>
      </c>
      <c r="B75" s="266" t="s">
        <v>76</v>
      </c>
      <c r="C75" s="266" t="s">
        <v>1154</v>
      </c>
      <c r="D75" s="267">
        <v>6014.9</v>
      </c>
      <c r="E75" s="258" t="s">
        <v>1149</v>
      </c>
    </row>
    <row r="76" spans="1:5">
      <c r="A76" s="265">
        <v>46140</v>
      </c>
      <c r="B76" s="266" t="s">
        <v>75</v>
      </c>
      <c r="C76" s="266">
        <v>807</v>
      </c>
      <c r="D76" s="267">
        <v>6200.33</v>
      </c>
      <c r="E76" s="258" t="s">
        <v>1149</v>
      </c>
    </row>
    <row r="77" spans="1:5">
      <c r="A77" s="265">
        <v>46140</v>
      </c>
      <c r="B77" s="266" t="s">
        <v>76</v>
      </c>
      <c r="C77" s="266" t="s">
        <v>1155</v>
      </c>
      <c r="D77" s="267">
        <v>6014.9</v>
      </c>
      <c r="E77" s="258" t="s">
        <v>1149</v>
      </c>
    </row>
    <row r="78" spans="1:5">
      <c r="A78" s="265">
        <v>46140</v>
      </c>
      <c r="B78" s="266" t="s">
        <v>333</v>
      </c>
      <c r="C78" s="266" t="s">
        <v>1156</v>
      </c>
      <c r="D78" s="267">
        <v>12352.44</v>
      </c>
      <c r="E78" s="258" t="s">
        <v>1149</v>
      </c>
    </row>
    <row r="79" spans="1:5">
      <c r="A79" s="265">
        <v>46140</v>
      </c>
      <c r="B79" s="266" t="s">
        <v>76</v>
      </c>
      <c r="C79" s="266" t="s">
        <v>1157</v>
      </c>
      <c r="D79" s="267">
        <v>3364.09</v>
      </c>
      <c r="E79" s="258" t="s">
        <v>1149</v>
      </c>
    </row>
    <row r="80" spans="1:5">
      <c r="A80" s="61">
        <v>46140</v>
      </c>
      <c r="B80" s="63" t="s">
        <v>1158</v>
      </c>
      <c r="C80" s="63" t="s">
        <v>108</v>
      </c>
      <c r="D80" s="83">
        <v>5500</v>
      </c>
      <c r="E80" s="258" t="s">
        <v>1149</v>
      </c>
    </row>
    <row r="81" spans="1:6">
      <c r="A81" s="61">
        <v>46140</v>
      </c>
      <c r="B81" s="63" t="s">
        <v>479</v>
      </c>
      <c r="C81" s="63">
        <v>811</v>
      </c>
      <c r="D81" s="83">
        <v>390.33</v>
      </c>
      <c r="E81" s="258" t="s">
        <v>1149</v>
      </c>
    </row>
    <row r="82" spans="1:6">
      <c r="A82" s="61">
        <v>46140</v>
      </c>
      <c r="B82" s="63" t="s">
        <v>119</v>
      </c>
      <c r="C82" s="63">
        <v>793</v>
      </c>
      <c r="D82" s="83">
        <v>462</v>
      </c>
      <c r="E82" s="258" t="s">
        <v>1149</v>
      </c>
    </row>
    <row r="83" spans="1:6">
      <c r="A83" s="61">
        <v>46141</v>
      </c>
      <c r="B83" s="63" t="s">
        <v>1159</v>
      </c>
      <c r="C83" s="63">
        <v>813</v>
      </c>
      <c r="D83" s="83">
        <v>4162.5</v>
      </c>
      <c r="E83" s="258" t="s">
        <v>1149</v>
      </c>
      <c r="F83" s="273">
        <f>SUM(D56:D83)</f>
        <v>105609.12</v>
      </c>
    </row>
    <row r="84" spans="1:6">
      <c r="A84" s="61">
        <v>46146</v>
      </c>
      <c r="B84" s="63" t="s">
        <v>86</v>
      </c>
      <c r="C84" s="63">
        <v>809</v>
      </c>
      <c r="D84" s="83">
        <v>3720</v>
      </c>
      <c r="E84" s="258" t="s">
        <v>1932</v>
      </c>
    </row>
    <row r="85" spans="1:6">
      <c r="A85" s="61">
        <v>46146</v>
      </c>
      <c r="B85" s="63" t="s">
        <v>73</v>
      </c>
      <c r="C85" s="63">
        <v>814</v>
      </c>
      <c r="D85" s="83">
        <v>1419.63</v>
      </c>
      <c r="E85" s="258" t="s">
        <v>1932</v>
      </c>
    </row>
    <row r="86" spans="1:6">
      <c r="A86" s="61">
        <v>46146</v>
      </c>
      <c r="B86" s="63" t="s">
        <v>76</v>
      </c>
      <c r="C86" s="63">
        <v>795</v>
      </c>
      <c r="D86" s="83">
        <v>5610.67</v>
      </c>
      <c r="E86" s="258" t="s">
        <v>1932</v>
      </c>
    </row>
    <row r="87" spans="1:6">
      <c r="A87" s="61">
        <v>46148</v>
      </c>
      <c r="B87" s="63" t="s">
        <v>78</v>
      </c>
      <c r="C87" s="63">
        <v>816</v>
      </c>
      <c r="D87" s="83">
        <v>949</v>
      </c>
      <c r="E87" s="258" t="s">
        <v>1932</v>
      </c>
    </row>
    <row r="88" spans="1:6">
      <c r="A88" s="61">
        <v>46149</v>
      </c>
      <c r="B88" s="279" t="s">
        <v>76</v>
      </c>
      <c r="C88" s="404">
        <v>815</v>
      </c>
      <c r="D88" s="261">
        <v>6014.9</v>
      </c>
      <c r="E88" s="258" t="s">
        <v>1932</v>
      </c>
    </row>
    <row r="89" spans="1:6">
      <c r="A89" s="61">
        <v>46150</v>
      </c>
      <c r="B89" s="281" t="s">
        <v>1172</v>
      </c>
      <c r="C89" s="403">
        <v>825</v>
      </c>
      <c r="D89" s="261">
        <v>5460</v>
      </c>
      <c r="E89" s="258" t="s">
        <v>1932</v>
      </c>
    </row>
    <row r="90" spans="1:6">
      <c r="A90" s="61">
        <v>46153</v>
      </c>
      <c r="B90" s="259" t="s">
        <v>73</v>
      </c>
      <c r="C90" s="260">
        <v>814</v>
      </c>
      <c r="D90" s="261">
        <v>1419.63</v>
      </c>
      <c r="E90" s="258" t="s">
        <v>1932</v>
      </c>
    </row>
    <row r="91" spans="1:6">
      <c r="A91" s="61">
        <v>46156</v>
      </c>
      <c r="B91" s="259" t="s">
        <v>1172</v>
      </c>
      <c r="C91" s="260">
        <v>12636</v>
      </c>
      <c r="D91" s="261">
        <v>8639.5</v>
      </c>
      <c r="E91" s="258" t="s">
        <v>1932</v>
      </c>
    </row>
    <row r="92" spans="1:6">
      <c r="A92" s="61">
        <v>46156</v>
      </c>
      <c r="B92" s="262" t="s">
        <v>87</v>
      </c>
      <c r="C92" s="263">
        <v>837</v>
      </c>
      <c r="D92" s="261">
        <v>69</v>
      </c>
      <c r="E92" s="258" t="s">
        <v>1932</v>
      </c>
    </row>
    <row r="93" spans="1:6">
      <c r="A93" s="61">
        <v>46156</v>
      </c>
      <c r="B93" s="259" t="s">
        <v>76</v>
      </c>
      <c r="C93" s="260">
        <v>815</v>
      </c>
      <c r="D93" s="261">
        <v>6014.9</v>
      </c>
      <c r="E93" s="258" t="s">
        <v>1932</v>
      </c>
    </row>
    <row r="94" spans="1:6">
      <c r="A94" s="61">
        <v>46160</v>
      </c>
      <c r="B94" s="262" t="s">
        <v>75</v>
      </c>
      <c r="C94" s="263">
        <v>807</v>
      </c>
      <c r="D94" s="261">
        <v>6200.33</v>
      </c>
      <c r="E94" s="258" t="s">
        <v>1932</v>
      </c>
    </row>
    <row r="95" spans="1:6">
      <c r="A95" s="61">
        <v>46160</v>
      </c>
      <c r="B95" s="259" t="s">
        <v>86</v>
      </c>
      <c r="C95" s="260">
        <v>809</v>
      </c>
      <c r="D95" s="261">
        <v>3720</v>
      </c>
      <c r="E95" s="258" t="s">
        <v>1932</v>
      </c>
    </row>
    <row r="96" spans="1:6">
      <c r="A96" s="61">
        <v>46160</v>
      </c>
      <c r="B96" s="259" t="s">
        <v>73</v>
      </c>
      <c r="C96" s="260">
        <v>814</v>
      </c>
      <c r="D96" s="261">
        <v>1419.63</v>
      </c>
      <c r="E96" s="258" t="s">
        <v>1932</v>
      </c>
    </row>
    <row r="97" spans="1:5">
      <c r="A97" s="61">
        <v>46162</v>
      </c>
      <c r="B97" s="262" t="s">
        <v>1929</v>
      </c>
      <c r="C97" s="263">
        <v>823</v>
      </c>
      <c r="D97" s="261">
        <v>1500</v>
      </c>
      <c r="E97" s="258" t="s">
        <v>1932</v>
      </c>
    </row>
    <row r="98" spans="1:5">
      <c r="A98" s="61">
        <v>46167</v>
      </c>
      <c r="B98" s="259" t="s">
        <v>86</v>
      </c>
      <c r="C98" s="264">
        <v>825</v>
      </c>
      <c r="D98" s="261">
        <v>12888.63</v>
      </c>
      <c r="E98" s="258" t="s">
        <v>1932</v>
      </c>
    </row>
    <row r="99" spans="1:5">
      <c r="A99" s="61">
        <v>46168</v>
      </c>
      <c r="B99" s="63" t="s">
        <v>73</v>
      </c>
      <c r="C99" s="63">
        <v>826</v>
      </c>
      <c r="D99" s="83">
        <v>330</v>
      </c>
      <c r="E99" s="258" t="s">
        <v>1932</v>
      </c>
    </row>
    <row r="100" spans="1:5">
      <c r="A100" s="61">
        <v>46170</v>
      </c>
      <c r="B100" s="63" t="s">
        <v>1930</v>
      </c>
      <c r="C100" s="63" t="s">
        <v>1931</v>
      </c>
      <c r="D100" s="83">
        <v>1220</v>
      </c>
      <c r="E100" s="258" t="s">
        <v>1932</v>
      </c>
    </row>
    <row r="101" spans="1:5">
      <c r="A101" s="61">
        <v>46170</v>
      </c>
      <c r="B101" s="63" t="s">
        <v>86</v>
      </c>
      <c r="C101" s="63">
        <v>825</v>
      </c>
      <c r="D101" s="83">
        <v>13412.5</v>
      </c>
      <c r="E101" s="258" t="s">
        <v>1932</v>
      </c>
    </row>
    <row r="102" spans="1:5">
      <c r="A102" s="434">
        <v>46174</v>
      </c>
      <c r="B102" s="63" t="s">
        <v>1159</v>
      </c>
      <c r="C102" s="63">
        <v>827</v>
      </c>
      <c r="D102" s="83">
        <v>5838.7</v>
      </c>
      <c r="E102" s="258" t="s">
        <v>1977</v>
      </c>
    </row>
    <row r="103" spans="1:5">
      <c r="A103" s="434">
        <v>46175</v>
      </c>
      <c r="B103" s="63" t="s">
        <v>1942</v>
      </c>
      <c r="C103" s="63">
        <v>852</v>
      </c>
      <c r="D103" s="83">
        <v>450</v>
      </c>
      <c r="E103" s="258" t="s">
        <v>1977</v>
      </c>
    </row>
    <row r="104" spans="1:5">
      <c r="A104" s="434">
        <v>46178</v>
      </c>
      <c r="B104" s="430" t="s">
        <v>1943</v>
      </c>
      <c r="C104" s="431" t="s">
        <v>1944</v>
      </c>
      <c r="D104" s="273">
        <v>900</v>
      </c>
      <c r="E104" s="258" t="s">
        <v>1977</v>
      </c>
    </row>
    <row r="105" spans="1:5">
      <c r="A105" s="434">
        <v>46178</v>
      </c>
      <c r="B105" s="430" t="s">
        <v>1945</v>
      </c>
      <c r="C105" s="431" t="s">
        <v>1946</v>
      </c>
      <c r="D105" s="273">
        <v>600</v>
      </c>
      <c r="E105" s="258" t="s">
        <v>1977</v>
      </c>
    </row>
    <row r="106" spans="1:5">
      <c r="A106" s="434">
        <v>46178</v>
      </c>
      <c r="B106" s="430" t="s">
        <v>1947</v>
      </c>
      <c r="C106" s="431" t="s">
        <v>1948</v>
      </c>
      <c r="D106" s="273">
        <v>2505.6</v>
      </c>
      <c r="E106" s="258" t="s">
        <v>1977</v>
      </c>
    </row>
    <row r="107" spans="1:5">
      <c r="A107" s="434">
        <v>46178</v>
      </c>
      <c r="B107" s="430" t="s">
        <v>1949</v>
      </c>
      <c r="C107" s="431" t="s">
        <v>1950</v>
      </c>
      <c r="D107" s="273">
        <v>516.34</v>
      </c>
      <c r="E107" s="258" t="s">
        <v>1977</v>
      </c>
    </row>
    <row r="108" spans="1:5">
      <c r="A108" s="434">
        <v>46181</v>
      </c>
      <c r="B108" s="430" t="s">
        <v>1951</v>
      </c>
      <c r="C108" s="431" t="s">
        <v>1952</v>
      </c>
      <c r="D108" s="273">
        <v>1175</v>
      </c>
      <c r="E108" s="258" t="s">
        <v>1977</v>
      </c>
    </row>
    <row r="109" spans="1:5">
      <c r="A109" s="434">
        <v>46181</v>
      </c>
      <c r="B109" s="430" t="s">
        <v>1953</v>
      </c>
      <c r="C109" s="431" t="s">
        <v>1954</v>
      </c>
      <c r="D109" s="273">
        <v>2380</v>
      </c>
      <c r="E109" s="258" t="s">
        <v>1977</v>
      </c>
    </row>
    <row r="110" spans="1:5">
      <c r="A110" s="434">
        <v>46181</v>
      </c>
      <c r="B110" s="430" t="s">
        <v>1955</v>
      </c>
      <c r="C110" s="431" t="s">
        <v>1956</v>
      </c>
      <c r="D110" s="273">
        <v>90.34</v>
      </c>
      <c r="E110" s="258" t="s">
        <v>1977</v>
      </c>
    </row>
    <row r="111" spans="1:5">
      <c r="A111" s="434">
        <v>46183</v>
      </c>
      <c r="B111" s="262" t="s">
        <v>329</v>
      </c>
      <c r="C111" s="263">
        <v>835</v>
      </c>
      <c r="D111" s="261">
        <v>987.5</v>
      </c>
      <c r="E111" s="258" t="s">
        <v>1977</v>
      </c>
    </row>
    <row r="112" spans="1:5">
      <c r="A112" s="434">
        <v>46185</v>
      </c>
      <c r="B112" s="259" t="s">
        <v>1957</v>
      </c>
      <c r="C112" s="260">
        <v>12785</v>
      </c>
      <c r="D112" s="261">
        <v>5000</v>
      </c>
      <c r="E112" s="258" t="s">
        <v>1977</v>
      </c>
    </row>
    <row r="113" spans="1:5">
      <c r="A113" s="434">
        <v>46185</v>
      </c>
      <c r="B113" s="262" t="s">
        <v>1958</v>
      </c>
      <c r="C113" s="263">
        <v>863</v>
      </c>
      <c r="D113" s="261">
        <v>15.3</v>
      </c>
      <c r="E113" s="258" t="s">
        <v>1977</v>
      </c>
    </row>
    <row r="114" spans="1:5">
      <c r="A114" s="434">
        <v>46185</v>
      </c>
      <c r="B114" s="259" t="s">
        <v>1959</v>
      </c>
      <c r="C114" s="260">
        <v>839</v>
      </c>
      <c r="D114" s="261">
        <v>336</v>
      </c>
      <c r="E114" s="258" t="s">
        <v>1977</v>
      </c>
    </row>
    <row r="115" spans="1:5">
      <c r="A115" s="434">
        <v>46189</v>
      </c>
      <c r="B115" s="259" t="s">
        <v>107</v>
      </c>
      <c r="C115" s="260" t="s">
        <v>110</v>
      </c>
      <c r="D115" s="261">
        <v>1600</v>
      </c>
      <c r="E115" s="258" t="s">
        <v>1977</v>
      </c>
    </row>
    <row r="116" spans="1:5">
      <c r="A116" s="434">
        <v>46189</v>
      </c>
      <c r="B116" s="262" t="s">
        <v>1960</v>
      </c>
      <c r="C116" s="263">
        <v>838</v>
      </c>
      <c r="D116" s="261">
        <v>7316.8</v>
      </c>
      <c r="E116" s="258" t="s">
        <v>1977</v>
      </c>
    </row>
    <row r="117" spans="1:5">
      <c r="A117" s="434">
        <v>46190</v>
      </c>
      <c r="B117" s="259" t="s">
        <v>1159</v>
      </c>
      <c r="C117" s="264">
        <v>840</v>
      </c>
      <c r="D117" s="261">
        <v>2497.5</v>
      </c>
      <c r="E117" s="258" t="s">
        <v>1977</v>
      </c>
    </row>
    <row r="118" spans="1:5">
      <c r="A118" s="440">
        <v>46190</v>
      </c>
      <c r="B118" s="441" t="s">
        <v>1951</v>
      </c>
      <c r="C118" s="441">
        <v>842</v>
      </c>
      <c r="D118" s="442">
        <v>768.34</v>
      </c>
      <c r="E118" s="258" t="s">
        <v>1977</v>
      </c>
    </row>
    <row r="119" spans="1:5">
      <c r="A119" s="61">
        <v>46191</v>
      </c>
      <c r="B119" s="63" t="s">
        <v>1959</v>
      </c>
      <c r="C119" s="63">
        <v>839</v>
      </c>
      <c r="D119" s="83">
        <v>336</v>
      </c>
      <c r="E119" s="258" t="s">
        <v>1977</v>
      </c>
    </row>
    <row r="120" spans="1:5">
      <c r="A120" s="61">
        <v>46191</v>
      </c>
      <c r="B120" s="63" t="s">
        <v>1961</v>
      </c>
      <c r="C120" s="63">
        <v>845</v>
      </c>
      <c r="D120" s="83">
        <v>60</v>
      </c>
      <c r="E120" s="258" t="s">
        <v>1977</v>
      </c>
    </row>
    <row r="121" spans="1:5">
      <c r="A121" s="61">
        <v>46195</v>
      </c>
      <c r="B121" s="63" t="s">
        <v>1943</v>
      </c>
      <c r="C121" s="63">
        <v>830</v>
      </c>
      <c r="D121" s="83">
        <v>900</v>
      </c>
      <c r="E121" s="258" t="s">
        <v>1977</v>
      </c>
    </row>
    <row r="122" spans="1:5">
      <c r="A122" s="61">
        <v>46195</v>
      </c>
      <c r="B122" s="63" t="s">
        <v>89</v>
      </c>
      <c r="C122" s="63">
        <v>850</v>
      </c>
      <c r="D122" s="83">
        <v>274.5</v>
      </c>
      <c r="E122" s="258" t="s">
        <v>1977</v>
      </c>
    </row>
    <row r="123" spans="1:5">
      <c r="A123" s="61">
        <v>46195</v>
      </c>
      <c r="B123" s="63" t="s">
        <v>76</v>
      </c>
      <c r="C123" s="63" t="s">
        <v>1962</v>
      </c>
      <c r="D123" s="83">
        <v>7737</v>
      </c>
      <c r="E123" s="258" t="s">
        <v>1977</v>
      </c>
    </row>
    <row r="124" spans="1:5">
      <c r="A124" s="61">
        <v>46197</v>
      </c>
      <c r="B124" s="63" t="s">
        <v>73</v>
      </c>
      <c r="C124" s="63">
        <v>851</v>
      </c>
      <c r="D124" s="83">
        <v>651.25</v>
      </c>
      <c r="E124" s="258" t="s">
        <v>1977</v>
      </c>
    </row>
    <row r="125" spans="1:5">
      <c r="A125" s="61">
        <v>46197</v>
      </c>
      <c r="B125" s="63" t="s">
        <v>1951</v>
      </c>
      <c r="C125" s="63">
        <v>842</v>
      </c>
      <c r="D125" s="83">
        <v>768.33</v>
      </c>
      <c r="E125" s="258" t="s">
        <v>1977</v>
      </c>
    </row>
    <row r="126" spans="1:5">
      <c r="A126" s="61">
        <v>46197</v>
      </c>
      <c r="B126" s="63" t="s">
        <v>1957</v>
      </c>
      <c r="C126" s="63">
        <v>12804</v>
      </c>
      <c r="D126" s="83">
        <v>365</v>
      </c>
      <c r="E126" s="258" t="s">
        <v>1977</v>
      </c>
    </row>
    <row r="127" spans="1:5">
      <c r="A127" s="61">
        <v>46198</v>
      </c>
      <c r="B127" s="63" t="s">
        <v>1963</v>
      </c>
      <c r="C127" s="63">
        <v>856</v>
      </c>
      <c r="D127" s="83">
        <v>8365.49</v>
      </c>
      <c r="E127" s="258" t="s">
        <v>1977</v>
      </c>
    </row>
    <row r="128" spans="1:5">
      <c r="A128" s="61">
        <v>46198</v>
      </c>
      <c r="B128" s="396" t="s">
        <v>1964</v>
      </c>
      <c r="C128" s="406" t="s">
        <v>1965</v>
      </c>
      <c r="D128" s="379">
        <v>987.5</v>
      </c>
      <c r="E128" s="258" t="s">
        <v>1977</v>
      </c>
    </row>
    <row r="129" spans="1:5">
      <c r="A129" s="61">
        <v>46198</v>
      </c>
      <c r="B129" s="396" t="s">
        <v>1966</v>
      </c>
      <c r="C129" s="406" t="s">
        <v>1967</v>
      </c>
      <c r="D129" s="379">
        <v>868.9</v>
      </c>
      <c r="E129" s="258" t="s">
        <v>1977</v>
      </c>
    </row>
    <row r="130" spans="1:5">
      <c r="A130" s="61">
        <v>46199</v>
      </c>
      <c r="B130" s="396" t="s">
        <v>1968</v>
      </c>
      <c r="C130" s="406" t="s">
        <v>1969</v>
      </c>
      <c r="D130" s="379">
        <v>2275</v>
      </c>
      <c r="E130" s="258" t="s">
        <v>1977</v>
      </c>
    </row>
    <row r="131" spans="1:5">
      <c r="A131" s="61">
        <v>46199</v>
      </c>
      <c r="B131" s="396" t="s">
        <v>1970</v>
      </c>
      <c r="C131" s="406" t="s">
        <v>1971</v>
      </c>
      <c r="D131" s="379">
        <v>7316.8</v>
      </c>
      <c r="E131" s="258" t="s">
        <v>1977</v>
      </c>
    </row>
    <row r="132" spans="1:5">
      <c r="A132" s="61">
        <v>46199</v>
      </c>
      <c r="B132" s="396" t="s">
        <v>1972</v>
      </c>
      <c r="C132" s="406" t="s">
        <v>1973</v>
      </c>
      <c r="D132" s="379">
        <v>777.9</v>
      </c>
      <c r="E132" s="258" t="s">
        <v>1977</v>
      </c>
    </row>
    <row r="133" spans="1:5">
      <c r="A133" s="61">
        <v>46203</v>
      </c>
      <c r="B133" s="396" t="s">
        <v>114</v>
      </c>
      <c r="C133" s="406" t="s">
        <v>1974</v>
      </c>
      <c r="D133" s="379">
        <v>600</v>
      </c>
      <c r="E133" s="258" t="s">
        <v>1977</v>
      </c>
    </row>
    <row r="134" spans="1:5">
      <c r="A134" s="61">
        <v>46203</v>
      </c>
      <c r="B134" s="396" t="s">
        <v>1975</v>
      </c>
      <c r="C134" s="406" t="s">
        <v>1976</v>
      </c>
      <c r="D134" s="379">
        <v>2700</v>
      </c>
      <c r="E134" s="258" t="s">
        <v>1977</v>
      </c>
    </row>
    <row r="135" spans="1:5">
      <c r="D135" s="273"/>
    </row>
  </sheetData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BA51-5888-45FF-B05A-13ECBA4B5E5B}">
  <dimension ref="A1:F225"/>
  <sheetViews>
    <sheetView topLeftCell="A205" zoomScale="85" zoomScaleNormal="85" workbookViewId="0">
      <selection activeCell="D225" sqref="D225"/>
    </sheetView>
  </sheetViews>
  <sheetFormatPr defaultRowHeight="15"/>
  <cols>
    <col min="1" max="1" width="10.7109375" bestFit="1" customWidth="1"/>
    <col min="2" max="2" width="23.42578125" bestFit="1" customWidth="1"/>
    <col min="3" max="3" width="15.140625" bestFit="1" customWidth="1"/>
    <col min="4" max="4" width="14.42578125" bestFit="1" customWidth="1"/>
    <col min="6" max="6" width="14.42578125" bestFit="1" customWidth="1"/>
  </cols>
  <sheetData>
    <row r="1" spans="1:5">
      <c r="A1" s="57" t="s">
        <v>67</v>
      </c>
      <c r="B1" s="58" t="s">
        <v>120</v>
      </c>
      <c r="C1" s="59" t="s">
        <v>69</v>
      </c>
      <c r="D1" s="60" t="s">
        <v>70</v>
      </c>
    </row>
    <row r="2" spans="1:5">
      <c r="A2" s="61">
        <v>46024</v>
      </c>
      <c r="B2" s="62" t="s">
        <v>121</v>
      </c>
      <c r="C2" s="63" t="s">
        <v>122</v>
      </c>
      <c r="D2" s="64">
        <v>109.79</v>
      </c>
      <c r="E2" t="s">
        <v>72</v>
      </c>
    </row>
    <row r="3" spans="1:5">
      <c r="A3" s="61">
        <v>46024</v>
      </c>
      <c r="B3" s="65" t="s">
        <v>123</v>
      </c>
      <c r="C3" s="65" t="s">
        <v>124</v>
      </c>
      <c r="D3" s="66">
        <v>2920.88</v>
      </c>
      <c r="E3" t="s">
        <v>72</v>
      </c>
    </row>
    <row r="4" spans="1:5">
      <c r="A4" s="61">
        <v>46024</v>
      </c>
      <c r="B4" s="67" t="s">
        <v>125</v>
      </c>
      <c r="C4" s="63" t="s">
        <v>126</v>
      </c>
      <c r="D4" s="68">
        <v>2011.61</v>
      </c>
      <c r="E4" t="s">
        <v>74</v>
      </c>
    </row>
    <row r="5" spans="1:5">
      <c r="A5" s="61">
        <v>46024</v>
      </c>
      <c r="B5" s="67" t="s">
        <v>127</v>
      </c>
      <c r="C5" s="63" t="s">
        <v>128</v>
      </c>
      <c r="D5" s="68">
        <v>1.7</v>
      </c>
      <c r="E5" t="s">
        <v>74</v>
      </c>
    </row>
    <row r="6" spans="1:5">
      <c r="A6" s="61">
        <v>46027</v>
      </c>
      <c r="B6" s="69" t="s">
        <v>129</v>
      </c>
      <c r="C6" s="63" t="s">
        <v>130</v>
      </c>
      <c r="D6" s="66">
        <v>658.67</v>
      </c>
      <c r="E6" t="s">
        <v>74</v>
      </c>
    </row>
    <row r="7" spans="1:5">
      <c r="A7" s="61">
        <v>46027</v>
      </c>
      <c r="B7" s="67" t="s">
        <v>131</v>
      </c>
      <c r="C7" s="65" t="s">
        <v>132</v>
      </c>
      <c r="D7" s="68">
        <v>250</v>
      </c>
      <c r="E7" t="s">
        <v>74</v>
      </c>
    </row>
    <row r="8" spans="1:5">
      <c r="A8" s="61">
        <v>46027</v>
      </c>
      <c r="B8" s="69" t="s">
        <v>133</v>
      </c>
      <c r="C8" s="65" t="s">
        <v>132</v>
      </c>
      <c r="D8" s="66">
        <v>250</v>
      </c>
      <c r="E8" t="s">
        <v>74</v>
      </c>
    </row>
    <row r="9" spans="1:5">
      <c r="A9" s="61">
        <v>46027</v>
      </c>
      <c r="B9" s="67" t="s">
        <v>127</v>
      </c>
      <c r="C9" s="65" t="s">
        <v>128</v>
      </c>
      <c r="D9" s="68">
        <v>3.4</v>
      </c>
      <c r="E9" t="s">
        <v>74</v>
      </c>
    </row>
    <row r="10" spans="1:5">
      <c r="A10" s="61">
        <v>46030</v>
      </c>
      <c r="B10" s="67" t="s">
        <v>134</v>
      </c>
      <c r="C10" s="65" t="s">
        <v>126</v>
      </c>
      <c r="D10" s="68">
        <v>459.73</v>
      </c>
      <c r="E10" t="s">
        <v>74</v>
      </c>
    </row>
    <row r="11" spans="1:5" ht="30">
      <c r="A11" s="61">
        <v>46031</v>
      </c>
      <c r="B11" s="70" t="s">
        <v>135</v>
      </c>
      <c r="C11" s="65" t="s">
        <v>130</v>
      </c>
      <c r="D11" s="68">
        <v>1114.33</v>
      </c>
      <c r="E11" t="s">
        <v>74</v>
      </c>
    </row>
    <row r="12" spans="1:5">
      <c r="A12" s="61">
        <v>46034</v>
      </c>
      <c r="B12" s="70" t="s">
        <v>127</v>
      </c>
      <c r="C12" s="65" t="s">
        <v>128</v>
      </c>
      <c r="D12" s="68">
        <v>3.4</v>
      </c>
      <c r="E12" t="s">
        <v>74</v>
      </c>
    </row>
    <row r="13" spans="1:5" ht="30">
      <c r="A13" s="61">
        <v>46034</v>
      </c>
      <c r="B13" s="70" t="s">
        <v>136</v>
      </c>
      <c r="C13" s="65" t="s">
        <v>137</v>
      </c>
      <c r="D13" s="68">
        <v>1242</v>
      </c>
      <c r="E13" t="s">
        <v>74</v>
      </c>
    </row>
    <row r="14" spans="1:5">
      <c r="A14" s="61">
        <v>46034</v>
      </c>
      <c r="B14" s="70" t="s">
        <v>138</v>
      </c>
      <c r="C14" s="65" t="s">
        <v>137</v>
      </c>
      <c r="D14" s="68">
        <v>1327</v>
      </c>
      <c r="E14" t="s">
        <v>74</v>
      </c>
    </row>
    <row r="15" spans="1:5">
      <c r="A15" s="61">
        <v>46035</v>
      </c>
      <c r="B15" s="71" t="s">
        <v>139</v>
      </c>
      <c r="C15" s="72" t="s">
        <v>124</v>
      </c>
      <c r="D15" s="68">
        <v>3540.29</v>
      </c>
      <c r="E15" t="s">
        <v>74</v>
      </c>
    </row>
    <row r="16" spans="1:5">
      <c r="A16" s="61">
        <v>46037</v>
      </c>
      <c r="B16" s="71" t="s">
        <v>140</v>
      </c>
      <c r="C16" s="72" t="s">
        <v>141</v>
      </c>
      <c r="D16" s="68">
        <v>112.82</v>
      </c>
      <c r="E16" t="s">
        <v>74</v>
      </c>
    </row>
    <row r="17" spans="1:6">
      <c r="A17" s="61">
        <v>46037</v>
      </c>
      <c r="B17" s="72" t="s">
        <v>142</v>
      </c>
      <c r="C17" s="72" t="s">
        <v>143</v>
      </c>
      <c r="D17" s="68">
        <v>95</v>
      </c>
      <c r="E17" t="s">
        <v>74</v>
      </c>
    </row>
    <row r="18" spans="1:6">
      <c r="A18" s="61">
        <v>46037</v>
      </c>
      <c r="B18" s="71" t="s">
        <v>144</v>
      </c>
      <c r="C18" s="72" t="s">
        <v>145</v>
      </c>
      <c r="D18" s="68">
        <v>573</v>
      </c>
      <c r="E18" t="s">
        <v>74</v>
      </c>
    </row>
    <row r="19" spans="1:6">
      <c r="A19" s="61">
        <v>46038</v>
      </c>
      <c r="B19" s="67" t="s">
        <v>127</v>
      </c>
      <c r="C19" s="72" t="s">
        <v>128</v>
      </c>
      <c r="D19" s="68">
        <v>3.4</v>
      </c>
      <c r="E19" t="s">
        <v>74</v>
      </c>
    </row>
    <row r="20" spans="1:6">
      <c r="A20" s="61">
        <v>46041</v>
      </c>
      <c r="B20" s="69" t="s">
        <v>146</v>
      </c>
      <c r="C20" s="72" t="s">
        <v>147</v>
      </c>
      <c r="D20" s="66">
        <v>10000</v>
      </c>
      <c r="E20" t="s">
        <v>74</v>
      </c>
    </row>
    <row r="21" spans="1:6">
      <c r="A21" s="61">
        <v>46041</v>
      </c>
      <c r="B21" s="67" t="s">
        <v>127</v>
      </c>
      <c r="C21" s="72" t="s">
        <v>128</v>
      </c>
      <c r="D21" s="68">
        <v>3.4</v>
      </c>
      <c r="E21" t="s">
        <v>74</v>
      </c>
    </row>
    <row r="22" spans="1:6">
      <c r="A22" s="61">
        <v>46042</v>
      </c>
      <c r="B22" s="69" t="s">
        <v>148</v>
      </c>
      <c r="C22" s="72" t="s">
        <v>149</v>
      </c>
      <c r="D22" s="66">
        <v>440.26</v>
      </c>
      <c r="E22" t="s">
        <v>74</v>
      </c>
    </row>
    <row r="23" spans="1:6">
      <c r="A23" s="61">
        <v>46042</v>
      </c>
      <c r="B23" s="69" t="s">
        <v>150</v>
      </c>
      <c r="C23" s="72" t="s">
        <v>147</v>
      </c>
      <c r="D23" s="66">
        <v>850</v>
      </c>
      <c r="E23" t="s">
        <v>74</v>
      </c>
    </row>
    <row r="24" spans="1:6">
      <c r="A24" s="61">
        <v>46043</v>
      </c>
      <c r="B24" s="67" t="s">
        <v>146</v>
      </c>
      <c r="C24" s="72" t="s">
        <v>147</v>
      </c>
      <c r="D24" s="68">
        <v>200</v>
      </c>
      <c r="E24" t="s">
        <v>74</v>
      </c>
    </row>
    <row r="25" spans="1:6">
      <c r="A25" s="61">
        <v>46043</v>
      </c>
      <c r="B25" s="69" t="s">
        <v>151</v>
      </c>
      <c r="C25" s="72" t="s">
        <v>126</v>
      </c>
      <c r="D25" s="66">
        <v>30000</v>
      </c>
      <c r="E25" t="s">
        <v>74</v>
      </c>
    </row>
    <row r="26" spans="1:6">
      <c r="A26" s="61">
        <v>46045</v>
      </c>
      <c r="B26" s="67" t="s">
        <v>127</v>
      </c>
      <c r="C26" s="72" t="s">
        <v>128</v>
      </c>
      <c r="D26" s="68">
        <v>1.7</v>
      </c>
      <c r="E26" t="s">
        <v>74</v>
      </c>
    </row>
    <row r="27" spans="1:6">
      <c r="A27" s="61">
        <v>46048</v>
      </c>
      <c r="B27" s="69" t="s">
        <v>135</v>
      </c>
      <c r="C27" s="72" t="s">
        <v>130</v>
      </c>
      <c r="D27" s="66">
        <v>1114.3399999999999</v>
      </c>
      <c r="E27" t="s">
        <v>74</v>
      </c>
    </row>
    <row r="28" spans="1:6">
      <c r="A28" s="61">
        <v>46048</v>
      </c>
      <c r="B28" s="69" t="s">
        <v>152</v>
      </c>
      <c r="C28" s="72" t="s">
        <v>147</v>
      </c>
      <c r="D28" s="66">
        <v>17119.18</v>
      </c>
      <c r="E28" t="s">
        <v>74</v>
      </c>
    </row>
    <row r="29" spans="1:6">
      <c r="A29" s="61">
        <v>46048</v>
      </c>
      <c r="B29" s="67" t="s">
        <v>127</v>
      </c>
      <c r="C29" s="72" t="s">
        <v>128</v>
      </c>
      <c r="D29" s="68">
        <v>1.7</v>
      </c>
      <c r="E29" t="s">
        <v>74</v>
      </c>
    </row>
    <row r="30" spans="1:6" ht="15.75" thickBot="1">
      <c r="A30" s="61">
        <v>46051</v>
      </c>
      <c r="B30" s="73" t="s">
        <v>153</v>
      </c>
      <c r="C30" s="74" t="s">
        <v>132</v>
      </c>
      <c r="D30" s="75">
        <v>500</v>
      </c>
      <c r="E30" t="s">
        <v>74</v>
      </c>
    </row>
    <row r="31" spans="1:6" ht="15.75" thickBot="1">
      <c r="A31" s="61">
        <v>46051</v>
      </c>
      <c r="B31" s="76" t="s">
        <v>154</v>
      </c>
      <c r="C31" s="77" t="s">
        <v>147</v>
      </c>
      <c r="D31" s="78">
        <v>3000</v>
      </c>
      <c r="E31" t="s">
        <v>74</v>
      </c>
      <c r="F31" s="273">
        <f>SUM(D2:D31)</f>
        <v>77907.599999999991</v>
      </c>
    </row>
    <row r="32" spans="1:6">
      <c r="A32" s="186">
        <v>46055</v>
      </c>
      <c r="B32" s="107" t="s">
        <v>121</v>
      </c>
      <c r="C32" s="112" t="s">
        <v>122</v>
      </c>
      <c r="D32" s="113">
        <v>109.79</v>
      </c>
      <c r="E32" s="103" t="s">
        <v>82</v>
      </c>
    </row>
    <row r="33" spans="1:5">
      <c r="A33" s="186">
        <v>46055</v>
      </c>
      <c r="B33" s="187" t="s">
        <v>123</v>
      </c>
      <c r="C33" s="187" t="s">
        <v>124</v>
      </c>
      <c r="D33" s="111">
        <v>3019.29</v>
      </c>
      <c r="E33" s="103" t="s">
        <v>82</v>
      </c>
    </row>
    <row r="34" spans="1:5">
      <c r="A34" s="186">
        <v>46055</v>
      </c>
      <c r="B34" s="106" t="s">
        <v>155</v>
      </c>
      <c r="C34" s="112" t="s">
        <v>132</v>
      </c>
      <c r="D34" s="108">
        <v>190.8</v>
      </c>
      <c r="E34" s="103" t="s">
        <v>82</v>
      </c>
    </row>
    <row r="35" spans="1:5">
      <c r="A35" s="186">
        <v>46055</v>
      </c>
      <c r="B35" s="106" t="s">
        <v>156</v>
      </c>
      <c r="C35" s="112" t="s">
        <v>132</v>
      </c>
      <c r="D35" s="108">
        <v>190.8</v>
      </c>
      <c r="E35" s="103" t="s">
        <v>82</v>
      </c>
    </row>
    <row r="36" spans="1:5">
      <c r="A36" s="186">
        <v>46055</v>
      </c>
      <c r="B36" s="110" t="s">
        <v>157</v>
      </c>
      <c r="C36" s="112" t="s">
        <v>132</v>
      </c>
      <c r="D36" s="111">
        <v>190.08</v>
      </c>
      <c r="E36" s="103" t="s">
        <v>82</v>
      </c>
    </row>
    <row r="37" spans="1:5">
      <c r="A37" s="186">
        <v>46055</v>
      </c>
      <c r="B37" s="106" t="s">
        <v>158</v>
      </c>
      <c r="C37" s="112" t="s">
        <v>159</v>
      </c>
      <c r="D37" s="108">
        <v>250</v>
      </c>
      <c r="E37" s="103" t="s">
        <v>82</v>
      </c>
    </row>
    <row r="38" spans="1:5">
      <c r="A38" s="186">
        <v>46055</v>
      </c>
      <c r="B38" s="188" t="s">
        <v>127</v>
      </c>
      <c r="C38" s="187" t="s">
        <v>128</v>
      </c>
      <c r="D38" s="108">
        <v>1.7</v>
      </c>
      <c r="E38" s="103" t="s">
        <v>82</v>
      </c>
    </row>
    <row r="39" spans="1:5">
      <c r="A39" s="186">
        <v>46056</v>
      </c>
      <c r="B39" s="188" t="s">
        <v>127</v>
      </c>
      <c r="C39" s="187" t="s">
        <v>128</v>
      </c>
      <c r="D39" s="108">
        <v>1.7</v>
      </c>
      <c r="E39" s="103" t="s">
        <v>82</v>
      </c>
    </row>
    <row r="40" spans="1:5">
      <c r="A40" s="186">
        <v>46058</v>
      </c>
      <c r="B40" s="188" t="s">
        <v>127</v>
      </c>
      <c r="C40" s="187" t="s">
        <v>128</v>
      </c>
      <c r="D40" s="108">
        <v>1.81</v>
      </c>
      <c r="E40" s="103" t="s">
        <v>82</v>
      </c>
    </row>
    <row r="41" spans="1:5" ht="30">
      <c r="A41" s="186">
        <v>46059</v>
      </c>
      <c r="B41" s="188" t="s">
        <v>160</v>
      </c>
      <c r="C41" s="187" t="s">
        <v>130</v>
      </c>
      <c r="D41" s="108">
        <v>1121.26</v>
      </c>
      <c r="E41" s="103" t="s">
        <v>82</v>
      </c>
    </row>
    <row r="42" spans="1:5">
      <c r="A42" s="186">
        <v>46059</v>
      </c>
      <c r="B42" s="188" t="s">
        <v>127</v>
      </c>
      <c r="C42" s="187" t="s">
        <v>128</v>
      </c>
      <c r="D42" s="108">
        <v>1.81</v>
      </c>
      <c r="E42" s="103" t="s">
        <v>82</v>
      </c>
    </row>
    <row r="43" spans="1:5">
      <c r="A43" s="186">
        <v>46062</v>
      </c>
      <c r="B43" s="188" t="s">
        <v>127</v>
      </c>
      <c r="C43" s="187" t="s">
        <v>128</v>
      </c>
      <c r="D43" s="108">
        <v>3.62</v>
      </c>
      <c r="E43" s="103" t="s">
        <v>82</v>
      </c>
    </row>
    <row r="44" spans="1:5" ht="30">
      <c r="A44" s="186">
        <v>46062</v>
      </c>
      <c r="B44" s="188" t="s">
        <v>129</v>
      </c>
      <c r="C44" s="187" t="s">
        <v>130</v>
      </c>
      <c r="D44" s="108">
        <v>1266.67</v>
      </c>
      <c r="E44" s="103" t="s">
        <v>82</v>
      </c>
    </row>
    <row r="45" spans="1:5" ht="30">
      <c r="A45" s="186">
        <v>46062</v>
      </c>
      <c r="B45" s="188" t="s">
        <v>161</v>
      </c>
      <c r="C45" s="187" t="s">
        <v>130</v>
      </c>
      <c r="D45" s="108">
        <v>1114.33</v>
      </c>
      <c r="E45" s="103" t="s">
        <v>82</v>
      </c>
    </row>
    <row r="46" spans="1:5">
      <c r="A46" s="186">
        <v>46063</v>
      </c>
      <c r="B46" s="189" t="s">
        <v>127</v>
      </c>
      <c r="C46" s="190" t="s">
        <v>128</v>
      </c>
      <c r="D46" s="108">
        <v>3.62</v>
      </c>
      <c r="E46" s="103" t="s">
        <v>82</v>
      </c>
    </row>
    <row r="47" spans="1:5">
      <c r="A47" s="186">
        <v>46063</v>
      </c>
      <c r="B47" s="190" t="s">
        <v>146</v>
      </c>
      <c r="C47" s="190" t="s">
        <v>147</v>
      </c>
      <c r="D47" s="108">
        <v>3000</v>
      </c>
      <c r="E47" s="103" t="s">
        <v>82</v>
      </c>
    </row>
    <row r="48" spans="1:5">
      <c r="A48" s="186">
        <v>46063</v>
      </c>
      <c r="B48" s="189" t="s">
        <v>162</v>
      </c>
      <c r="C48" s="190" t="s">
        <v>147</v>
      </c>
      <c r="D48" s="108">
        <v>1166.4000000000001</v>
      </c>
      <c r="E48" s="103" t="s">
        <v>82</v>
      </c>
    </row>
    <row r="49" spans="1:5">
      <c r="A49" s="186">
        <v>46064</v>
      </c>
      <c r="B49" s="106" t="s">
        <v>163</v>
      </c>
      <c r="C49" s="190" t="s">
        <v>132</v>
      </c>
      <c r="D49" s="108">
        <v>2000</v>
      </c>
      <c r="E49" s="103" t="s">
        <v>82</v>
      </c>
    </row>
    <row r="50" spans="1:5">
      <c r="A50" s="186">
        <v>46064</v>
      </c>
      <c r="B50" s="106" t="s">
        <v>164</v>
      </c>
      <c r="C50" s="190" t="s">
        <v>147</v>
      </c>
      <c r="D50" s="108">
        <v>316.66000000000003</v>
      </c>
      <c r="E50" s="103" t="s">
        <v>82</v>
      </c>
    </row>
    <row r="51" spans="1:5">
      <c r="A51" s="186">
        <v>46064</v>
      </c>
      <c r="B51" s="106" t="s">
        <v>127</v>
      </c>
      <c r="C51" s="190" t="s">
        <v>128</v>
      </c>
      <c r="D51" s="108">
        <v>3.62</v>
      </c>
      <c r="E51" s="103" t="s">
        <v>82</v>
      </c>
    </row>
    <row r="52" spans="1:5">
      <c r="A52" s="186">
        <v>46066</v>
      </c>
      <c r="B52" s="110" t="s">
        <v>123</v>
      </c>
      <c r="C52" s="190" t="s">
        <v>124</v>
      </c>
      <c r="D52" s="111">
        <v>3585.46</v>
      </c>
      <c r="E52" s="103" t="s">
        <v>82</v>
      </c>
    </row>
    <row r="53" spans="1:5">
      <c r="A53" s="186">
        <v>46066</v>
      </c>
      <c r="B53" s="110" t="s">
        <v>165</v>
      </c>
      <c r="C53" s="190" t="s">
        <v>147</v>
      </c>
      <c r="D53" s="111">
        <v>2500</v>
      </c>
      <c r="E53" s="103" t="s">
        <v>82</v>
      </c>
    </row>
    <row r="54" spans="1:5">
      <c r="A54" s="186">
        <v>46066</v>
      </c>
      <c r="B54" s="110" t="s">
        <v>127</v>
      </c>
      <c r="C54" s="190" t="s">
        <v>128</v>
      </c>
      <c r="D54" s="111">
        <v>5.43</v>
      </c>
      <c r="E54" s="103" t="s">
        <v>82</v>
      </c>
    </row>
    <row r="55" spans="1:5">
      <c r="A55" s="186">
        <v>46071</v>
      </c>
      <c r="B55" s="110" t="s">
        <v>166</v>
      </c>
      <c r="C55" s="190" t="s">
        <v>141</v>
      </c>
      <c r="D55" s="111">
        <v>112.82</v>
      </c>
      <c r="E55" s="103" t="s">
        <v>82</v>
      </c>
    </row>
    <row r="56" spans="1:5">
      <c r="A56" s="186">
        <v>46071</v>
      </c>
      <c r="B56" s="110" t="s">
        <v>127</v>
      </c>
      <c r="C56" s="190" t="s">
        <v>128</v>
      </c>
      <c r="D56" s="111">
        <v>9.0500000000000007</v>
      </c>
      <c r="E56" s="103" t="s">
        <v>82</v>
      </c>
    </row>
    <row r="57" spans="1:5">
      <c r="A57" s="186">
        <v>46071</v>
      </c>
      <c r="B57" s="106" t="s">
        <v>167</v>
      </c>
      <c r="C57" s="190" t="s">
        <v>145</v>
      </c>
      <c r="D57" s="108">
        <v>612</v>
      </c>
      <c r="E57" s="103" t="s">
        <v>82</v>
      </c>
    </row>
    <row r="58" spans="1:5">
      <c r="A58" s="186">
        <v>46072</v>
      </c>
      <c r="B58" s="107" t="s">
        <v>168</v>
      </c>
      <c r="C58" s="112" t="s">
        <v>169</v>
      </c>
      <c r="D58" s="113">
        <v>820</v>
      </c>
      <c r="E58" s="103" t="s">
        <v>82</v>
      </c>
    </row>
    <row r="59" spans="1:5">
      <c r="A59" s="186">
        <v>46072</v>
      </c>
      <c r="B59" s="107" t="s">
        <v>146</v>
      </c>
      <c r="C59" s="112" t="s">
        <v>147</v>
      </c>
      <c r="D59" s="113">
        <v>5000</v>
      </c>
      <c r="E59" s="103" t="s">
        <v>82</v>
      </c>
    </row>
    <row r="60" spans="1:5">
      <c r="A60" s="186">
        <v>46072</v>
      </c>
      <c r="B60" s="106" t="s">
        <v>127</v>
      </c>
      <c r="C60" s="190" t="s">
        <v>128</v>
      </c>
      <c r="D60" s="108">
        <v>1.81</v>
      </c>
      <c r="E60" s="103" t="s">
        <v>82</v>
      </c>
    </row>
    <row r="61" spans="1:5">
      <c r="A61" s="186">
        <v>46073</v>
      </c>
      <c r="B61" s="110" t="s">
        <v>157</v>
      </c>
      <c r="C61" s="190" t="s">
        <v>132</v>
      </c>
      <c r="D61" s="111">
        <v>855.2</v>
      </c>
      <c r="E61" s="103" t="s">
        <v>82</v>
      </c>
    </row>
    <row r="62" spans="1:5">
      <c r="A62" s="186">
        <v>46073</v>
      </c>
      <c r="B62" s="106" t="s">
        <v>155</v>
      </c>
      <c r="C62" s="190" t="s">
        <v>132</v>
      </c>
      <c r="D62" s="108">
        <v>855.2</v>
      </c>
      <c r="E62" s="103" t="s">
        <v>82</v>
      </c>
    </row>
    <row r="63" spans="1:5">
      <c r="A63" s="186">
        <v>46073</v>
      </c>
      <c r="B63" s="110" t="s">
        <v>160</v>
      </c>
      <c r="C63" s="190" t="s">
        <v>130</v>
      </c>
      <c r="D63" s="111">
        <v>1121.25</v>
      </c>
      <c r="E63" s="103" t="s">
        <v>82</v>
      </c>
    </row>
    <row r="64" spans="1:5">
      <c r="A64" s="186">
        <v>46073</v>
      </c>
      <c r="B64" s="110" t="s">
        <v>148</v>
      </c>
      <c r="C64" s="190" t="s">
        <v>149</v>
      </c>
      <c r="D64" s="111">
        <v>1565.41</v>
      </c>
      <c r="E64" s="103" t="s">
        <v>82</v>
      </c>
    </row>
    <row r="65" spans="1:6">
      <c r="A65" s="186">
        <v>46073</v>
      </c>
      <c r="B65" s="106" t="s">
        <v>127</v>
      </c>
      <c r="C65" s="190" t="s">
        <v>128</v>
      </c>
      <c r="D65" s="108">
        <v>1.81</v>
      </c>
      <c r="E65" s="103" t="s">
        <v>82</v>
      </c>
    </row>
    <row r="66" spans="1:6">
      <c r="A66" s="186">
        <v>46076</v>
      </c>
      <c r="B66" s="106" t="s">
        <v>127</v>
      </c>
      <c r="C66" s="190" t="s">
        <v>128</v>
      </c>
      <c r="D66" s="108">
        <v>1.81</v>
      </c>
      <c r="E66" s="103" t="s">
        <v>82</v>
      </c>
    </row>
    <row r="67" spans="1:6" ht="30">
      <c r="A67" s="186">
        <v>46076</v>
      </c>
      <c r="B67" s="188" t="s">
        <v>129</v>
      </c>
      <c r="C67" s="187" t="s">
        <v>130</v>
      </c>
      <c r="D67" s="108">
        <v>1266.67</v>
      </c>
      <c r="E67" s="103" t="s">
        <v>82</v>
      </c>
    </row>
    <row r="68" spans="1:6">
      <c r="A68" s="186">
        <v>46078</v>
      </c>
      <c r="B68" s="106" t="s">
        <v>170</v>
      </c>
      <c r="C68" s="190" t="s">
        <v>143</v>
      </c>
      <c r="D68" s="108">
        <v>10246.030000000001</v>
      </c>
      <c r="E68" s="103" t="s">
        <v>82</v>
      </c>
    </row>
    <row r="69" spans="1:6">
      <c r="A69" s="186">
        <v>46078</v>
      </c>
      <c r="B69" s="106" t="s">
        <v>127</v>
      </c>
      <c r="C69" s="190" t="s">
        <v>128</v>
      </c>
      <c r="D69" s="108">
        <v>1.81</v>
      </c>
      <c r="E69" s="103" t="s">
        <v>82</v>
      </c>
    </row>
    <row r="70" spans="1:6">
      <c r="A70" s="186">
        <v>46079</v>
      </c>
      <c r="B70" s="106" t="s">
        <v>171</v>
      </c>
      <c r="C70" s="190" t="s">
        <v>169</v>
      </c>
      <c r="D70" s="108">
        <v>1248.6600000000001</v>
      </c>
      <c r="E70" s="103" t="s">
        <v>82</v>
      </c>
    </row>
    <row r="71" spans="1:6">
      <c r="A71" s="186">
        <v>46079</v>
      </c>
      <c r="B71" s="110" t="s">
        <v>172</v>
      </c>
      <c r="C71" s="190" t="s">
        <v>132</v>
      </c>
      <c r="D71" s="111">
        <v>1000</v>
      </c>
      <c r="E71" s="103" t="s">
        <v>82</v>
      </c>
      <c r="F71" s="317">
        <f>SUM(D32:D71)</f>
        <v>44764.380000000005</v>
      </c>
    </row>
    <row r="72" spans="1:6">
      <c r="A72" s="186">
        <v>46083</v>
      </c>
      <c r="B72" s="107" t="s">
        <v>122</v>
      </c>
      <c r="C72" s="112" t="s">
        <v>173</v>
      </c>
      <c r="D72" s="113">
        <v>109.79</v>
      </c>
      <c r="E72" s="103" t="s">
        <v>109</v>
      </c>
    </row>
    <row r="73" spans="1:6">
      <c r="A73" s="186">
        <v>46083</v>
      </c>
      <c r="B73" s="187" t="s">
        <v>123</v>
      </c>
      <c r="C73" s="187" t="s">
        <v>173</v>
      </c>
      <c r="D73" s="111">
        <v>2724.27</v>
      </c>
      <c r="E73" s="103" t="s">
        <v>109</v>
      </c>
    </row>
    <row r="74" spans="1:6">
      <c r="A74" s="186">
        <v>46087</v>
      </c>
      <c r="B74" s="106" t="s">
        <v>155</v>
      </c>
      <c r="C74" s="112" t="s">
        <v>132</v>
      </c>
      <c r="D74" s="108">
        <v>1282.8</v>
      </c>
      <c r="E74" s="103" t="s">
        <v>109</v>
      </c>
    </row>
    <row r="75" spans="1:6">
      <c r="A75" s="186">
        <v>46087</v>
      </c>
      <c r="B75" s="106" t="s">
        <v>157</v>
      </c>
      <c r="C75" s="112" t="s">
        <v>132</v>
      </c>
      <c r="D75" s="108">
        <v>1516</v>
      </c>
      <c r="E75" s="103" t="s">
        <v>109</v>
      </c>
    </row>
    <row r="76" spans="1:6">
      <c r="A76" s="186">
        <v>46087</v>
      </c>
      <c r="B76" s="110" t="s">
        <v>174</v>
      </c>
      <c r="C76" s="112" t="s">
        <v>130</v>
      </c>
      <c r="D76" s="111">
        <v>1121.25</v>
      </c>
      <c r="E76" s="103" t="s">
        <v>109</v>
      </c>
    </row>
    <row r="77" spans="1:6">
      <c r="A77" s="186">
        <v>46087</v>
      </c>
      <c r="B77" s="110" t="s">
        <v>127</v>
      </c>
      <c r="C77" s="112" t="s">
        <v>128</v>
      </c>
      <c r="D77" s="111">
        <v>1.81</v>
      </c>
      <c r="E77" s="103" t="s">
        <v>109</v>
      </c>
    </row>
    <row r="78" spans="1:6">
      <c r="A78" s="186">
        <v>46091</v>
      </c>
      <c r="B78" s="106" t="s">
        <v>129</v>
      </c>
      <c r="C78" s="112" t="s">
        <v>130</v>
      </c>
      <c r="D78" s="108">
        <v>1266.67</v>
      </c>
      <c r="E78" s="103" t="s">
        <v>109</v>
      </c>
    </row>
    <row r="79" spans="1:6">
      <c r="A79" s="186">
        <v>46091</v>
      </c>
      <c r="B79" s="188" t="s">
        <v>161</v>
      </c>
      <c r="C79" s="112" t="s">
        <v>130</v>
      </c>
      <c r="D79" s="108">
        <v>655</v>
      </c>
      <c r="E79" s="103" t="s">
        <v>109</v>
      </c>
    </row>
    <row r="80" spans="1:6">
      <c r="A80" s="186">
        <v>46092</v>
      </c>
      <c r="B80" s="188" t="s">
        <v>127</v>
      </c>
      <c r="C80" s="112" t="s">
        <v>128</v>
      </c>
      <c r="D80" s="108">
        <v>3.62</v>
      </c>
      <c r="E80" s="103" t="s">
        <v>109</v>
      </c>
    </row>
    <row r="81" spans="1:5">
      <c r="A81" s="186">
        <v>46093</v>
      </c>
      <c r="B81" s="188" t="s">
        <v>127</v>
      </c>
      <c r="C81" s="112" t="s">
        <v>128</v>
      </c>
      <c r="D81" s="108">
        <v>3.62</v>
      </c>
      <c r="E81" s="103" t="s">
        <v>109</v>
      </c>
    </row>
    <row r="82" spans="1:5">
      <c r="A82" s="186">
        <v>46094</v>
      </c>
      <c r="B82" s="107" t="s">
        <v>175</v>
      </c>
      <c r="C82" s="112" t="s">
        <v>173</v>
      </c>
      <c r="D82" s="113">
        <v>3621.21</v>
      </c>
      <c r="E82" s="103" t="s">
        <v>109</v>
      </c>
    </row>
    <row r="83" spans="1:5">
      <c r="A83" s="186">
        <v>46097</v>
      </c>
      <c r="B83" s="188" t="s">
        <v>144</v>
      </c>
      <c r="C83" s="112" t="s">
        <v>130</v>
      </c>
      <c r="D83" s="108">
        <v>612</v>
      </c>
      <c r="E83" s="103" t="s">
        <v>109</v>
      </c>
    </row>
    <row r="84" spans="1:5">
      <c r="A84" s="186">
        <v>46097</v>
      </c>
      <c r="B84" s="188" t="s">
        <v>176</v>
      </c>
      <c r="C84" s="187" t="s">
        <v>141</v>
      </c>
      <c r="D84" s="108">
        <v>3800</v>
      </c>
      <c r="E84" s="103" t="s">
        <v>109</v>
      </c>
    </row>
    <row r="85" spans="1:5" ht="30">
      <c r="A85" s="186">
        <v>46098</v>
      </c>
      <c r="B85" s="188" t="s">
        <v>161</v>
      </c>
      <c r="C85" s="187" t="s">
        <v>130</v>
      </c>
      <c r="D85" s="108">
        <v>655</v>
      </c>
      <c r="E85" s="103" t="s">
        <v>109</v>
      </c>
    </row>
    <row r="86" spans="1:5">
      <c r="A86" s="186">
        <v>46098</v>
      </c>
      <c r="B86" s="107" t="s">
        <v>127</v>
      </c>
      <c r="C86" s="112" t="s">
        <v>128</v>
      </c>
      <c r="D86" s="113">
        <v>1.81</v>
      </c>
      <c r="E86" s="103" t="s">
        <v>109</v>
      </c>
    </row>
    <row r="87" spans="1:5" ht="30">
      <c r="A87" s="186">
        <v>46099</v>
      </c>
      <c r="B87" s="188" t="s">
        <v>177</v>
      </c>
      <c r="C87" s="187" t="s">
        <v>141</v>
      </c>
      <c r="D87" s="108">
        <v>112.82</v>
      </c>
      <c r="E87" s="103" t="s">
        <v>109</v>
      </c>
    </row>
    <row r="88" spans="1:5">
      <c r="A88" s="186">
        <v>46099</v>
      </c>
      <c r="B88" s="188" t="s">
        <v>127</v>
      </c>
      <c r="C88" s="187" t="s">
        <v>128</v>
      </c>
      <c r="D88" s="108">
        <v>1.81</v>
      </c>
      <c r="E88" s="103" t="s">
        <v>109</v>
      </c>
    </row>
    <row r="89" spans="1:5">
      <c r="A89" s="186">
        <v>46101</v>
      </c>
      <c r="B89" s="189" t="s">
        <v>178</v>
      </c>
      <c r="C89" s="190" t="s">
        <v>149</v>
      </c>
      <c r="D89" s="108">
        <v>2439.37</v>
      </c>
      <c r="E89" s="103" t="s">
        <v>109</v>
      </c>
    </row>
    <row r="90" spans="1:5">
      <c r="A90" s="186">
        <v>46101</v>
      </c>
      <c r="B90" s="190" t="s">
        <v>179</v>
      </c>
      <c r="C90" s="190" t="s">
        <v>132</v>
      </c>
      <c r="D90" s="108">
        <v>855.2</v>
      </c>
      <c r="E90" s="103" t="s">
        <v>109</v>
      </c>
    </row>
    <row r="91" spans="1:5">
      <c r="A91" s="186">
        <v>46101</v>
      </c>
      <c r="B91" s="189" t="s">
        <v>180</v>
      </c>
      <c r="C91" s="190" t="s">
        <v>147</v>
      </c>
      <c r="D91" s="108">
        <v>2669.3</v>
      </c>
      <c r="E91" s="103" t="s">
        <v>109</v>
      </c>
    </row>
    <row r="92" spans="1:5">
      <c r="A92" s="186">
        <v>46104</v>
      </c>
      <c r="B92" s="106" t="s">
        <v>180</v>
      </c>
      <c r="C92" s="190" t="s">
        <v>147</v>
      </c>
      <c r="D92" s="108">
        <v>2500</v>
      </c>
      <c r="E92" s="103" t="s">
        <v>109</v>
      </c>
    </row>
    <row r="93" spans="1:5">
      <c r="A93" s="186">
        <v>46104</v>
      </c>
      <c r="B93" s="106" t="s">
        <v>127</v>
      </c>
      <c r="C93" s="190" t="s">
        <v>128</v>
      </c>
      <c r="D93" s="108">
        <v>3.62</v>
      </c>
      <c r="E93" s="103" t="s">
        <v>109</v>
      </c>
    </row>
    <row r="94" spans="1:5">
      <c r="A94" s="186">
        <v>46105</v>
      </c>
      <c r="B94" s="106" t="s">
        <v>127</v>
      </c>
      <c r="C94" s="190" t="s">
        <v>128</v>
      </c>
      <c r="D94" s="108">
        <v>3.62</v>
      </c>
      <c r="E94" s="103" t="s">
        <v>109</v>
      </c>
    </row>
    <row r="95" spans="1:5">
      <c r="A95" s="186">
        <v>46106</v>
      </c>
      <c r="B95" s="106" t="s">
        <v>129</v>
      </c>
      <c r="C95" s="190" t="s">
        <v>130</v>
      </c>
      <c r="D95" s="108">
        <v>1266.67</v>
      </c>
      <c r="E95" s="103" t="s">
        <v>109</v>
      </c>
    </row>
    <row r="96" spans="1:5">
      <c r="A96" s="186">
        <v>46106</v>
      </c>
      <c r="B96" s="110" t="s">
        <v>181</v>
      </c>
      <c r="C96" s="190" t="s">
        <v>145</v>
      </c>
      <c r="D96" s="111">
        <v>7571.95</v>
      </c>
      <c r="E96" s="103" t="s">
        <v>109</v>
      </c>
    </row>
    <row r="97" spans="1:6">
      <c r="A97" s="186">
        <v>46106</v>
      </c>
      <c r="B97" s="110" t="s">
        <v>182</v>
      </c>
      <c r="C97" s="190" t="s">
        <v>145</v>
      </c>
      <c r="D97" s="111">
        <v>209.9</v>
      </c>
      <c r="E97" s="103" t="s">
        <v>109</v>
      </c>
    </row>
    <row r="98" spans="1:6">
      <c r="A98" s="186">
        <v>46106</v>
      </c>
      <c r="B98" s="110" t="s">
        <v>127</v>
      </c>
      <c r="C98" s="190" t="s">
        <v>128</v>
      </c>
      <c r="D98" s="111">
        <v>1.81</v>
      </c>
      <c r="E98" s="103" t="s">
        <v>109</v>
      </c>
    </row>
    <row r="99" spans="1:6">
      <c r="A99" s="186">
        <v>46107</v>
      </c>
      <c r="B99" s="106" t="s">
        <v>183</v>
      </c>
      <c r="C99" s="190" t="s">
        <v>130</v>
      </c>
      <c r="D99" s="108">
        <v>210</v>
      </c>
      <c r="E99" s="103" t="s">
        <v>109</v>
      </c>
    </row>
    <row r="100" spans="1:6">
      <c r="A100" s="186">
        <v>46111</v>
      </c>
      <c r="B100" s="107" t="s">
        <v>127</v>
      </c>
      <c r="C100" s="112" t="s">
        <v>128</v>
      </c>
      <c r="D100" s="113">
        <v>1.81</v>
      </c>
      <c r="E100" s="103" t="s">
        <v>109</v>
      </c>
    </row>
    <row r="101" spans="1:6">
      <c r="A101" s="186">
        <v>46112</v>
      </c>
      <c r="B101" s="107" t="s">
        <v>127</v>
      </c>
      <c r="C101" s="112" t="s">
        <v>128</v>
      </c>
      <c r="D101" s="113">
        <v>3.62</v>
      </c>
      <c r="E101" s="103" t="s">
        <v>109</v>
      </c>
      <c r="F101" s="317">
        <f>SUM(D72:D101)</f>
        <v>35226.35</v>
      </c>
    </row>
    <row r="102" spans="1:6">
      <c r="A102" s="61">
        <v>46113</v>
      </c>
      <c r="B102" s="67" t="s">
        <v>168</v>
      </c>
      <c r="C102" s="63" t="s">
        <v>169</v>
      </c>
      <c r="D102" s="68">
        <v>1380</v>
      </c>
      <c r="E102" s="258" t="s">
        <v>1149</v>
      </c>
    </row>
    <row r="103" spans="1:6">
      <c r="A103" s="61">
        <v>46114</v>
      </c>
      <c r="B103" s="62" t="s">
        <v>122</v>
      </c>
      <c r="C103" s="63" t="s">
        <v>173</v>
      </c>
      <c r="D103" s="64">
        <v>109.79</v>
      </c>
      <c r="E103" s="258" t="s">
        <v>1149</v>
      </c>
    </row>
    <row r="104" spans="1:6">
      <c r="A104" s="61">
        <v>46114</v>
      </c>
      <c r="B104" s="65" t="s">
        <v>123</v>
      </c>
      <c r="C104" s="65" t="s">
        <v>173</v>
      </c>
      <c r="D104" s="66">
        <v>3019.29</v>
      </c>
      <c r="E104" s="258" t="s">
        <v>1149</v>
      </c>
    </row>
    <row r="105" spans="1:6">
      <c r="A105" s="61">
        <v>46114</v>
      </c>
      <c r="B105" s="62" t="s">
        <v>172</v>
      </c>
      <c r="C105" s="63" t="s">
        <v>132</v>
      </c>
      <c r="D105" s="64">
        <v>1000</v>
      </c>
      <c r="E105" s="258" t="s">
        <v>1149</v>
      </c>
    </row>
    <row r="106" spans="1:6">
      <c r="A106" s="61">
        <v>46114</v>
      </c>
      <c r="B106" s="62" t="s">
        <v>1160</v>
      </c>
      <c r="C106" s="63" t="s">
        <v>132</v>
      </c>
      <c r="D106" s="64">
        <v>520.13</v>
      </c>
      <c r="E106" s="258" t="s">
        <v>1149</v>
      </c>
    </row>
    <row r="107" spans="1:6">
      <c r="A107" s="61">
        <v>46114</v>
      </c>
      <c r="B107" s="69" t="s">
        <v>171</v>
      </c>
      <c r="C107" s="63" t="s">
        <v>149</v>
      </c>
      <c r="D107" s="66">
        <v>3724.03</v>
      </c>
      <c r="E107" s="258" t="s">
        <v>1149</v>
      </c>
    </row>
    <row r="108" spans="1:6">
      <c r="A108" s="61">
        <v>46118</v>
      </c>
      <c r="B108" s="62" t="s">
        <v>127</v>
      </c>
      <c r="C108" s="63" t="s">
        <v>128</v>
      </c>
      <c r="D108" s="64">
        <v>1.81</v>
      </c>
      <c r="E108" s="258" t="s">
        <v>1149</v>
      </c>
    </row>
    <row r="109" spans="1:6">
      <c r="A109" s="61">
        <v>46119</v>
      </c>
      <c r="B109" s="67" t="s">
        <v>793</v>
      </c>
      <c r="C109" s="63" t="s">
        <v>132</v>
      </c>
      <c r="D109" s="68">
        <v>1782.34</v>
      </c>
      <c r="E109" s="258" t="s">
        <v>1149</v>
      </c>
    </row>
    <row r="110" spans="1:6">
      <c r="A110" s="61">
        <v>46119</v>
      </c>
      <c r="B110" s="62" t="s">
        <v>1161</v>
      </c>
      <c r="C110" s="63" t="s">
        <v>132</v>
      </c>
      <c r="D110" s="64">
        <v>1851.25</v>
      </c>
      <c r="E110" s="258" t="s">
        <v>1149</v>
      </c>
    </row>
    <row r="111" spans="1:6">
      <c r="A111" s="61">
        <v>46119</v>
      </c>
      <c r="B111" s="70" t="s">
        <v>127</v>
      </c>
      <c r="C111" s="65" t="s">
        <v>128</v>
      </c>
      <c r="D111" s="68">
        <v>1.81</v>
      </c>
      <c r="E111" s="258" t="s">
        <v>1149</v>
      </c>
    </row>
    <row r="112" spans="1:6">
      <c r="A112" s="61">
        <v>46120</v>
      </c>
      <c r="B112" s="70" t="s">
        <v>127</v>
      </c>
      <c r="C112" s="65" t="s">
        <v>128</v>
      </c>
      <c r="D112" s="68">
        <v>1.81</v>
      </c>
      <c r="E112" s="258" t="s">
        <v>1149</v>
      </c>
    </row>
    <row r="113" spans="1:5" ht="30">
      <c r="A113" s="61">
        <v>46122</v>
      </c>
      <c r="B113" s="70" t="s">
        <v>129</v>
      </c>
      <c r="C113" s="65" t="s">
        <v>130</v>
      </c>
      <c r="D113" s="68">
        <v>1292.42</v>
      </c>
      <c r="E113" s="258" t="s">
        <v>1149</v>
      </c>
    </row>
    <row r="114" spans="1:5">
      <c r="A114" s="61">
        <v>46125</v>
      </c>
      <c r="B114" s="70" t="s">
        <v>123</v>
      </c>
      <c r="C114" s="65" t="s">
        <v>173</v>
      </c>
      <c r="D114" s="68">
        <v>3660.84</v>
      </c>
      <c r="E114" s="258" t="s">
        <v>1149</v>
      </c>
    </row>
    <row r="115" spans="1:5">
      <c r="A115" s="61">
        <v>46125</v>
      </c>
      <c r="B115" s="71" t="s">
        <v>127</v>
      </c>
      <c r="C115" s="72" t="s">
        <v>128</v>
      </c>
      <c r="D115" s="68">
        <v>1.81</v>
      </c>
      <c r="E115" s="258" t="s">
        <v>1149</v>
      </c>
    </row>
    <row r="116" spans="1:5">
      <c r="A116" s="61">
        <v>46126</v>
      </c>
      <c r="B116" s="71" t="s">
        <v>127</v>
      </c>
      <c r="C116" s="72" t="s">
        <v>128</v>
      </c>
      <c r="D116" s="68">
        <v>1.81</v>
      </c>
      <c r="E116" s="258" t="s">
        <v>1149</v>
      </c>
    </row>
    <row r="117" spans="1:5">
      <c r="A117" s="61">
        <v>46127</v>
      </c>
      <c r="B117" s="71" t="s">
        <v>167</v>
      </c>
      <c r="C117" s="72" t="s">
        <v>145</v>
      </c>
      <c r="D117" s="68">
        <v>612</v>
      </c>
      <c r="E117" s="258" t="s">
        <v>1149</v>
      </c>
    </row>
    <row r="118" spans="1:5">
      <c r="A118" s="61">
        <v>46127</v>
      </c>
      <c r="B118" s="67" t="s">
        <v>168</v>
      </c>
      <c r="C118" s="72" t="s">
        <v>169</v>
      </c>
      <c r="D118" s="68">
        <v>1060</v>
      </c>
      <c r="E118" s="258" t="s">
        <v>1149</v>
      </c>
    </row>
    <row r="119" spans="1:5">
      <c r="A119" s="61">
        <v>46128</v>
      </c>
      <c r="B119" s="67" t="s">
        <v>127</v>
      </c>
      <c r="C119" s="72" t="s">
        <v>128</v>
      </c>
      <c r="D119" s="68">
        <v>1.81</v>
      </c>
      <c r="E119" s="258" t="s">
        <v>1149</v>
      </c>
    </row>
    <row r="120" spans="1:5">
      <c r="A120" s="61">
        <v>46132</v>
      </c>
      <c r="B120" s="67" t="s">
        <v>161</v>
      </c>
      <c r="C120" s="72" t="s">
        <v>130</v>
      </c>
      <c r="D120" s="68">
        <v>1310</v>
      </c>
      <c r="E120" s="258" t="s">
        <v>1149</v>
      </c>
    </row>
    <row r="121" spans="1:5">
      <c r="A121" s="61">
        <v>46132</v>
      </c>
      <c r="B121" s="67" t="s">
        <v>129</v>
      </c>
      <c r="C121" s="72" t="s">
        <v>130</v>
      </c>
      <c r="D121" s="68">
        <v>1900</v>
      </c>
      <c r="E121" s="258" t="s">
        <v>1149</v>
      </c>
    </row>
    <row r="122" spans="1:5">
      <c r="A122" s="61">
        <v>46132</v>
      </c>
      <c r="B122" s="67" t="s">
        <v>148</v>
      </c>
      <c r="C122" s="72" t="s">
        <v>149</v>
      </c>
      <c r="D122" s="68">
        <v>2985.97</v>
      </c>
      <c r="E122" s="258" t="s">
        <v>1149</v>
      </c>
    </row>
    <row r="123" spans="1:5">
      <c r="A123" s="61">
        <v>46132</v>
      </c>
      <c r="B123" s="69" t="s">
        <v>793</v>
      </c>
      <c r="C123" s="72" t="s">
        <v>132</v>
      </c>
      <c r="D123" s="66">
        <v>855.2</v>
      </c>
      <c r="E123" s="258" t="s">
        <v>1149</v>
      </c>
    </row>
    <row r="124" spans="1:5">
      <c r="A124" s="61">
        <v>46132</v>
      </c>
      <c r="B124" s="69" t="s">
        <v>794</v>
      </c>
      <c r="C124" s="72" t="s">
        <v>132</v>
      </c>
      <c r="D124" s="66">
        <v>855.2</v>
      </c>
      <c r="E124" s="258" t="s">
        <v>1149</v>
      </c>
    </row>
    <row r="125" spans="1:5">
      <c r="A125" s="61">
        <v>46132</v>
      </c>
      <c r="B125" s="69" t="s">
        <v>1162</v>
      </c>
      <c r="C125" s="72" t="s">
        <v>145</v>
      </c>
      <c r="D125" s="66">
        <v>112.82</v>
      </c>
      <c r="E125" s="258" t="s">
        <v>1149</v>
      </c>
    </row>
    <row r="126" spans="1:5">
      <c r="A126" s="61">
        <v>46132</v>
      </c>
      <c r="B126" s="67" t="s">
        <v>152</v>
      </c>
      <c r="C126" s="72" t="s">
        <v>147</v>
      </c>
      <c r="D126" s="68">
        <v>4835.71</v>
      </c>
      <c r="E126" s="258" t="s">
        <v>1149</v>
      </c>
    </row>
    <row r="127" spans="1:5">
      <c r="A127" s="61">
        <v>46132</v>
      </c>
      <c r="B127" s="62" t="s">
        <v>1163</v>
      </c>
      <c r="C127" s="63" t="s">
        <v>147</v>
      </c>
      <c r="D127" s="64">
        <v>850</v>
      </c>
      <c r="E127" s="258" t="s">
        <v>1149</v>
      </c>
    </row>
    <row r="128" spans="1:5">
      <c r="A128" s="61">
        <v>46132</v>
      </c>
      <c r="B128" s="62" t="s">
        <v>127</v>
      </c>
      <c r="C128" s="63" t="s">
        <v>128</v>
      </c>
      <c r="D128" s="64">
        <v>1.81</v>
      </c>
      <c r="E128" s="258" t="s">
        <v>1149</v>
      </c>
    </row>
    <row r="129" spans="1:6">
      <c r="A129" s="61">
        <v>46134</v>
      </c>
      <c r="B129" s="67" t="s">
        <v>127</v>
      </c>
      <c r="C129" s="72" t="s">
        <v>128</v>
      </c>
      <c r="D129" s="68">
        <v>1.81</v>
      </c>
      <c r="E129" s="258" t="s">
        <v>1149</v>
      </c>
    </row>
    <row r="130" spans="1:6">
      <c r="A130" s="61">
        <v>46135</v>
      </c>
      <c r="B130" s="69" t="s">
        <v>146</v>
      </c>
      <c r="C130" s="72" t="s">
        <v>147</v>
      </c>
      <c r="D130" s="66">
        <v>1500</v>
      </c>
      <c r="E130" s="258" t="s">
        <v>1149</v>
      </c>
    </row>
    <row r="131" spans="1:6">
      <c r="A131" s="61">
        <v>46136</v>
      </c>
      <c r="B131" s="67" t="s">
        <v>129</v>
      </c>
      <c r="C131" s="72" t="s">
        <v>130</v>
      </c>
      <c r="D131" s="68">
        <v>1266.67</v>
      </c>
      <c r="E131" s="258" t="s">
        <v>1149</v>
      </c>
    </row>
    <row r="132" spans="1:6">
      <c r="A132" s="61">
        <v>46136</v>
      </c>
      <c r="B132" s="69" t="s">
        <v>1164</v>
      </c>
      <c r="C132" s="72" t="s">
        <v>110</v>
      </c>
      <c r="D132" s="66">
        <v>31000</v>
      </c>
      <c r="E132" s="258" t="s">
        <v>1149</v>
      </c>
    </row>
    <row r="133" spans="1:6">
      <c r="A133" s="61">
        <v>46139</v>
      </c>
      <c r="B133" s="69" t="s">
        <v>152</v>
      </c>
      <c r="C133" s="72" t="s">
        <v>169</v>
      </c>
      <c r="D133" s="66">
        <v>9979.2800000000007</v>
      </c>
      <c r="E133" s="258" t="s">
        <v>1149</v>
      </c>
    </row>
    <row r="134" spans="1:6">
      <c r="A134" s="61">
        <v>46139</v>
      </c>
      <c r="B134" s="67" t="s">
        <v>152</v>
      </c>
      <c r="C134" s="72" t="s">
        <v>147</v>
      </c>
      <c r="D134" s="68">
        <v>3500</v>
      </c>
      <c r="E134" s="258" t="s">
        <v>1149</v>
      </c>
    </row>
    <row r="135" spans="1:6">
      <c r="A135" s="61">
        <v>46139</v>
      </c>
      <c r="B135" s="67" t="s">
        <v>127</v>
      </c>
      <c r="C135" s="72" t="s">
        <v>128</v>
      </c>
      <c r="D135" s="68">
        <v>3.62</v>
      </c>
      <c r="E135" s="258" t="s">
        <v>1149</v>
      </c>
    </row>
    <row r="136" spans="1:6">
      <c r="A136" s="61">
        <v>46140</v>
      </c>
      <c r="B136" s="70" t="s">
        <v>763</v>
      </c>
      <c r="C136" s="65" t="s">
        <v>763</v>
      </c>
      <c r="D136" s="68">
        <v>25000</v>
      </c>
      <c r="E136" s="258" t="s">
        <v>1149</v>
      </c>
    </row>
    <row r="137" spans="1:6">
      <c r="A137" s="61">
        <v>46140</v>
      </c>
      <c r="B137" s="67" t="s">
        <v>127</v>
      </c>
      <c r="C137" s="72" t="s">
        <v>128</v>
      </c>
      <c r="D137" s="68">
        <v>3.62</v>
      </c>
      <c r="E137" s="258" t="s">
        <v>1149</v>
      </c>
    </row>
    <row r="138" spans="1:6">
      <c r="A138" s="61">
        <v>46141</v>
      </c>
      <c r="B138" s="67" t="s">
        <v>127</v>
      </c>
      <c r="C138" s="72" t="s">
        <v>128</v>
      </c>
      <c r="D138" s="68">
        <v>1.81</v>
      </c>
      <c r="E138" s="258" t="s">
        <v>1149</v>
      </c>
    </row>
    <row r="139" spans="1:6">
      <c r="A139" s="61">
        <v>46142</v>
      </c>
      <c r="B139" s="67" t="s">
        <v>171</v>
      </c>
      <c r="C139" s="72" t="s">
        <v>169</v>
      </c>
      <c r="D139" s="68">
        <v>801.6</v>
      </c>
      <c r="E139" s="258" t="s">
        <v>1149</v>
      </c>
    </row>
    <row r="140" spans="1:6">
      <c r="A140" s="61">
        <v>46142</v>
      </c>
      <c r="B140" s="69" t="s">
        <v>1165</v>
      </c>
      <c r="C140" s="72" t="s">
        <v>169</v>
      </c>
      <c r="D140" s="66">
        <v>1100</v>
      </c>
      <c r="E140" s="258" t="s">
        <v>1149</v>
      </c>
    </row>
    <row r="141" spans="1:6">
      <c r="A141" s="61">
        <v>46142</v>
      </c>
      <c r="B141" s="67" t="s">
        <v>158</v>
      </c>
      <c r="C141" s="72" t="s">
        <v>169</v>
      </c>
      <c r="D141" s="68">
        <v>100</v>
      </c>
      <c r="E141" s="258" t="s">
        <v>1149</v>
      </c>
    </row>
    <row r="142" spans="1:6">
      <c r="A142" s="61">
        <v>46142</v>
      </c>
      <c r="B142" s="67" t="s">
        <v>1166</v>
      </c>
      <c r="C142" s="72" t="s">
        <v>1167</v>
      </c>
      <c r="D142" s="66">
        <v>47.71</v>
      </c>
      <c r="E142" s="258" t="s">
        <v>1149</v>
      </c>
      <c r="F142" s="273">
        <f>SUM(D102:D142)</f>
        <v>108035.78</v>
      </c>
    </row>
    <row r="143" spans="1:6">
      <c r="A143" s="61">
        <v>46146</v>
      </c>
      <c r="B143" s="67" t="s">
        <v>129</v>
      </c>
      <c r="C143" s="63" t="s">
        <v>130</v>
      </c>
      <c r="D143" s="68">
        <v>1900</v>
      </c>
      <c r="E143" t="s">
        <v>1932</v>
      </c>
    </row>
    <row r="144" spans="1:6">
      <c r="A144" s="61">
        <v>46146</v>
      </c>
      <c r="B144" s="62" t="s">
        <v>161</v>
      </c>
      <c r="C144" s="63" t="s">
        <v>130</v>
      </c>
      <c r="D144" s="64">
        <v>1310</v>
      </c>
      <c r="E144" t="s">
        <v>1932</v>
      </c>
    </row>
    <row r="145" spans="1:5">
      <c r="A145" s="61">
        <v>46146</v>
      </c>
      <c r="B145" s="65" t="s">
        <v>123</v>
      </c>
      <c r="C145" s="65" t="s">
        <v>173</v>
      </c>
      <c r="D145" s="66">
        <v>3117.76</v>
      </c>
      <c r="E145" t="s">
        <v>1932</v>
      </c>
    </row>
    <row r="146" spans="1:5">
      <c r="A146" s="61">
        <v>46146</v>
      </c>
      <c r="B146" s="62" t="s">
        <v>122</v>
      </c>
      <c r="C146" s="63" t="s">
        <v>173</v>
      </c>
      <c r="D146" s="64">
        <v>109.79</v>
      </c>
      <c r="E146" t="s">
        <v>1932</v>
      </c>
    </row>
    <row r="147" spans="1:5">
      <c r="A147" s="61">
        <v>46146</v>
      </c>
      <c r="B147" s="69" t="s">
        <v>127</v>
      </c>
      <c r="C147" s="63" t="s">
        <v>128</v>
      </c>
      <c r="D147" s="66">
        <v>3.62</v>
      </c>
      <c r="E147" t="s">
        <v>1932</v>
      </c>
    </row>
    <row r="148" spans="1:5">
      <c r="A148" s="61">
        <v>46146</v>
      </c>
      <c r="B148" s="62" t="s">
        <v>146</v>
      </c>
      <c r="C148" s="63" t="s">
        <v>147</v>
      </c>
      <c r="D148" s="64">
        <v>1000</v>
      </c>
      <c r="E148" t="s">
        <v>1932</v>
      </c>
    </row>
    <row r="149" spans="1:5">
      <c r="A149" s="61">
        <v>46147</v>
      </c>
      <c r="B149" s="62" t="s">
        <v>1933</v>
      </c>
      <c r="C149" s="63" t="s">
        <v>128</v>
      </c>
      <c r="D149" s="64">
        <v>107.13</v>
      </c>
      <c r="E149" t="s">
        <v>1932</v>
      </c>
    </row>
    <row r="150" spans="1:5">
      <c r="A150" s="61">
        <v>46148</v>
      </c>
      <c r="B150" s="62" t="s">
        <v>127</v>
      </c>
      <c r="C150" s="63" t="s">
        <v>128</v>
      </c>
      <c r="D150" s="64">
        <v>1.81</v>
      </c>
      <c r="E150" t="s">
        <v>1932</v>
      </c>
    </row>
    <row r="151" spans="1:5">
      <c r="A151" s="61">
        <v>46149</v>
      </c>
      <c r="B151" s="62" t="s">
        <v>793</v>
      </c>
      <c r="C151" s="63" t="s">
        <v>132</v>
      </c>
      <c r="D151" s="64">
        <v>1494.8</v>
      </c>
      <c r="E151" t="s">
        <v>1932</v>
      </c>
    </row>
    <row r="152" spans="1:5">
      <c r="A152" s="61">
        <v>46149</v>
      </c>
      <c r="B152" s="70" t="s">
        <v>794</v>
      </c>
      <c r="C152" s="63" t="s">
        <v>132</v>
      </c>
      <c r="D152" s="68">
        <v>1494.8</v>
      </c>
      <c r="E152" t="s">
        <v>1932</v>
      </c>
    </row>
    <row r="153" spans="1:5">
      <c r="A153" s="61">
        <v>46149</v>
      </c>
      <c r="B153" s="70" t="s">
        <v>1934</v>
      </c>
      <c r="C153" s="63" t="s">
        <v>132</v>
      </c>
      <c r="D153" s="68">
        <v>2502.96</v>
      </c>
      <c r="E153" t="s">
        <v>1932</v>
      </c>
    </row>
    <row r="154" spans="1:5">
      <c r="A154" s="61">
        <v>46149</v>
      </c>
      <c r="B154" s="70" t="s">
        <v>172</v>
      </c>
      <c r="C154" s="63" t="s">
        <v>132</v>
      </c>
      <c r="D154" s="68">
        <v>1000</v>
      </c>
      <c r="E154" t="s">
        <v>1932</v>
      </c>
    </row>
    <row r="155" spans="1:5">
      <c r="A155" s="61">
        <v>46149</v>
      </c>
      <c r="B155" s="62" t="s">
        <v>127</v>
      </c>
      <c r="C155" s="63" t="s">
        <v>128</v>
      </c>
      <c r="D155" s="64">
        <v>1.81</v>
      </c>
      <c r="E155" t="s">
        <v>1932</v>
      </c>
    </row>
    <row r="156" spans="1:5">
      <c r="A156" s="61">
        <v>46150</v>
      </c>
      <c r="B156" s="71" t="s">
        <v>1935</v>
      </c>
      <c r="C156" s="72" t="s">
        <v>132</v>
      </c>
      <c r="D156" s="68">
        <v>1300</v>
      </c>
      <c r="E156" t="s">
        <v>1932</v>
      </c>
    </row>
    <row r="157" spans="1:5">
      <c r="A157" s="61">
        <v>46153</v>
      </c>
      <c r="B157" s="67" t="s">
        <v>127</v>
      </c>
      <c r="C157" s="72" t="s">
        <v>128</v>
      </c>
      <c r="D157" s="68">
        <v>1.81</v>
      </c>
      <c r="E157" t="s">
        <v>1932</v>
      </c>
    </row>
    <row r="158" spans="1:5">
      <c r="A158" s="61">
        <v>46154</v>
      </c>
      <c r="B158" s="67" t="s">
        <v>1164</v>
      </c>
      <c r="C158" s="72" t="s">
        <v>110</v>
      </c>
      <c r="D158" s="68">
        <v>4855</v>
      </c>
      <c r="E158" t="s">
        <v>1932</v>
      </c>
    </row>
    <row r="159" spans="1:5">
      <c r="A159" s="61">
        <v>46154</v>
      </c>
      <c r="B159" s="67" t="s">
        <v>1936</v>
      </c>
      <c r="C159" s="72" t="s">
        <v>143</v>
      </c>
      <c r="D159" s="68">
        <v>180</v>
      </c>
      <c r="E159" t="s">
        <v>1932</v>
      </c>
    </row>
    <row r="160" spans="1:5">
      <c r="A160" s="61">
        <v>46155</v>
      </c>
      <c r="B160" s="67" t="s">
        <v>1937</v>
      </c>
      <c r="C160" s="72" t="s">
        <v>173</v>
      </c>
      <c r="D160" s="68">
        <v>3700.52</v>
      </c>
      <c r="E160" t="s">
        <v>1932</v>
      </c>
    </row>
    <row r="161" spans="1:5">
      <c r="A161" s="61">
        <v>46155</v>
      </c>
      <c r="B161" s="62" t="s">
        <v>1938</v>
      </c>
      <c r="C161" s="63" t="s">
        <v>126</v>
      </c>
      <c r="D161" s="64">
        <v>3200</v>
      </c>
      <c r="E161" t="s">
        <v>1932</v>
      </c>
    </row>
    <row r="162" spans="1:5">
      <c r="A162" s="61">
        <v>46156</v>
      </c>
      <c r="B162" s="69" t="s">
        <v>127</v>
      </c>
      <c r="C162" s="72" t="s">
        <v>128</v>
      </c>
      <c r="D162" s="66">
        <v>1.81</v>
      </c>
      <c r="E162" t="s">
        <v>1932</v>
      </c>
    </row>
    <row r="163" spans="1:5">
      <c r="A163" s="61">
        <v>46157</v>
      </c>
      <c r="B163" s="67" t="s">
        <v>167</v>
      </c>
      <c r="C163" s="72" t="s">
        <v>1939</v>
      </c>
      <c r="D163" s="68">
        <v>612</v>
      </c>
      <c r="E163" t="s">
        <v>1932</v>
      </c>
    </row>
    <row r="164" spans="1:5">
      <c r="A164" s="61">
        <v>46160</v>
      </c>
      <c r="B164" s="67" t="s">
        <v>1940</v>
      </c>
      <c r="C164" s="72" t="s">
        <v>1941</v>
      </c>
      <c r="D164" s="68">
        <v>1500</v>
      </c>
      <c r="E164" t="s">
        <v>1932</v>
      </c>
    </row>
    <row r="165" spans="1:5">
      <c r="A165" s="61">
        <v>46160</v>
      </c>
      <c r="B165" s="62" t="s">
        <v>168</v>
      </c>
      <c r="C165" s="63" t="s">
        <v>169</v>
      </c>
      <c r="D165" s="64">
        <v>1190</v>
      </c>
      <c r="E165" t="s">
        <v>1932</v>
      </c>
    </row>
    <row r="166" spans="1:5">
      <c r="A166" s="61">
        <v>46160</v>
      </c>
      <c r="B166" s="62" t="s">
        <v>129</v>
      </c>
      <c r="C166" s="63" t="s">
        <v>130</v>
      </c>
      <c r="D166" s="64">
        <v>1900</v>
      </c>
      <c r="E166" t="s">
        <v>1932</v>
      </c>
    </row>
    <row r="167" spans="1:5">
      <c r="A167" s="61">
        <v>46160</v>
      </c>
      <c r="B167" s="62" t="s">
        <v>158</v>
      </c>
      <c r="C167" s="63" t="s">
        <v>1941</v>
      </c>
      <c r="D167" s="64">
        <v>1900</v>
      </c>
      <c r="E167" t="s">
        <v>1932</v>
      </c>
    </row>
    <row r="168" spans="1:5">
      <c r="A168" s="61">
        <v>46160</v>
      </c>
      <c r="B168" s="62" t="s">
        <v>127</v>
      </c>
      <c r="C168" s="63" t="s">
        <v>128</v>
      </c>
      <c r="D168" s="64">
        <v>5.43</v>
      </c>
      <c r="E168" t="s">
        <v>1932</v>
      </c>
    </row>
    <row r="169" spans="1:5">
      <c r="A169" s="61">
        <v>46162</v>
      </c>
      <c r="B169" s="67" t="s">
        <v>148</v>
      </c>
      <c r="C169" s="72" t="s">
        <v>149</v>
      </c>
      <c r="D169" s="68">
        <v>6709.23</v>
      </c>
      <c r="E169" t="s">
        <v>1932</v>
      </c>
    </row>
    <row r="170" spans="1:5">
      <c r="A170" s="61">
        <v>46162</v>
      </c>
      <c r="B170" s="69" t="s">
        <v>171</v>
      </c>
      <c r="C170" s="72"/>
      <c r="D170" s="66">
        <v>331.9</v>
      </c>
      <c r="E170" t="s">
        <v>1932</v>
      </c>
    </row>
    <row r="171" spans="1:5">
      <c r="A171" s="61">
        <v>46162</v>
      </c>
      <c r="B171" s="67" t="s">
        <v>794</v>
      </c>
      <c r="C171" s="72" t="s">
        <v>132</v>
      </c>
      <c r="D171" s="68">
        <v>855</v>
      </c>
      <c r="E171" t="s">
        <v>1932</v>
      </c>
    </row>
    <row r="172" spans="1:5">
      <c r="A172" s="61">
        <v>46162</v>
      </c>
      <c r="B172" s="69" t="s">
        <v>793</v>
      </c>
      <c r="C172" s="72" t="s">
        <v>132</v>
      </c>
      <c r="D172" s="66">
        <v>855</v>
      </c>
      <c r="E172" t="s">
        <v>1932</v>
      </c>
    </row>
    <row r="173" spans="1:5">
      <c r="A173" s="61">
        <v>46162</v>
      </c>
      <c r="B173" s="69" t="s">
        <v>1938</v>
      </c>
      <c r="C173" s="72" t="s">
        <v>147</v>
      </c>
      <c r="D173" s="66">
        <v>7000</v>
      </c>
      <c r="E173" t="s">
        <v>1932</v>
      </c>
    </row>
    <row r="174" spans="1:5">
      <c r="A174" s="61">
        <v>46167</v>
      </c>
      <c r="B174" s="67" t="s">
        <v>170</v>
      </c>
      <c r="C174" s="72" t="s">
        <v>1939</v>
      </c>
      <c r="D174" s="68">
        <v>9323.0400000000009</v>
      </c>
      <c r="E174" t="s">
        <v>1932</v>
      </c>
    </row>
    <row r="175" spans="1:5">
      <c r="A175" s="61">
        <v>46167</v>
      </c>
      <c r="B175" s="67" t="s">
        <v>170</v>
      </c>
      <c r="C175" s="72" t="s">
        <v>147</v>
      </c>
      <c r="D175" s="68">
        <v>3548.24</v>
      </c>
      <c r="E175" t="s">
        <v>1932</v>
      </c>
    </row>
    <row r="176" spans="1:5">
      <c r="A176" s="61">
        <v>46168</v>
      </c>
      <c r="B176" s="67" t="s">
        <v>127</v>
      </c>
      <c r="C176" s="72" t="s">
        <v>128</v>
      </c>
      <c r="D176" s="68">
        <v>1.81</v>
      </c>
      <c r="E176" t="s">
        <v>1932</v>
      </c>
    </row>
    <row r="177" spans="1:5" ht="30">
      <c r="A177" s="61">
        <v>46170</v>
      </c>
      <c r="B177" s="70" t="s">
        <v>129</v>
      </c>
      <c r="C177" s="65" t="s">
        <v>130</v>
      </c>
      <c r="D177" s="68">
        <v>3723.1</v>
      </c>
      <c r="E177" t="s">
        <v>1932</v>
      </c>
    </row>
    <row r="178" spans="1:5">
      <c r="A178" s="61">
        <v>46170</v>
      </c>
      <c r="B178" s="67" t="s">
        <v>161</v>
      </c>
      <c r="C178" s="72" t="s">
        <v>130</v>
      </c>
      <c r="D178" s="68">
        <v>1834</v>
      </c>
      <c r="E178" t="s">
        <v>1932</v>
      </c>
    </row>
    <row r="179" spans="1:5">
      <c r="A179" s="61">
        <v>46170</v>
      </c>
      <c r="B179" s="67" t="s">
        <v>171</v>
      </c>
      <c r="C179" s="72" t="s">
        <v>169</v>
      </c>
      <c r="D179" s="68">
        <v>551.49</v>
      </c>
      <c r="E179" t="s">
        <v>1932</v>
      </c>
    </row>
    <row r="180" spans="1:5">
      <c r="A180" s="61">
        <v>46170</v>
      </c>
      <c r="B180" s="67" t="s">
        <v>127</v>
      </c>
      <c r="C180" s="72" t="s">
        <v>128</v>
      </c>
      <c r="D180" s="68">
        <v>1.81</v>
      </c>
      <c r="E180" t="s">
        <v>1932</v>
      </c>
    </row>
    <row r="181" spans="1:5">
      <c r="A181" s="61">
        <v>46171</v>
      </c>
      <c r="B181" s="69" t="s">
        <v>168</v>
      </c>
      <c r="C181" s="72" t="s">
        <v>169</v>
      </c>
      <c r="D181" s="66">
        <v>1520</v>
      </c>
      <c r="E181" t="s">
        <v>1932</v>
      </c>
    </row>
    <row r="182" spans="1:5">
      <c r="A182" s="61">
        <v>46174</v>
      </c>
      <c r="B182" s="67" t="s">
        <v>129</v>
      </c>
      <c r="C182" s="63" t="s">
        <v>130</v>
      </c>
      <c r="D182" s="68">
        <v>1900</v>
      </c>
      <c r="E182" t="s">
        <v>1977</v>
      </c>
    </row>
    <row r="183" spans="1:5">
      <c r="A183" s="61">
        <v>46174</v>
      </c>
      <c r="B183" s="62" t="s">
        <v>1348</v>
      </c>
      <c r="C183" s="63" t="s">
        <v>128</v>
      </c>
      <c r="D183" s="64">
        <v>3.62</v>
      </c>
      <c r="E183" t="s">
        <v>1977</v>
      </c>
    </row>
    <row r="184" spans="1:5">
      <c r="A184" s="61">
        <v>46175</v>
      </c>
      <c r="B184" s="65" t="s">
        <v>1978</v>
      </c>
      <c r="C184" s="65" t="s">
        <v>1566</v>
      </c>
      <c r="D184" s="66">
        <v>2822.54</v>
      </c>
      <c r="E184" t="s">
        <v>1977</v>
      </c>
    </row>
    <row r="185" spans="1:5">
      <c r="A185" s="61">
        <v>46175</v>
      </c>
      <c r="B185" s="62" t="s">
        <v>122</v>
      </c>
      <c r="C185" s="63" t="s">
        <v>1566</v>
      </c>
      <c r="D185" s="64">
        <v>109.79</v>
      </c>
      <c r="E185" t="s">
        <v>1977</v>
      </c>
    </row>
    <row r="186" spans="1:5">
      <c r="A186" s="61">
        <v>46175</v>
      </c>
      <c r="B186" s="69" t="s">
        <v>146</v>
      </c>
      <c r="C186" s="63" t="s">
        <v>1979</v>
      </c>
      <c r="D186" s="66">
        <v>5000</v>
      </c>
      <c r="E186" t="s">
        <v>1977</v>
      </c>
    </row>
    <row r="187" spans="1:5">
      <c r="A187" s="61">
        <v>46176</v>
      </c>
      <c r="B187" s="62" t="s">
        <v>793</v>
      </c>
      <c r="C187" s="63" t="s">
        <v>132</v>
      </c>
      <c r="D187" s="64">
        <v>1484.4</v>
      </c>
      <c r="E187" t="s">
        <v>1977</v>
      </c>
    </row>
    <row r="188" spans="1:5">
      <c r="A188" s="61">
        <v>46176</v>
      </c>
      <c r="B188" s="62" t="s">
        <v>794</v>
      </c>
      <c r="C188" s="63" t="s">
        <v>132</v>
      </c>
      <c r="D188" s="64">
        <v>1484.4</v>
      </c>
      <c r="E188" t="s">
        <v>1977</v>
      </c>
    </row>
    <row r="189" spans="1:5">
      <c r="A189" s="61">
        <v>46176</v>
      </c>
      <c r="B189" s="62" t="s">
        <v>1160</v>
      </c>
      <c r="C189" s="63" t="s">
        <v>132</v>
      </c>
      <c r="D189" s="64">
        <v>552.72</v>
      </c>
      <c r="E189" t="s">
        <v>1977</v>
      </c>
    </row>
    <row r="190" spans="1:5">
      <c r="A190" s="61">
        <v>46178</v>
      </c>
      <c r="B190" s="62" t="s">
        <v>1348</v>
      </c>
      <c r="C190" s="63" t="s">
        <v>128</v>
      </c>
      <c r="D190" s="64">
        <v>7.24</v>
      </c>
      <c r="E190" t="s">
        <v>1977</v>
      </c>
    </row>
    <row r="191" spans="1:5">
      <c r="A191" s="61">
        <v>46181</v>
      </c>
      <c r="B191" s="62" t="s">
        <v>129</v>
      </c>
      <c r="C191" s="63" t="s">
        <v>130</v>
      </c>
      <c r="D191" s="64">
        <v>2516</v>
      </c>
      <c r="E191" t="s">
        <v>1977</v>
      </c>
    </row>
    <row r="192" spans="1:5">
      <c r="A192" s="61">
        <v>46181</v>
      </c>
      <c r="B192" s="62" t="s">
        <v>1348</v>
      </c>
      <c r="C192" s="63" t="s">
        <v>128</v>
      </c>
      <c r="D192" s="64">
        <v>5.43</v>
      </c>
      <c r="E192" t="s">
        <v>1977</v>
      </c>
    </row>
    <row r="193" spans="1:5">
      <c r="A193" s="61">
        <v>46182</v>
      </c>
      <c r="B193" s="62" t="s">
        <v>1980</v>
      </c>
      <c r="C193" s="63" t="s">
        <v>130</v>
      </c>
      <c r="D193" s="64">
        <v>5741</v>
      </c>
      <c r="E193" t="s">
        <v>1977</v>
      </c>
    </row>
    <row r="194" spans="1:5">
      <c r="A194" s="61">
        <v>46183</v>
      </c>
      <c r="B194" s="62" t="s">
        <v>1348</v>
      </c>
      <c r="C194" s="63" t="s">
        <v>128</v>
      </c>
      <c r="D194" s="64">
        <v>1.81</v>
      </c>
      <c r="E194" t="s">
        <v>1977</v>
      </c>
    </row>
    <row r="195" spans="1:5">
      <c r="A195" s="61">
        <v>46184</v>
      </c>
      <c r="B195" s="70" t="s">
        <v>171</v>
      </c>
      <c r="C195" s="63" t="s">
        <v>169</v>
      </c>
      <c r="D195" s="68">
        <v>1167.25</v>
      </c>
      <c r="E195" t="s">
        <v>1977</v>
      </c>
    </row>
    <row r="196" spans="1:5">
      <c r="A196" s="61">
        <v>46184</v>
      </c>
      <c r="B196" s="62" t="s">
        <v>161</v>
      </c>
      <c r="C196" s="63" t="s">
        <v>130</v>
      </c>
      <c r="D196" s="64">
        <v>1834</v>
      </c>
      <c r="E196" t="s">
        <v>1977</v>
      </c>
    </row>
    <row r="197" spans="1:5">
      <c r="A197" s="61">
        <v>46185</v>
      </c>
      <c r="B197" s="71" t="s">
        <v>129</v>
      </c>
      <c r="C197" s="72" t="s">
        <v>130</v>
      </c>
      <c r="D197" s="68">
        <v>3723.63</v>
      </c>
      <c r="E197" t="s">
        <v>1977</v>
      </c>
    </row>
    <row r="198" spans="1:5">
      <c r="A198" s="61">
        <v>46185</v>
      </c>
      <c r="B198" s="71" t="s">
        <v>1348</v>
      </c>
      <c r="C198" s="72" t="s">
        <v>128</v>
      </c>
      <c r="D198" s="68">
        <v>3.62</v>
      </c>
      <c r="E198" t="s">
        <v>1977</v>
      </c>
    </row>
    <row r="199" spans="1:5">
      <c r="A199" s="61">
        <v>46188</v>
      </c>
      <c r="B199" s="67" t="s">
        <v>1981</v>
      </c>
      <c r="C199" s="72" t="s">
        <v>1566</v>
      </c>
      <c r="D199" s="68">
        <v>3744.24</v>
      </c>
      <c r="E199" t="s">
        <v>1977</v>
      </c>
    </row>
    <row r="200" spans="1:5">
      <c r="A200" s="61">
        <v>46188</v>
      </c>
      <c r="B200" s="67" t="s">
        <v>144</v>
      </c>
      <c r="C200" s="72" t="s">
        <v>145</v>
      </c>
      <c r="D200" s="68">
        <v>612</v>
      </c>
      <c r="E200" t="s">
        <v>1977</v>
      </c>
    </row>
    <row r="201" spans="1:5">
      <c r="A201" s="61">
        <v>46188</v>
      </c>
      <c r="B201" s="67" t="s">
        <v>1348</v>
      </c>
      <c r="C201" s="72" t="s">
        <v>128</v>
      </c>
      <c r="D201" s="68">
        <v>1.81</v>
      </c>
      <c r="E201" t="s">
        <v>1977</v>
      </c>
    </row>
    <row r="202" spans="1:5">
      <c r="A202" s="61">
        <v>46189</v>
      </c>
      <c r="B202" s="67" t="s">
        <v>1348</v>
      </c>
      <c r="C202" s="72" t="s">
        <v>128</v>
      </c>
      <c r="D202" s="68">
        <v>1.81</v>
      </c>
      <c r="E202" t="s">
        <v>1977</v>
      </c>
    </row>
    <row r="203" spans="1:5">
      <c r="A203" s="61">
        <v>46189</v>
      </c>
      <c r="B203" s="67" t="s">
        <v>161</v>
      </c>
      <c r="C203" s="72" t="s">
        <v>130</v>
      </c>
      <c r="D203" s="68">
        <v>786</v>
      </c>
      <c r="E203" t="s">
        <v>1977</v>
      </c>
    </row>
    <row r="204" spans="1:5">
      <c r="A204" s="61">
        <v>46189</v>
      </c>
      <c r="B204" s="67" t="s">
        <v>793</v>
      </c>
      <c r="C204" s="72" t="s">
        <v>132</v>
      </c>
      <c r="D204" s="68">
        <v>200</v>
      </c>
      <c r="E204" t="s">
        <v>1977</v>
      </c>
    </row>
    <row r="205" spans="1:5">
      <c r="A205" s="61">
        <v>46189</v>
      </c>
      <c r="B205" s="67" t="s">
        <v>168</v>
      </c>
      <c r="C205" s="72" t="s">
        <v>169</v>
      </c>
      <c r="D205" s="68">
        <v>1000</v>
      </c>
      <c r="E205" t="s">
        <v>1977</v>
      </c>
    </row>
    <row r="206" spans="1:5">
      <c r="A206" s="61">
        <v>46190</v>
      </c>
      <c r="B206" s="67" t="s">
        <v>1348</v>
      </c>
      <c r="C206" s="72" t="s">
        <v>128</v>
      </c>
      <c r="D206" s="68">
        <v>3.62</v>
      </c>
      <c r="E206" t="s">
        <v>1977</v>
      </c>
    </row>
    <row r="207" spans="1:5">
      <c r="A207" s="61">
        <v>46191</v>
      </c>
      <c r="B207" s="67" t="s">
        <v>1348</v>
      </c>
      <c r="C207" s="72" t="s">
        <v>128</v>
      </c>
      <c r="D207" s="68">
        <v>3.62</v>
      </c>
      <c r="E207" t="s">
        <v>1977</v>
      </c>
    </row>
    <row r="208" spans="1:5">
      <c r="A208" s="61">
        <v>46191</v>
      </c>
      <c r="B208" s="67" t="s">
        <v>171</v>
      </c>
      <c r="C208" s="72" t="s">
        <v>169</v>
      </c>
      <c r="D208" s="68">
        <v>360.08</v>
      </c>
      <c r="E208" t="s">
        <v>1977</v>
      </c>
    </row>
    <row r="209" spans="1:5">
      <c r="A209" s="61">
        <v>46195</v>
      </c>
      <c r="B209" s="62" t="s">
        <v>160</v>
      </c>
      <c r="C209" s="63" t="s">
        <v>130</v>
      </c>
      <c r="D209" s="64">
        <v>764.49</v>
      </c>
      <c r="E209" t="s">
        <v>1977</v>
      </c>
    </row>
    <row r="210" spans="1:5">
      <c r="A210" s="61">
        <v>46195</v>
      </c>
      <c r="B210" s="69" t="s">
        <v>129</v>
      </c>
      <c r="C210" s="72" t="s">
        <v>130</v>
      </c>
      <c r="D210" s="66">
        <v>2516</v>
      </c>
      <c r="E210" t="s">
        <v>1977</v>
      </c>
    </row>
    <row r="211" spans="1:5">
      <c r="A211" s="61">
        <v>46195</v>
      </c>
      <c r="B211" s="67" t="s">
        <v>148</v>
      </c>
      <c r="C211" s="72" t="s">
        <v>149</v>
      </c>
      <c r="D211" s="68">
        <v>5684.18</v>
      </c>
      <c r="E211" t="s">
        <v>1977</v>
      </c>
    </row>
    <row r="212" spans="1:5">
      <c r="A212" s="61">
        <v>46195</v>
      </c>
      <c r="B212" s="67" t="s">
        <v>1348</v>
      </c>
      <c r="C212" s="72" t="s">
        <v>128</v>
      </c>
      <c r="D212" s="68">
        <v>5.43</v>
      </c>
      <c r="E212" t="s">
        <v>1977</v>
      </c>
    </row>
    <row r="213" spans="1:5">
      <c r="A213" s="61">
        <v>46197</v>
      </c>
      <c r="B213" s="67" t="s">
        <v>1348</v>
      </c>
      <c r="C213" s="72" t="s">
        <v>128</v>
      </c>
      <c r="D213" s="68">
        <v>3.62</v>
      </c>
      <c r="E213" t="s">
        <v>1977</v>
      </c>
    </row>
    <row r="214" spans="1:5">
      <c r="A214" s="61">
        <v>46198</v>
      </c>
      <c r="B214" s="67" t="s">
        <v>1348</v>
      </c>
      <c r="C214" s="72" t="s">
        <v>128</v>
      </c>
      <c r="D214" s="68">
        <v>3.62</v>
      </c>
      <c r="E214" t="s">
        <v>1977</v>
      </c>
    </row>
    <row r="215" spans="1:5">
      <c r="A215" s="61">
        <v>46198</v>
      </c>
      <c r="B215" s="62" t="s">
        <v>1982</v>
      </c>
      <c r="C215" s="63" t="s">
        <v>145</v>
      </c>
      <c r="D215" s="64">
        <v>10221.950000000001</v>
      </c>
      <c r="E215" t="s">
        <v>1977</v>
      </c>
    </row>
    <row r="216" spans="1:5">
      <c r="A216" s="61">
        <v>46198</v>
      </c>
      <c r="B216" s="62" t="s">
        <v>126</v>
      </c>
      <c r="C216" s="63" t="s">
        <v>126</v>
      </c>
      <c r="D216" s="64">
        <v>10500</v>
      </c>
      <c r="E216" t="s">
        <v>1977</v>
      </c>
    </row>
    <row r="217" spans="1:5">
      <c r="A217" s="61">
        <v>46199</v>
      </c>
      <c r="B217" s="67" t="s">
        <v>1348</v>
      </c>
      <c r="C217" s="72" t="s">
        <v>128</v>
      </c>
      <c r="D217" s="68">
        <v>5.43</v>
      </c>
      <c r="E217" t="s">
        <v>1977</v>
      </c>
    </row>
    <row r="218" spans="1:5">
      <c r="A218" s="61">
        <v>46199</v>
      </c>
      <c r="B218" s="69" t="s">
        <v>146</v>
      </c>
      <c r="C218" s="72" t="s">
        <v>1979</v>
      </c>
      <c r="D218" s="66">
        <v>1000</v>
      </c>
      <c r="E218" t="s">
        <v>1977</v>
      </c>
    </row>
    <row r="219" spans="1:5">
      <c r="A219" s="61">
        <v>46202</v>
      </c>
      <c r="B219" s="67" t="s">
        <v>129</v>
      </c>
      <c r="C219" s="72" t="s">
        <v>130</v>
      </c>
      <c r="D219" s="68">
        <v>3723.1</v>
      </c>
      <c r="E219" t="s">
        <v>1977</v>
      </c>
    </row>
    <row r="220" spans="1:5">
      <c r="A220" s="61">
        <v>46202</v>
      </c>
      <c r="B220" s="69" t="s">
        <v>716</v>
      </c>
      <c r="C220" s="72" t="s">
        <v>130</v>
      </c>
      <c r="D220" s="66">
        <v>1497.9</v>
      </c>
      <c r="E220" t="s">
        <v>1977</v>
      </c>
    </row>
    <row r="221" spans="1:5">
      <c r="A221" s="61">
        <v>46202</v>
      </c>
      <c r="B221" s="69" t="s">
        <v>1980</v>
      </c>
      <c r="C221" s="72" t="s">
        <v>130</v>
      </c>
      <c r="D221" s="66">
        <v>5741</v>
      </c>
      <c r="E221" t="s">
        <v>1977</v>
      </c>
    </row>
    <row r="222" spans="1:5">
      <c r="A222" s="61">
        <v>46202</v>
      </c>
      <c r="B222" s="67" t="s">
        <v>1348</v>
      </c>
      <c r="C222" s="72" t="s">
        <v>128</v>
      </c>
      <c r="D222" s="68">
        <v>5.43</v>
      </c>
      <c r="E222" t="s">
        <v>1977</v>
      </c>
    </row>
    <row r="223" spans="1:5">
      <c r="A223" s="61">
        <v>46203</v>
      </c>
      <c r="B223" s="67" t="s">
        <v>161</v>
      </c>
      <c r="C223" s="72" t="s">
        <v>130</v>
      </c>
      <c r="D223" s="68">
        <v>786</v>
      </c>
      <c r="E223" t="s">
        <v>1977</v>
      </c>
    </row>
    <row r="224" spans="1:5">
      <c r="D224" s="273"/>
    </row>
    <row r="225" spans="4:4">
      <c r="D225" s="273"/>
    </row>
  </sheetData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8372B-D7B2-4C36-AD6E-3956AD95718F}">
  <dimension ref="A1:E26"/>
  <sheetViews>
    <sheetView topLeftCell="A3" workbookViewId="0">
      <selection activeCell="D27" sqref="D27"/>
    </sheetView>
  </sheetViews>
  <sheetFormatPr defaultRowHeight="15"/>
  <cols>
    <col min="1" max="1" width="10.7109375" bestFit="1" customWidth="1"/>
    <col min="4" max="4" width="13.7109375" bestFit="1" customWidth="1"/>
  </cols>
  <sheetData>
    <row r="1" spans="1:5" ht="26.25">
      <c r="A1" s="84" t="s">
        <v>184</v>
      </c>
      <c r="B1" s="85" t="s">
        <v>185</v>
      </c>
      <c r="C1" s="86" t="s">
        <v>186</v>
      </c>
      <c r="D1" s="87" t="s">
        <v>187</v>
      </c>
    </row>
    <row r="2" spans="1:5">
      <c r="A2" s="88">
        <v>46031</v>
      </c>
      <c r="B2" s="89">
        <v>75376</v>
      </c>
      <c r="C2" s="90" t="s">
        <v>129</v>
      </c>
      <c r="D2" s="91">
        <v>3800</v>
      </c>
      <c r="E2" t="s">
        <v>188</v>
      </c>
    </row>
    <row r="3" spans="1:5">
      <c r="A3" s="88">
        <v>46034</v>
      </c>
      <c r="B3" s="89">
        <v>302</v>
      </c>
      <c r="C3" s="90" t="s">
        <v>160</v>
      </c>
      <c r="D3" s="91">
        <v>3363.76</v>
      </c>
      <c r="E3" t="s">
        <v>188</v>
      </c>
    </row>
    <row r="4" spans="1:5">
      <c r="A4" s="88">
        <v>46043</v>
      </c>
      <c r="B4" s="89">
        <v>1</v>
      </c>
      <c r="C4" s="90" t="s">
        <v>189</v>
      </c>
      <c r="D4" s="91">
        <v>4295.5</v>
      </c>
      <c r="E4" t="s">
        <v>188</v>
      </c>
    </row>
    <row r="5" spans="1:5">
      <c r="A5" s="184">
        <v>46059</v>
      </c>
      <c r="B5" s="103">
        <v>1</v>
      </c>
      <c r="C5" s="103" t="s">
        <v>190</v>
      </c>
      <c r="D5" s="136">
        <v>9065</v>
      </c>
      <c r="E5" t="s">
        <v>191</v>
      </c>
    </row>
    <row r="6" spans="1:5">
      <c r="A6" s="184">
        <v>46059</v>
      </c>
      <c r="B6" s="103">
        <v>2</v>
      </c>
      <c r="C6" s="103" t="s">
        <v>151</v>
      </c>
      <c r="D6" s="136">
        <v>5775</v>
      </c>
      <c r="E6" t="s">
        <v>191</v>
      </c>
    </row>
    <row r="7" spans="1:5">
      <c r="A7" s="184">
        <v>46059</v>
      </c>
      <c r="B7" s="103">
        <v>3</v>
      </c>
      <c r="C7" s="103" t="s">
        <v>151</v>
      </c>
      <c r="D7" s="136">
        <v>13191.72</v>
      </c>
      <c r="E7" t="s">
        <v>191</v>
      </c>
    </row>
    <row r="8" spans="1:5">
      <c r="A8" s="184">
        <v>46066</v>
      </c>
      <c r="B8" s="103">
        <v>144</v>
      </c>
      <c r="C8" s="103" t="s">
        <v>161</v>
      </c>
      <c r="D8" s="136">
        <v>1310</v>
      </c>
      <c r="E8" t="s">
        <v>191</v>
      </c>
    </row>
    <row r="9" spans="1:5">
      <c r="A9" s="184">
        <v>46078</v>
      </c>
      <c r="B9" s="103">
        <v>75906</v>
      </c>
      <c r="C9" s="103" t="s">
        <v>129</v>
      </c>
      <c r="D9" s="136">
        <v>3800</v>
      </c>
      <c r="E9" t="s">
        <v>191</v>
      </c>
    </row>
    <row r="10" spans="1:5">
      <c r="A10" s="184">
        <v>46094</v>
      </c>
      <c r="B10" s="103">
        <v>18</v>
      </c>
      <c r="C10" s="103" t="s">
        <v>151</v>
      </c>
      <c r="D10" s="136">
        <v>15208</v>
      </c>
      <c r="E10" t="s">
        <v>192</v>
      </c>
    </row>
    <row r="11" spans="1:5">
      <c r="A11" s="184">
        <v>46104</v>
      </c>
      <c r="B11" s="103">
        <v>152</v>
      </c>
      <c r="C11" s="103" t="s">
        <v>161</v>
      </c>
      <c r="D11" s="136">
        <v>2620</v>
      </c>
      <c r="E11" t="s">
        <v>192</v>
      </c>
    </row>
    <row r="12" spans="1:5">
      <c r="A12" s="184">
        <v>46105</v>
      </c>
      <c r="B12" s="103">
        <v>76238</v>
      </c>
      <c r="C12" s="103" t="s">
        <v>129</v>
      </c>
      <c r="D12" s="136">
        <v>7600</v>
      </c>
      <c r="E12" t="s">
        <v>192</v>
      </c>
    </row>
    <row r="13" spans="1:5">
      <c r="A13" s="268">
        <v>46126</v>
      </c>
      <c r="B13" s="269">
        <v>817</v>
      </c>
      <c r="C13" s="269" t="s">
        <v>1168</v>
      </c>
      <c r="D13" s="270">
        <v>9190.94</v>
      </c>
      <c r="E13" t="s">
        <v>1170</v>
      </c>
    </row>
    <row r="14" spans="1:5">
      <c r="A14" s="268">
        <v>46126</v>
      </c>
      <c r="B14" s="269">
        <v>818</v>
      </c>
      <c r="C14" s="269" t="s">
        <v>1168</v>
      </c>
      <c r="D14" s="270">
        <v>1972.76</v>
      </c>
      <c r="E14" t="s">
        <v>1170</v>
      </c>
    </row>
    <row r="15" spans="1:5">
      <c r="A15" s="268">
        <v>46126</v>
      </c>
      <c r="B15" s="269">
        <v>819</v>
      </c>
      <c r="C15" s="269" t="s">
        <v>1168</v>
      </c>
      <c r="D15" s="270">
        <v>2721.66</v>
      </c>
      <c r="E15" t="s">
        <v>1170</v>
      </c>
    </row>
    <row r="16" spans="1:5">
      <c r="A16" s="268">
        <v>46126</v>
      </c>
      <c r="B16" s="269">
        <v>820</v>
      </c>
      <c r="C16" s="269" t="s">
        <v>1168</v>
      </c>
      <c r="D16" s="270">
        <v>6545.1</v>
      </c>
      <c r="E16" t="s">
        <v>1170</v>
      </c>
    </row>
    <row r="17" spans="1:5">
      <c r="A17" s="268">
        <v>46126</v>
      </c>
      <c r="B17" s="269">
        <v>821</v>
      </c>
      <c r="C17" s="269" t="s">
        <v>1168</v>
      </c>
      <c r="D17" s="270">
        <v>4716.08</v>
      </c>
      <c r="E17" t="s">
        <v>1170</v>
      </c>
    </row>
    <row r="18" spans="1:5">
      <c r="A18" s="268">
        <v>46140</v>
      </c>
      <c r="B18" s="269">
        <v>76645</v>
      </c>
      <c r="C18" s="269" t="s">
        <v>129</v>
      </c>
      <c r="D18" s="270">
        <v>18615.5</v>
      </c>
      <c r="E18" t="s">
        <v>1170</v>
      </c>
    </row>
    <row r="19" spans="1:5">
      <c r="A19" s="268">
        <v>46142</v>
      </c>
      <c r="B19" s="269">
        <v>165</v>
      </c>
      <c r="C19" s="269" t="s">
        <v>1169</v>
      </c>
      <c r="D19" s="270">
        <v>3668</v>
      </c>
      <c r="E19" t="s">
        <v>1170</v>
      </c>
    </row>
    <row r="20" spans="1:5">
      <c r="A20" s="88">
        <v>46149</v>
      </c>
      <c r="B20" s="89" t="s">
        <v>1989</v>
      </c>
      <c r="C20" s="90" t="s">
        <v>1990</v>
      </c>
      <c r="D20" s="443">
        <v>22706.09</v>
      </c>
      <c r="E20" t="s">
        <v>1932</v>
      </c>
    </row>
    <row r="21" spans="1:5">
      <c r="A21" s="88">
        <v>46154</v>
      </c>
      <c r="B21" s="89">
        <v>76757</v>
      </c>
      <c r="C21" s="90" t="s">
        <v>821</v>
      </c>
      <c r="D21" s="443">
        <v>10064</v>
      </c>
      <c r="E21" t="s">
        <v>1932</v>
      </c>
    </row>
    <row r="22" spans="1:5">
      <c r="A22" s="88">
        <v>46168</v>
      </c>
      <c r="B22" s="89">
        <v>172</v>
      </c>
      <c r="C22" s="90" t="s">
        <v>1470</v>
      </c>
      <c r="D22" s="443">
        <v>1572</v>
      </c>
      <c r="E22" t="s">
        <v>1932</v>
      </c>
    </row>
    <row r="23" spans="1:5">
      <c r="A23" s="88">
        <v>46168</v>
      </c>
      <c r="B23" s="89">
        <v>449</v>
      </c>
      <c r="C23" s="90" t="s">
        <v>856</v>
      </c>
      <c r="D23" s="443">
        <v>764.49</v>
      </c>
      <c r="E23" t="s">
        <v>1932</v>
      </c>
    </row>
    <row r="24" spans="1:5">
      <c r="A24" s="88">
        <v>46171</v>
      </c>
      <c r="B24" s="89">
        <v>264029</v>
      </c>
      <c r="C24" s="90" t="s">
        <v>817</v>
      </c>
      <c r="D24" s="443">
        <v>5991.6</v>
      </c>
      <c r="E24" t="s">
        <v>1932</v>
      </c>
    </row>
    <row r="25" spans="1:5">
      <c r="A25" s="272">
        <v>46191</v>
      </c>
      <c r="B25" t="s">
        <v>1991</v>
      </c>
      <c r="C25" t="s">
        <v>763</v>
      </c>
      <c r="D25" s="312">
        <v>6248.81</v>
      </c>
      <c r="E25" t="s">
        <v>1977</v>
      </c>
    </row>
    <row r="26" spans="1:5">
      <c r="D26" s="312"/>
    </row>
  </sheetData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E7641-44EF-486F-9A9B-86837F375724}">
  <dimension ref="A1:E84"/>
  <sheetViews>
    <sheetView topLeftCell="A53" workbookViewId="0">
      <selection activeCell="D84" sqref="D84"/>
    </sheetView>
  </sheetViews>
  <sheetFormatPr defaultRowHeight="15"/>
  <cols>
    <col min="1" max="1" width="10.7109375" bestFit="1" customWidth="1"/>
    <col min="3" max="3" width="53.7109375" bestFit="1" customWidth="1"/>
    <col min="4" max="4" width="15.85546875" customWidth="1"/>
  </cols>
  <sheetData>
    <row r="1" spans="1:5" ht="26.25">
      <c r="A1" s="92" t="s">
        <v>184</v>
      </c>
      <c r="B1" s="93" t="s">
        <v>185</v>
      </c>
      <c r="C1" s="86" t="s">
        <v>186</v>
      </c>
      <c r="D1" s="48" t="s">
        <v>187</v>
      </c>
    </row>
    <row r="2" spans="1:5">
      <c r="A2" s="88">
        <v>46028</v>
      </c>
      <c r="B2" s="89">
        <v>781</v>
      </c>
      <c r="C2" s="90" t="s">
        <v>193</v>
      </c>
      <c r="D2" s="91">
        <v>980.84</v>
      </c>
      <c r="E2" t="s">
        <v>188</v>
      </c>
    </row>
    <row r="3" spans="1:5">
      <c r="A3" s="88">
        <v>46031</v>
      </c>
      <c r="B3" s="89">
        <v>782</v>
      </c>
      <c r="C3" s="90" t="s">
        <v>194</v>
      </c>
      <c r="D3" s="91">
        <v>5700</v>
      </c>
      <c r="E3" t="s">
        <v>188</v>
      </c>
    </row>
    <row r="4" spans="1:5">
      <c r="A4" s="88">
        <v>46031</v>
      </c>
      <c r="B4" s="89">
        <v>783</v>
      </c>
      <c r="C4" s="90" t="s">
        <v>195</v>
      </c>
      <c r="D4" s="91">
        <v>5142</v>
      </c>
      <c r="E4" t="s">
        <v>188</v>
      </c>
    </row>
    <row r="5" spans="1:5">
      <c r="A5" s="88">
        <v>46034</v>
      </c>
      <c r="B5" s="89">
        <v>784</v>
      </c>
      <c r="C5" s="90" t="s">
        <v>196</v>
      </c>
      <c r="D5" s="91">
        <v>1825</v>
      </c>
      <c r="E5" t="s">
        <v>188</v>
      </c>
    </row>
    <row r="6" spans="1:5">
      <c r="A6" s="88">
        <v>46035</v>
      </c>
      <c r="B6" s="89">
        <v>785</v>
      </c>
      <c r="C6" s="90" t="s">
        <v>197</v>
      </c>
      <c r="D6" s="91">
        <v>5272.5</v>
      </c>
      <c r="E6" t="s">
        <v>188</v>
      </c>
    </row>
    <row r="7" spans="1:5">
      <c r="A7" s="88">
        <v>46035</v>
      </c>
      <c r="B7" s="89">
        <v>786</v>
      </c>
      <c r="C7" s="90" t="s">
        <v>198</v>
      </c>
      <c r="D7" s="91">
        <v>904</v>
      </c>
      <c r="E7" t="s">
        <v>188</v>
      </c>
    </row>
    <row r="8" spans="1:5">
      <c r="A8" s="88">
        <v>46036</v>
      </c>
      <c r="B8" s="89">
        <v>787</v>
      </c>
      <c r="C8" s="90" t="s">
        <v>199</v>
      </c>
      <c r="D8" s="91">
        <v>732</v>
      </c>
      <c r="E8" t="s">
        <v>188</v>
      </c>
    </row>
    <row r="9" spans="1:5">
      <c r="A9" s="88">
        <v>46038</v>
      </c>
      <c r="B9" s="89">
        <v>789</v>
      </c>
      <c r="C9" s="90" t="s">
        <v>200</v>
      </c>
      <c r="D9" s="91">
        <v>860</v>
      </c>
      <c r="E9" t="s">
        <v>188</v>
      </c>
    </row>
    <row r="10" spans="1:5">
      <c r="A10" s="88">
        <v>46038</v>
      </c>
      <c r="B10" s="89">
        <v>790</v>
      </c>
      <c r="C10" s="90" t="s">
        <v>201</v>
      </c>
      <c r="D10" s="91">
        <v>1160.5</v>
      </c>
      <c r="E10" t="s">
        <v>188</v>
      </c>
    </row>
    <row r="11" spans="1:5">
      <c r="A11" s="88">
        <v>46043</v>
      </c>
      <c r="B11" s="89">
        <v>791</v>
      </c>
      <c r="C11" s="90" t="s">
        <v>198</v>
      </c>
      <c r="D11" s="91">
        <v>121.7</v>
      </c>
      <c r="E11" t="s">
        <v>188</v>
      </c>
    </row>
    <row r="12" spans="1:5">
      <c r="A12" s="88">
        <v>46045</v>
      </c>
      <c r="B12" s="89">
        <v>792</v>
      </c>
      <c r="C12" s="90" t="s">
        <v>196</v>
      </c>
      <c r="D12" s="91">
        <v>974</v>
      </c>
      <c r="E12" t="s">
        <v>188</v>
      </c>
    </row>
    <row r="13" spans="1:5">
      <c r="A13" s="88">
        <v>46050</v>
      </c>
      <c r="B13" s="89">
        <v>793</v>
      </c>
      <c r="C13" s="90" t="s">
        <v>193</v>
      </c>
      <c r="D13" s="91">
        <v>1386</v>
      </c>
      <c r="E13" t="s">
        <v>188</v>
      </c>
    </row>
    <row r="14" spans="1:5">
      <c r="A14" s="88">
        <v>46051</v>
      </c>
      <c r="B14" s="89">
        <v>794</v>
      </c>
      <c r="C14" s="90" t="s">
        <v>202</v>
      </c>
      <c r="D14" s="91">
        <v>230</v>
      </c>
      <c r="E14" t="s">
        <v>188</v>
      </c>
    </row>
    <row r="15" spans="1:5">
      <c r="A15" s="184">
        <v>46057</v>
      </c>
      <c r="B15" s="185">
        <v>795</v>
      </c>
      <c r="C15" s="96" t="s">
        <v>196</v>
      </c>
      <c r="D15" s="136">
        <v>16832</v>
      </c>
      <c r="E15" t="s">
        <v>191</v>
      </c>
    </row>
    <row r="16" spans="1:5">
      <c r="A16" s="184">
        <v>46057</v>
      </c>
      <c r="B16" s="185">
        <v>796</v>
      </c>
      <c r="C16" s="103" t="s">
        <v>77</v>
      </c>
      <c r="D16" s="136">
        <v>7745</v>
      </c>
      <c r="E16" t="s">
        <v>191</v>
      </c>
    </row>
    <row r="17" spans="1:5">
      <c r="A17" s="184">
        <v>46058</v>
      </c>
      <c r="B17" s="185">
        <v>797</v>
      </c>
      <c r="C17" s="103" t="s">
        <v>203</v>
      </c>
      <c r="D17" s="136">
        <v>1000</v>
      </c>
      <c r="E17" t="s">
        <v>191</v>
      </c>
    </row>
    <row r="18" spans="1:5">
      <c r="A18" s="184">
        <v>46063</v>
      </c>
      <c r="B18" s="185">
        <v>798</v>
      </c>
      <c r="C18" s="103" t="s">
        <v>73</v>
      </c>
      <c r="D18" s="136">
        <v>5145.8900000000003</v>
      </c>
      <c r="E18" t="s">
        <v>191</v>
      </c>
    </row>
    <row r="19" spans="1:5">
      <c r="A19" s="184">
        <v>46066</v>
      </c>
      <c r="B19" s="185">
        <v>799</v>
      </c>
      <c r="C19" s="96" t="s">
        <v>197</v>
      </c>
      <c r="D19" s="136">
        <v>2081.25</v>
      </c>
      <c r="E19" t="s">
        <v>191</v>
      </c>
    </row>
    <row r="20" spans="1:5">
      <c r="A20" s="184">
        <v>46071</v>
      </c>
      <c r="B20" s="185">
        <v>800</v>
      </c>
      <c r="C20" s="103" t="s">
        <v>73</v>
      </c>
      <c r="D20" s="136">
        <v>1419</v>
      </c>
      <c r="E20" t="s">
        <v>191</v>
      </c>
    </row>
    <row r="21" spans="1:5">
      <c r="A21" s="184">
        <v>46076</v>
      </c>
      <c r="B21" s="185">
        <v>801</v>
      </c>
      <c r="C21" s="103" t="s">
        <v>73</v>
      </c>
      <c r="D21" s="136">
        <v>543</v>
      </c>
      <c r="E21" t="s">
        <v>191</v>
      </c>
    </row>
    <row r="22" spans="1:5">
      <c r="A22" s="184">
        <v>46077</v>
      </c>
      <c r="B22" s="185">
        <v>802</v>
      </c>
      <c r="C22" s="96" t="s">
        <v>194</v>
      </c>
      <c r="D22" s="136">
        <v>5808</v>
      </c>
      <c r="E22" t="s">
        <v>191</v>
      </c>
    </row>
    <row r="23" spans="1:5">
      <c r="A23" s="184">
        <v>46077</v>
      </c>
      <c r="B23" s="185">
        <v>803</v>
      </c>
      <c r="C23" s="96" t="s">
        <v>196</v>
      </c>
      <c r="D23" s="136">
        <v>575</v>
      </c>
      <c r="E23" t="s">
        <v>191</v>
      </c>
    </row>
    <row r="24" spans="1:5">
      <c r="A24" s="94">
        <v>46092</v>
      </c>
      <c r="B24" s="95">
        <v>804</v>
      </c>
      <c r="C24" s="96" t="s">
        <v>193</v>
      </c>
      <c r="D24" s="97">
        <v>539</v>
      </c>
      <c r="E24" t="s">
        <v>192</v>
      </c>
    </row>
    <row r="25" spans="1:5">
      <c r="A25" s="94">
        <v>46094</v>
      </c>
      <c r="B25" s="95">
        <v>805</v>
      </c>
      <c r="C25" s="96" t="s">
        <v>196</v>
      </c>
      <c r="D25" s="97">
        <v>2230</v>
      </c>
      <c r="E25" t="s">
        <v>192</v>
      </c>
    </row>
    <row r="26" spans="1:5">
      <c r="A26" s="94">
        <v>46094</v>
      </c>
      <c r="B26" s="95">
        <v>806</v>
      </c>
      <c r="C26" s="96" t="s">
        <v>204</v>
      </c>
      <c r="D26" s="97">
        <v>3445</v>
      </c>
      <c r="E26" t="s">
        <v>192</v>
      </c>
    </row>
    <row r="27" spans="1:5">
      <c r="A27" s="94">
        <v>46098</v>
      </c>
      <c r="B27" s="95">
        <v>807</v>
      </c>
      <c r="C27" s="96" t="s">
        <v>205</v>
      </c>
      <c r="D27" s="97">
        <v>18601</v>
      </c>
      <c r="E27" t="s">
        <v>192</v>
      </c>
    </row>
    <row r="28" spans="1:5">
      <c r="A28" s="94">
        <v>46099</v>
      </c>
      <c r="B28" s="95">
        <v>808</v>
      </c>
      <c r="C28" s="96" t="s">
        <v>196</v>
      </c>
      <c r="D28" s="97">
        <v>294</v>
      </c>
      <c r="E28" t="s">
        <v>192</v>
      </c>
    </row>
    <row r="29" spans="1:5">
      <c r="A29" s="94">
        <v>46100</v>
      </c>
      <c r="B29" s="95">
        <v>809</v>
      </c>
      <c r="C29" s="96" t="s">
        <v>194</v>
      </c>
      <c r="D29" s="97">
        <v>11160</v>
      </c>
      <c r="E29" t="s">
        <v>192</v>
      </c>
    </row>
    <row r="30" spans="1:5">
      <c r="A30" s="94">
        <v>46105</v>
      </c>
      <c r="B30" s="95">
        <v>810</v>
      </c>
      <c r="C30" s="96" t="s">
        <v>206</v>
      </c>
      <c r="D30" s="97">
        <v>234</v>
      </c>
      <c r="E30" t="s">
        <v>192</v>
      </c>
    </row>
    <row r="31" spans="1:5">
      <c r="A31" s="94">
        <v>46106</v>
      </c>
      <c r="B31" s="95">
        <v>811</v>
      </c>
      <c r="C31" s="96" t="s">
        <v>207</v>
      </c>
      <c r="D31" s="97">
        <v>379</v>
      </c>
      <c r="E31" t="s">
        <v>192</v>
      </c>
    </row>
    <row r="32" spans="1:5">
      <c r="A32" s="94">
        <v>46108</v>
      </c>
      <c r="B32" s="95">
        <v>812</v>
      </c>
      <c r="C32" s="96" t="s">
        <v>198</v>
      </c>
      <c r="D32" s="97">
        <v>69</v>
      </c>
      <c r="E32" t="s">
        <v>192</v>
      </c>
    </row>
    <row r="33" spans="1:5">
      <c r="A33" s="94">
        <v>46111</v>
      </c>
      <c r="B33" s="95">
        <v>813</v>
      </c>
      <c r="C33" s="96" t="s">
        <v>197</v>
      </c>
      <c r="D33" s="97">
        <v>4162.5</v>
      </c>
      <c r="E33" t="s">
        <v>192</v>
      </c>
    </row>
    <row r="34" spans="1:5">
      <c r="A34" s="94">
        <v>46111</v>
      </c>
      <c r="B34" s="95">
        <v>814</v>
      </c>
      <c r="C34" s="96" t="s">
        <v>208</v>
      </c>
      <c r="D34" s="97">
        <v>5678.5</v>
      </c>
      <c r="E34" t="s">
        <v>192</v>
      </c>
    </row>
    <row r="35" spans="1:5">
      <c r="A35" s="272">
        <v>46119</v>
      </c>
      <c r="B35">
        <v>815</v>
      </c>
      <c r="C35" t="s">
        <v>196</v>
      </c>
      <c r="D35" s="273">
        <v>30074.5</v>
      </c>
      <c r="E35" t="s">
        <v>1170</v>
      </c>
    </row>
    <row r="36" spans="1:5">
      <c r="A36" s="272">
        <v>46120</v>
      </c>
      <c r="B36">
        <v>816</v>
      </c>
      <c r="C36" t="s">
        <v>193</v>
      </c>
      <c r="D36" s="273">
        <v>949</v>
      </c>
      <c r="E36" t="s">
        <v>1170</v>
      </c>
    </row>
    <row r="37" spans="1:5">
      <c r="A37" s="272">
        <v>46134</v>
      </c>
      <c r="B37">
        <v>822</v>
      </c>
      <c r="C37" t="s">
        <v>962</v>
      </c>
      <c r="D37" s="273">
        <v>100</v>
      </c>
      <c r="E37" t="s">
        <v>1170</v>
      </c>
    </row>
    <row r="38" spans="1:5">
      <c r="A38" s="272">
        <v>46134</v>
      </c>
      <c r="B38">
        <v>823</v>
      </c>
      <c r="C38" t="s">
        <v>1063</v>
      </c>
      <c r="D38" s="273">
        <v>37057.32</v>
      </c>
      <c r="E38" t="s">
        <v>1170</v>
      </c>
    </row>
    <row r="39" spans="1:5">
      <c r="A39" s="272">
        <v>46140</v>
      </c>
      <c r="B39">
        <v>824</v>
      </c>
      <c r="C39" t="s">
        <v>1171</v>
      </c>
      <c r="D39" s="273">
        <v>85</v>
      </c>
      <c r="E39" t="s">
        <v>1170</v>
      </c>
    </row>
    <row r="40" spans="1:5">
      <c r="A40" s="272">
        <v>46140</v>
      </c>
      <c r="B40">
        <v>825</v>
      </c>
      <c r="C40" t="s">
        <v>194</v>
      </c>
      <c r="D40" s="273">
        <v>26825</v>
      </c>
      <c r="E40" t="s">
        <v>1170</v>
      </c>
    </row>
    <row r="41" spans="1:5">
      <c r="A41" s="272">
        <v>46140</v>
      </c>
      <c r="B41">
        <v>826</v>
      </c>
      <c r="C41" t="s">
        <v>208</v>
      </c>
      <c r="D41" s="273">
        <v>330</v>
      </c>
      <c r="E41" t="s">
        <v>1170</v>
      </c>
    </row>
    <row r="42" spans="1:5">
      <c r="A42" s="272">
        <v>46142</v>
      </c>
      <c r="B42">
        <v>827</v>
      </c>
      <c r="C42" t="s">
        <v>197</v>
      </c>
      <c r="D42" s="273">
        <v>5838.7</v>
      </c>
      <c r="E42" t="s">
        <v>1170</v>
      </c>
    </row>
    <row r="43" spans="1:5">
      <c r="A43" s="88">
        <v>46148</v>
      </c>
      <c r="B43" s="89">
        <v>829</v>
      </c>
      <c r="C43" s="90" t="s">
        <v>193</v>
      </c>
      <c r="D43" s="91">
        <v>1549</v>
      </c>
      <c r="E43" t="s">
        <v>1932</v>
      </c>
    </row>
    <row r="44" spans="1:5">
      <c r="A44" s="88">
        <v>46148</v>
      </c>
      <c r="B44" s="89">
        <v>830</v>
      </c>
      <c r="C44" s="90" t="s">
        <v>965</v>
      </c>
      <c r="D44" s="91">
        <v>2700</v>
      </c>
      <c r="E44" t="s">
        <v>1932</v>
      </c>
    </row>
    <row r="45" spans="1:5">
      <c r="A45" s="88">
        <v>46149</v>
      </c>
      <c r="B45" s="89">
        <v>831</v>
      </c>
      <c r="C45" s="90" t="s">
        <v>1983</v>
      </c>
      <c r="D45" s="91">
        <v>114.3</v>
      </c>
      <c r="E45" t="s">
        <v>1932</v>
      </c>
    </row>
    <row r="46" spans="1:5">
      <c r="A46" s="88">
        <v>46149</v>
      </c>
      <c r="B46" s="89">
        <v>832</v>
      </c>
      <c r="C46" s="90" t="s">
        <v>1984</v>
      </c>
      <c r="D46" s="91">
        <v>2505.6</v>
      </c>
      <c r="E46" t="s">
        <v>1932</v>
      </c>
    </row>
    <row r="47" spans="1:5">
      <c r="A47" s="88">
        <v>46150</v>
      </c>
      <c r="B47" s="89">
        <v>833</v>
      </c>
      <c r="C47" s="90" t="s">
        <v>1489</v>
      </c>
      <c r="D47" s="91">
        <v>600</v>
      </c>
      <c r="E47" t="s">
        <v>1932</v>
      </c>
    </row>
    <row r="48" spans="1:5">
      <c r="A48" s="88">
        <v>46150</v>
      </c>
      <c r="B48" s="89">
        <v>834</v>
      </c>
      <c r="C48" s="90" t="s">
        <v>1985</v>
      </c>
      <c r="D48" s="91">
        <v>2380</v>
      </c>
      <c r="E48" t="s">
        <v>1932</v>
      </c>
    </row>
    <row r="49" spans="1:5">
      <c r="A49" s="88">
        <v>46153</v>
      </c>
      <c r="B49" s="89">
        <v>835</v>
      </c>
      <c r="C49" s="90" t="s">
        <v>1014</v>
      </c>
      <c r="D49" s="91">
        <v>1975</v>
      </c>
      <c r="E49" t="s">
        <v>1932</v>
      </c>
    </row>
    <row r="50" spans="1:5">
      <c r="A50" s="88">
        <v>46153</v>
      </c>
      <c r="B50" s="89">
        <v>836</v>
      </c>
      <c r="C50" s="90" t="s">
        <v>204</v>
      </c>
      <c r="D50" s="91">
        <v>1175</v>
      </c>
      <c r="E50" t="s">
        <v>1932</v>
      </c>
    </row>
    <row r="51" spans="1:5">
      <c r="A51" s="88">
        <v>46153</v>
      </c>
      <c r="B51" s="89">
        <v>837</v>
      </c>
      <c r="C51" s="90" t="s">
        <v>198</v>
      </c>
      <c r="D51" s="91">
        <v>69</v>
      </c>
      <c r="E51" t="s">
        <v>1932</v>
      </c>
    </row>
    <row r="52" spans="1:5">
      <c r="A52" s="88">
        <v>46154</v>
      </c>
      <c r="B52" s="89">
        <v>838</v>
      </c>
      <c r="C52" s="90" t="s">
        <v>194</v>
      </c>
      <c r="D52" s="91">
        <v>14633.6</v>
      </c>
      <c r="E52" t="s">
        <v>1932</v>
      </c>
    </row>
    <row r="53" spans="1:5">
      <c r="A53" s="88">
        <v>46156</v>
      </c>
      <c r="B53" s="89">
        <v>839</v>
      </c>
      <c r="C53" s="90" t="s">
        <v>913</v>
      </c>
      <c r="D53" s="91">
        <v>672</v>
      </c>
      <c r="E53" t="s">
        <v>1932</v>
      </c>
    </row>
    <row r="54" spans="1:5">
      <c r="A54" s="88">
        <v>46161</v>
      </c>
      <c r="B54" s="89">
        <v>840</v>
      </c>
      <c r="C54" s="90" t="s">
        <v>197</v>
      </c>
      <c r="D54" s="91">
        <v>2497.5</v>
      </c>
      <c r="E54" t="s">
        <v>1932</v>
      </c>
    </row>
    <row r="55" spans="1:5">
      <c r="A55" s="88">
        <v>46162</v>
      </c>
      <c r="B55" s="89">
        <v>841</v>
      </c>
      <c r="C55" s="90" t="s">
        <v>1986</v>
      </c>
      <c r="D55" s="91">
        <v>1500</v>
      </c>
      <c r="E55" t="s">
        <v>1932</v>
      </c>
    </row>
    <row r="56" spans="1:5">
      <c r="A56" s="88">
        <v>46162</v>
      </c>
      <c r="B56" s="89">
        <v>842</v>
      </c>
      <c r="C56" s="90" t="s">
        <v>204</v>
      </c>
      <c r="D56" s="91">
        <v>2305</v>
      </c>
      <c r="E56" t="s">
        <v>1932</v>
      </c>
    </row>
    <row r="57" spans="1:5">
      <c r="A57" s="88">
        <v>46162</v>
      </c>
      <c r="B57" s="89">
        <v>843</v>
      </c>
      <c r="C57" s="90" t="s">
        <v>920</v>
      </c>
      <c r="D57" s="91">
        <v>10920</v>
      </c>
      <c r="E57" t="s">
        <v>1932</v>
      </c>
    </row>
    <row r="58" spans="1:5">
      <c r="A58" s="88">
        <v>46163</v>
      </c>
      <c r="B58" s="89">
        <v>844</v>
      </c>
      <c r="C58" s="90" t="s">
        <v>196</v>
      </c>
      <c r="D58" s="91">
        <v>27052</v>
      </c>
      <c r="E58" t="s">
        <v>1932</v>
      </c>
    </row>
    <row r="59" spans="1:5">
      <c r="A59" s="88">
        <v>46163</v>
      </c>
      <c r="B59" s="89">
        <v>845</v>
      </c>
      <c r="C59" s="90" t="s">
        <v>944</v>
      </c>
      <c r="D59" s="91">
        <v>60</v>
      </c>
      <c r="E59" t="s">
        <v>1932</v>
      </c>
    </row>
    <row r="60" spans="1:5">
      <c r="A60" s="88">
        <v>46167</v>
      </c>
      <c r="B60" s="89">
        <v>850</v>
      </c>
      <c r="C60" s="90" t="s">
        <v>199</v>
      </c>
      <c r="D60" s="91">
        <v>274.5</v>
      </c>
      <c r="E60" t="s">
        <v>1932</v>
      </c>
    </row>
    <row r="61" spans="1:5">
      <c r="A61" s="88">
        <v>46167</v>
      </c>
      <c r="B61" s="89">
        <v>851</v>
      </c>
      <c r="C61" s="90" t="s">
        <v>208</v>
      </c>
      <c r="D61" s="91">
        <v>1302.5</v>
      </c>
      <c r="E61" t="s">
        <v>1932</v>
      </c>
    </row>
    <row r="62" spans="1:5">
      <c r="A62" s="88">
        <v>46169</v>
      </c>
      <c r="B62" s="89">
        <v>852</v>
      </c>
      <c r="C62" s="90" t="s">
        <v>1987</v>
      </c>
      <c r="D62" s="91">
        <v>450</v>
      </c>
      <c r="E62" t="s">
        <v>1932</v>
      </c>
    </row>
    <row r="63" spans="1:5">
      <c r="A63" s="88">
        <v>46169</v>
      </c>
      <c r="B63" s="89">
        <v>853</v>
      </c>
      <c r="C63" s="90" t="s">
        <v>204</v>
      </c>
      <c r="D63" s="91">
        <v>6825</v>
      </c>
      <c r="E63" t="s">
        <v>1932</v>
      </c>
    </row>
    <row r="64" spans="1:5">
      <c r="A64" s="88">
        <v>46169</v>
      </c>
      <c r="B64" s="89">
        <v>854</v>
      </c>
      <c r="C64" s="90" t="s">
        <v>196</v>
      </c>
      <c r="D64" s="91">
        <v>974</v>
      </c>
      <c r="E64" t="s">
        <v>1932</v>
      </c>
    </row>
    <row r="65" spans="1:5">
      <c r="A65" s="88">
        <v>46170</v>
      </c>
      <c r="B65" s="89">
        <v>855</v>
      </c>
      <c r="C65" s="90" t="s">
        <v>1008</v>
      </c>
      <c r="D65" s="91">
        <v>868.9</v>
      </c>
      <c r="E65" t="s">
        <v>1932</v>
      </c>
    </row>
    <row r="66" spans="1:5">
      <c r="A66" s="88">
        <v>46171</v>
      </c>
      <c r="B66" s="89">
        <v>856</v>
      </c>
      <c r="C66" s="90" t="s">
        <v>907</v>
      </c>
      <c r="D66" s="91">
        <v>8780</v>
      </c>
      <c r="E66" t="s">
        <v>1932</v>
      </c>
    </row>
    <row r="67" spans="1:5">
      <c r="A67" s="88">
        <v>46171</v>
      </c>
      <c r="B67" s="89">
        <v>858</v>
      </c>
      <c r="C67" s="90" t="s">
        <v>909</v>
      </c>
      <c r="D67" s="91">
        <v>8100</v>
      </c>
      <c r="E67" t="s">
        <v>1932</v>
      </c>
    </row>
    <row r="68" spans="1:5">
      <c r="A68" s="88">
        <v>46171</v>
      </c>
      <c r="B68" s="89">
        <v>859</v>
      </c>
      <c r="C68" s="90" t="s">
        <v>1988</v>
      </c>
      <c r="D68" s="91">
        <v>1500</v>
      </c>
      <c r="E68" t="s">
        <v>1932</v>
      </c>
    </row>
    <row r="69" spans="1:5">
      <c r="A69" s="88">
        <v>46174</v>
      </c>
      <c r="B69" s="89">
        <v>860</v>
      </c>
      <c r="C69" s="90" t="s">
        <v>204</v>
      </c>
      <c r="D69" s="91">
        <v>1200</v>
      </c>
      <c r="E69" t="s">
        <v>1977</v>
      </c>
    </row>
    <row r="70" spans="1:5">
      <c r="A70" s="88">
        <v>46175</v>
      </c>
      <c r="B70" s="89">
        <v>861</v>
      </c>
      <c r="C70" s="90" t="s">
        <v>193</v>
      </c>
      <c r="D70" s="91">
        <v>777.9</v>
      </c>
      <c r="E70" t="s">
        <v>1977</v>
      </c>
    </row>
    <row r="71" spans="1:5">
      <c r="A71" s="88">
        <v>46184</v>
      </c>
      <c r="B71" s="89">
        <v>862</v>
      </c>
      <c r="C71" s="90" t="s">
        <v>198</v>
      </c>
      <c r="D71" s="91">
        <v>640</v>
      </c>
      <c r="E71" t="s">
        <v>1977</v>
      </c>
    </row>
    <row r="72" spans="1:5">
      <c r="A72" s="88">
        <v>46185</v>
      </c>
      <c r="B72" s="89">
        <v>863</v>
      </c>
      <c r="C72" s="90" t="s">
        <v>891</v>
      </c>
      <c r="D72" s="91">
        <v>15.3</v>
      </c>
      <c r="E72" t="s">
        <v>1977</v>
      </c>
    </row>
    <row r="73" spans="1:5">
      <c r="A73" s="88">
        <v>46190</v>
      </c>
      <c r="B73" s="89">
        <v>864</v>
      </c>
      <c r="C73" s="90" t="s">
        <v>1537</v>
      </c>
      <c r="D73" s="91">
        <v>80</v>
      </c>
      <c r="E73" t="s">
        <v>1977</v>
      </c>
    </row>
    <row r="74" spans="1:5">
      <c r="A74" s="88">
        <v>46190</v>
      </c>
      <c r="B74" s="89">
        <v>865</v>
      </c>
      <c r="C74" s="90" t="s">
        <v>1113</v>
      </c>
      <c r="D74" s="91">
        <v>3080</v>
      </c>
      <c r="E74" t="s">
        <v>1977</v>
      </c>
    </row>
    <row r="75" spans="1:5">
      <c r="A75" s="88">
        <v>46190</v>
      </c>
      <c r="B75" s="89">
        <v>867</v>
      </c>
      <c r="C75" s="90" t="s">
        <v>1529</v>
      </c>
      <c r="D75" s="91">
        <v>5821</v>
      </c>
      <c r="E75" t="s">
        <v>1977</v>
      </c>
    </row>
    <row r="76" spans="1:5">
      <c r="A76" s="88">
        <v>46191</v>
      </c>
      <c r="B76" s="89">
        <v>868</v>
      </c>
      <c r="C76" s="90" t="s">
        <v>1529</v>
      </c>
      <c r="D76" s="91">
        <v>2340</v>
      </c>
      <c r="E76" t="s">
        <v>1977</v>
      </c>
    </row>
    <row r="77" spans="1:5">
      <c r="A77" s="88">
        <v>46191</v>
      </c>
      <c r="B77" s="89">
        <v>869</v>
      </c>
      <c r="C77" s="90" t="s">
        <v>204</v>
      </c>
      <c r="D77" s="91">
        <v>2325</v>
      </c>
      <c r="E77" t="s">
        <v>1977</v>
      </c>
    </row>
    <row r="78" spans="1:5">
      <c r="A78" s="88">
        <v>46191</v>
      </c>
      <c r="B78" s="89">
        <v>870</v>
      </c>
      <c r="C78" s="90" t="s">
        <v>913</v>
      </c>
      <c r="D78" s="91">
        <v>896</v>
      </c>
      <c r="E78" t="s">
        <v>1977</v>
      </c>
    </row>
    <row r="79" spans="1:5">
      <c r="A79" s="88">
        <v>46196</v>
      </c>
      <c r="B79" s="89">
        <v>871</v>
      </c>
      <c r="C79" s="90" t="s">
        <v>207</v>
      </c>
      <c r="D79" s="91">
        <v>420</v>
      </c>
      <c r="E79" t="s">
        <v>1977</v>
      </c>
    </row>
    <row r="80" spans="1:5">
      <c r="A80" s="88">
        <v>46198</v>
      </c>
      <c r="B80" s="89">
        <v>872</v>
      </c>
      <c r="C80" s="90" t="s">
        <v>954</v>
      </c>
      <c r="D80" s="91">
        <v>110.5</v>
      </c>
      <c r="E80" t="s">
        <v>1977</v>
      </c>
    </row>
    <row r="81" spans="1:5">
      <c r="A81" s="88">
        <v>46199</v>
      </c>
      <c r="B81" s="89">
        <v>873</v>
      </c>
      <c r="C81" s="90" t="s">
        <v>1529</v>
      </c>
      <c r="D81" s="91">
        <v>14148.5</v>
      </c>
      <c r="E81" t="s">
        <v>1977</v>
      </c>
    </row>
    <row r="82" spans="1:5">
      <c r="A82" s="88">
        <v>46199</v>
      </c>
      <c r="B82" s="89">
        <v>874</v>
      </c>
      <c r="C82" s="90" t="s">
        <v>944</v>
      </c>
      <c r="D82" s="91">
        <v>8</v>
      </c>
      <c r="E82" t="s">
        <v>1977</v>
      </c>
    </row>
    <row r="83" spans="1:5">
      <c r="A83" s="88">
        <v>46203</v>
      </c>
      <c r="B83" s="89">
        <v>875</v>
      </c>
      <c r="C83" s="90" t="s">
        <v>193</v>
      </c>
      <c r="D83" s="91">
        <v>1191.5999999999999</v>
      </c>
      <c r="E83" t="s">
        <v>1977</v>
      </c>
    </row>
    <row r="84" spans="1:5">
      <c r="D84" s="312"/>
    </row>
  </sheetData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09"/>
  <sheetViews>
    <sheetView topLeftCell="A890" workbookViewId="0">
      <selection activeCell="E753" sqref="E753:E909"/>
    </sheetView>
  </sheetViews>
  <sheetFormatPr defaultColWidth="17.85546875" defaultRowHeight="15.75" customHeight="1"/>
  <cols>
    <col min="2" max="2" width="53.140625" customWidth="1"/>
    <col min="3" max="3" width="15.5703125" style="364" customWidth="1"/>
  </cols>
  <sheetData>
    <row r="1" spans="1:7" ht="15.75" customHeight="1">
      <c r="A1" s="1" t="s">
        <v>184</v>
      </c>
      <c r="B1" s="1" t="s">
        <v>209</v>
      </c>
      <c r="C1" s="407" t="s">
        <v>210</v>
      </c>
      <c r="D1" s="1" t="s">
        <v>187</v>
      </c>
      <c r="E1" s="1" t="s">
        <v>27</v>
      </c>
      <c r="F1" s="1" t="s">
        <v>6</v>
      </c>
    </row>
    <row r="2" spans="1:7" ht="15.75" customHeight="1">
      <c r="A2" s="2">
        <v>46024</v>
      </c>
      <c r="B2" s="3" t="s">
        <v>211</v>
      </c>
      <c r="C2" s="408">
        <v>11853</v>
      </c>
      <c r="D2" s="4">
        <v>175</v>
      </c>
      <c r="E2" s="3" t="s">
        <v>212</v>
      </c>
      <c r="F2" t="s">
        <v>213</v>
      </c>
      <c r="G2" s="312">
        <f>SUM(D2:D115)</f>
        <v>132275.39999999997</v>
      </c>
    </row>
    <row r="3" spans="1:7" ht="15.75" customHeight="1">
      <c r="A3" s="2">
        <v>46024</v>
      </c>
      <c r="B3" s="3" t="s">
        <v>214</v>
      </c>
      <c r="C3" s="409" t="s">
        <v>215</v>
      </c>
      <c r="D3" s="4">
        <v>594.35</v>
      </c>
      <c r="E3" s="3" t="s">
        <v>212</v>
      </c>
      <c r="F3" t="s">
        <v>213</v>
      </c>
    </row>
    <row r="4" spans="1:7" ht="15.75" customHeight="1">
      <c r="A4" s="2">
        <v>46024</v>
      </c>
      <c r="B4" s="3" t="s">
        <v>214</v>
      </c>
      <c r="C4" s="409" t="s">
        <v>216</v>
      </c>
      <c r="D4" s="4">
        <v>1255.08</v>
      </c>
      <c r="E4" s="3" t="s">
        <v>212</v>
      </c>
      <c r="F4" t="s">
        <v>213</v>
      </c>
    </row>
    <row r="5" spans="1:7" ht="15.75" customHeight="1">
      <c r="A5" s="2">
        <v>46024</v>
      </c>
      <c r="B5" s="3" t="s">
        <v>96</v>
      </c>
      <c r="C5" s="409" t="s">
        <v>217</v>
      </c>
      <c r="D5" s="4">
        <v>1875</v>
      </c>
      <c r="E5" s="3" t="s">
        <v>212</v>
      </c>
      <c r="F5" t="s">
        <v>213</v>
      </c>
    </row>
    <row r="6" spans="1:7" ht="15.75" customHeight="1">
      <c r="A6" s="2">
        <v>46024</v>
      </c>
      <c r="B6" s="3" t="s">
        <v>218</v>
      </c>
      <c r="C6" s="409" t="s">
        <v>219</v>
      </c>
      <c r="D6" s="4">
        <v>1016.84</v>
      </c>
      <c r="E6" s="3" t="s">
        <v>212</v>
      </c>
      <c r="F6" t="s">
        <v>213</v>
      </c>
    </row>
    <row r="7" spans="1:7" ht="15.75" customHeight="1">
      <c r="A7" s="2">
        <v>46024</v>
      </c>
      <c r="B7" s="3" t="s">
        <v>220</v>
      </c>
      <c r="C7" s="409" t="s">
        <v>221</v>
      </c>
      <c r="D7" s="4">
        <v>1331.67</v>
      </c>
      <c r="E7" s="3" t="s">
        <v>212</v>
      </c>
      <c r="F7" t="s">
        <v>213</v>
      </c>
    </row>
    <row r="8" spans="1:7" ht="15.75" customHeight="1">
      <c r="A8" s="2">
        <v>46024</v>
      </c>
      <c r="B8" s="3" t="s">
        <v>214</v>
      </c>
      <c r="C8" s="409" t="s">
        <v>222</v>
      </c>
      <c r="D8" s="4">
        <v>2142.0700000000002</v>
      </c>
      <c r="E8" s="3" t="s">
        <v>212</v>
      </c>
      <c r="F8" t="s">
        <v>213</v>
      </c>
    </row>
    <row r="9" spans="1:7" ht="15.75" customHeight="1">
      <c r="A9" s="2">
        <v>46024</v>
      </c>
      <c r="B9" s="3" t="s">
        <v>223</v>
      </c>
      <c r="C9" s="409" t="s">
        <v>224</v>
      </c>
      <c r="D9" s="4">
        <v>2180.96</v>
      </c>
      <c r="E9" s="3" t="s">
        <v>212</v>
      </c>
      <c r="F9" t="s">
        <v>213</v>
      </c>
    </row>
    <row r="10" spans="1:7" ht="15.75" customHeight="1">
      <c r="A10" s="2">
        <v>46024</v>
      </c>
      <c r="B10" s="3" t="s">
        <v>225</v>
      </c>
      <c r="C10" s="409" t="s">
        <v>226</v>
      </c>
      <c r="D10" s="4">
        <v>843.67</v>
      </c>
      <c r="E10" s="3" t="s">
        <v>212</v>
      </c>
      <c r="F10" t="s">
        <v>213</v>
      </c>
    </row>
    <row r="11" spans="1:7" ht="15.75" customHeight="1">
      <c r="A11" s="2">
        <v>46024</v>
      </c>
      <c r="B11" s="3" t="s">
        <v>220</v>
      </c>
      <c r="C11" s="409" t="s">
        <v>227</v>
      </c>
      <c r="D11" s="4">
        <v>797</v>
      </c>
      <c r="E11" s="3" t="s">
        <v>212</v>
      </c>
      <c r="F11" t="s">
        <v>213</v>
      </c>
    </row>
    <row r="12" spans="1:7" ht="15.75" customHeight="1">
      <c r="A12" s="2">
        <v>46027</v>
      </c>
      <c r="B12" s="3" t="s">
        <v>228</v>
      </c>
      <c r="C12" s="409" t="s">
        <v>229</v>
      </c>
      <c r="D12" s="4">
        <v>373.25</v>
      </c>
      <c r="E12" s="3" t="s">
        <v>212</v>
      </c>
      <c r="F12" t="s">
        <v>213</v>
      </c>
    </row>
    <row r="13" spans="1:7" ht="15.75" customHeight="1">
      <c r="A13" s="2">
        <v>46027</v>
      </c>
      <c r="B13" s="3" t="s">
        <v>230</v>
      </c>
      <c r="C13" s="409" t="s">
        <v>231</v>
      </c>
      <c r="D13" s="4">
        <v>853.9</v>
      </c>
      <c r="E13" s="3" t="s">
        <v>212</v>
      </c>
      <c r="F13" t="s">
        <v>213</v>
      </c>
    </row>
    <row r="14" spans="1:7" ht="15.75" customHeight="1">
      <c r="A14" s="2">
        <v>46027</v>
      </c>
      <c r="B14" s="3" t="s">
        <v>232</v>
      </c>
      <c r="C14" s="409" t="s">
        <v>233</v>
      </c>
      <c r="D14" s="4">
        <v>769.25</v>
      </c>
      <c r="E14" s="3" t="s">
        <v>212</v>
      </c>
      <c r="F14" t="s">
        <v>213</v>
      </c>
    </row>
    <row r="15" spans="1:7" ht="15.75" customHeight="1">
      <c r="A15" s="2">
        <v>46027</v>
      </c>
      <c r="B15" s="3" t="s">
        <v>234</v>
      </c>
      <c r="C15" s="409" t="s">
        <v>235</v>
      </c>
      <c r="D15" s="4">
        <v>550.46</v>
      </c>
      <c r="E15" s="3" t="s">
        <v>212</v>
      </c>
      <c r="F15" t="s">
        <v>213</v>
      </c>
    </row>
    <row r="16" spans="1:7" ht="15.75" customHeight="1">
      <c r="A16" s="2">
        <v>46027</v>
      </c>
      <c r="B16" s="3" t="s">
        <v>236</v>
      </c>
      <c r="C16" s="409" t="s">
        <v>237</v>
      </c>
      <c r="D16" s="4">
        <v>780</v>
      </c>
      <c r="E16" s="3" t="s">
        <v>212</v>
      </c>
      <c r="F16" t="s">
        <v>213</v>
      </c>
    </row>
    <row r="17" spans="1:6" ht="15.75" customHeight="1">
      <c r="A17" s="2">
        <v>46027</v>
      </c>
      <c r="B17" s="3" t="s">
        <v>238</v>
      </c>
      <c r="C17" s="409" t="s">
        <v>239</v>
      </c>
      <c r="D17" s="4">
        <v>1540</v>
      </c>
      <c r="E17" s="3" t="s">
        <v>212</v>
      </c>
      <c r="F17" t="s">
        <v>213</v>
      </c>
    </row>
    <row r="18" spans="1:6" ht="15.75" customHeight="1">
      <c r="A18" s="2">
        <v>46027</v>
      </c>
      <c r="B18" s="3" t="s">
        <v>240</v>
      </c>
      <c r="C18" s="409" t="s">
        <v>241</v>
      </c>
      <c r="D18" s="4">
        <v>680.48</v>
      </c>
      <c r="E18" s="3" t="s">
        <v>212</v>
      </c>
      <c r="F18" t="s">
        <v>213</v>
      </c>
    </row>
    <row r="19" spans="1:6" ht="15.75" customHeight="1">
      <c r="A19" s="2">
        <v>46027</v>
      </c>
      <c r="B19" s="3" t="s">
        <v>242</v>
      </c>
      <c r="C19" s="409" t="s">
        <v>243</v>
      </c>
      <c r="D19" s="4">
        <v>396.26</v>
      </c>
      <c r="E19" s="3" t="s">
        <v>212</v>
      </c>
      <c r="F19" t="s">
        <v>213</v>
      </c>
    </row>
    <row r="20" spans="1:6" ht="15.75" customHeight="1">
      <c r="A20" s="2">
        <v>46027</v>
      </c>
      <c r="B20" s="3" t="s">
        <v>244</v>
      </c>
      <c r="C20" s="409" t="s">
        <v>245</v>
      </c>
      <c r="D20" s="4">
        <v>325</v>
      </c>
      <c r="E20" s="3" t="s">
        <v>212</v>
      </c>
      <c r="F20" t="s">
        <v>213</v>
      </c>
    </row>
    <row r="21" spans="1:6" ht="15.75" customHeight="1">
      <c r="A21" s="2">
        <v>46027</v>
      </c>
      <c r="B21" s="3" t="s">
        <v>246</v>
      </c>
      <c r="C21" s="409" t="s">
        <v>247</v>
      </c>
      <c r="D21" s="4">
        <v>557.1</v>
      </c>
      <c r="E21" s="3" t="s">
        <v>212</v>
      </c>
      <c r="F21" t="s">
        <v>213</v>
      </c>
    </row>
    <row r="22" spans="1:6" ht="15.75" customHeight="1">
      <c r="A22" s="2">
        <v>46027</v>
      </c>
      <c r="B22" s="3" t="s">
        <v>248</v>
      </c>
      <c r="C22" s="409" t="s">
        <v>249</v>
      </c>
      <c r="D22" s="4">
        <v>777.3</v>
      </c>
      <c r="E22" s="3" t="s">
        <v>212</v>
      </c>
      <c r="F22" t="s">
        <v>213</v>
      </c>
    </row>
    <row r="23" spans="1:6" ht="15.75" customHeight="1">
      <c r="A23" s="2">
        <v>46027</v>
      </c>
      <c r="B23" s="3" t="s">
        <v>250</v>
      </c>
      <c r="C23" s="409" t="s">
        <v>251</v>
      </c>
      <c r="D23" s="4">
        <v>423.84</v>
      </c>
      <c r="E23" s="3" t="s">
        <v>212</v>
      </c>
      <c r="F23" t="s">
        <v>213</v>
      </c>
    </row>
    <row r="24" spans="1:6" ht="15.75" customHeight="1">
      <c r="A24" s="2">
        <v>46027</v>
      </c>
      <c r="B24" s="3" t="s">
        <v>220</v>
      </c>
      <c r="C24" s="409" t="s">
        <v>252</v>
      </c>
      <c r="D24" s="4">
        <v>476.66</v>
      </c>
      <c r="E24" s="3" t="s">
        <v>212</v>
      </c>
      <c r="F24" t="s">
        <v>213</v>
      </c>
    </row>
    <row r="25" spans="1:6" ht="15.75" customHeight="1">
      <c r="A25" s="2">
        <v>46027</v>
      </c>
      <c r="B25" s="3" t="s">
        <v>234</v>
      </c>
      <c r="C25" s="409" t="s">
        <v>253</v>
      </c>
      <c r="D25" s="4">
        <v>1144.1199999999999</v>
      </c>
      <c r="E25" s="3" t="s">
        <v>212</v>
      </c>
      <c r="F25" t="s">
        <v>213</v>
      </c>
    </row>
    <row r="26" spans="1:6" ht="15.75" customHeight="1">
      <c r="A26" s="2">
        <v>46028</v>
      </c>
      <c r="B26" s="3" t="s">
        <v>254</v>
      </c>
      <c r="C26" s="409" t="s">
        <v>255</v>
      </c>
      <c r="D26" s="4">
        <v>726.23</v>
      </c>
      <c r="E26" s="3" t="s">
        <v>212</v>
      </c>
      <c r="F26" t="s">
        <v>213</v>
      </c>
    </row>
    <row r="27" spans="1:6" ht="15.75" customHeight="1">
      <c r="A27" s="2">
        <v>46028</v>
      </c>
      <c r="B27" s="3" t="s">
        <v>256</v>
      </c>
      <c r="C27" s="409" t="s">
        <v>257</v>
      </c>
      <c r="D27" s="4">
        <v>1320.14</v>
      </c>
      <c r="E27" s="3" t="s">
        <v>212</v>
      </c>
      <c r="F27" t="s">
        <v>213</v>
      </c>
    </row>
    <row r="28" spans="1:6" ht="15.75" customHeight="1">
      <c r="A28" s="2">
        <v>46028</v>
      </c>
      <c r="B28" s="3" t="s">
        <v>254</v>
      </c>
      <c r="C28" s="409" t="s">
        <v>258</v>
      </c>
      <c r="D28" s="4">
        <v>767.14</v>
      </c>
      <c r="E28" s="3" t="s">
        <v>212</v>
      </c>
      <c r="F28" t="s">
        <v>213</v>
      </c>
    </row>
    <row r="29" spans="1:6" ht="15.75" customHeight="1">
      <c r="A29" s="2">
        <v>46028</v>
      </c>
      <c r="B29" s="3" t="s">
        <v>254</v>
      </c>
      <c r="C29" s="409" t="s">
        <v>259</v>
      </c>
      <c r="D29" s="4">
        <v>750.35</v>
      </c>
      <c r="E29" s="3" t="s">
        <v>212</v>
      </c>
      <c r="F29" t="s">
        <v>213</v>
      </c>
    </row>
    <row r="30" spans="1:6" ht="15.75" customHeight="1">
      <c r="A30" s="2">
        <v>46028</v>
      </c>
      <c r="B30" s="3" t="s">
        <v>260</v>
      </c>
      <c r="C30" s="409" t="s">
        <v>261</v>
      </c>
      <c r="D30" s="4">
        <v>867.2</v>
      </c>
      <c r="E30" s="3" t="s">
        <v>212</v>
      </c>
      <c r="F30" t="s">
        <v>213</v>
      </c>
    </row>
    <row r="31" spans="1:6" ht="15.75" customHeight="1">
      <c r="A31" s="2">
        <v>46028</v>
      </c>
      <c r="B31" s="3" t="s">
        <v>214</v>
      </c>
      <c r="C31" s="409" t="s">
        <v>262</v>
      </c>
      <c r="D31" s="4">
        <v>745</v>
      </c>
      <c r="E31" s="3" t="s">
        <v>212</v>
      </c>
      <c r="F31" t="s">
        <v>213</v>
      </c>
    </row>
    <row r="32" spans="1:6" ht="15.75" customHeight="1">
      <c r="A32" s="2">
        <v>46028</v>
      </c>
      <c r="B32" s="3" t="s">
        <v>263</v>
      </c>
      <c r="C32" s="409" t="s">
        <v>264</v>
      </c>
      <c r="D32" s="4">
        <v>35</v>
      </c>
      <c r="E32" s="3" t="s">
        <v>212</v>
      </c>
      <c r="F32" t="s">
        <v>213</v>
      </c>
    </row>
    <row r="33" spans="1:6" ht="15.75" customHeight="1">
      <c r="A33" s="2">
        <v>46029</v>
      </c>
      <c r="B33" s="3" t="s">
        <v>265</v>
      </c>
      <c r="C33" s="409">
        <v>11813</v>
      </c>
      <c r="D33" s="4">
        <v>23.76</v>
      </c>
      <c r="E33" s="3" t="s">
        <v>212</v>
      </c>
      <c r="F33" t="s">
        <v>213</v>
      </c>
    </row>
    <row r="34" spans="1:6" ht="15.75" customHeight="1">
      <c r="A34" s="2">
        <v>46029</v>
      </c>
      <c r="B34" s="3" t="s">
        <v>266</v>
      </c>
      <c r="C34" s="409" t="s">
        <v>267</v>
      </c>
      <c r="D34" s="4">
        <v>160</v>
      </c>
      <c r="E34" s="3" t="s">
        <v>212</v>
      </c>
      <c r="F34" t="s">
        <v>213</v>
      </c>
    </row>
    <row r="35" spans="1:6" ht="15.75" customHeight="1">
      <c r="A35" s="2">
        <v>46029</v>
      </c>
      <c r="B35" s="3" t="s">
        <v>268</v>
      </c>
      <c r="C35" s="409">
        <v>11885</v>
      </c>
      <c r="D35" s="4">
        <v>316</v>
      </c>
      <c r="E35" s="3" t="s">
        <v>212</v>
      </c>
      <c r="F35" t="s">
        <v>213</v>
      </c>
    </row>
    <row r="36" spans="1:6" ht="15.75" customHeight="1">
      <c r="A36" s="2">
        <v>46029</v>
      </c>
      <c r="B36" s="3" t="s">
        <v>214</v>
      </c>
      <c r="C36" s="409" t="s">
        <v>269</v>
      </c>
      <c r="D36" s="4">
        <v>2396.4</v>
      </c>
      <c r="E36" s="3" t="s">
        <v>212</v>
      </c>
      <c r="F36" t="s">
        <v>213</v>
      </c>
    </row>
    <row r="37" spans="1:6" ht="15.75" customHeight="1">
      <c r="A37" s="2">
        <v>46029</v>
      </c>
      <c r="B37" s="3" t="s">
        <v>270</v>
      </c>
      <c r="C37" s="409" t="s">
        <v>271</v>
      </c>
      <c r="D37" s="4">
        <v>376.67</v>
      </c>
      <c r="E37" s="3" t="s">
        <v>212</v>
      </c>
      <c r="F37" t="s">
        <v>213</v>
      </c>
    </row>
    <row r="38" spans="1:6" ht="15.75" customHeight="1">
      <c r="A38" s="2">
        <v>46029</v>
      </c>
      <c r="B38" s="3" t="s">
        <v>225</v>
      </c>
      <c r="C38" s="409" t="s">
        <v>272</v>
      </c>
      <c r="D38" s="4">
        <v>589</v>
      </c>
      <c r="E38" s="3" t="s">
        <v>212</v>
      </c>
      <c r="F38" t="s">
        <v>213</v>
      </c>
    </row>
    <row r="39" spans="1:6" ht="15.75" customHeight="1">
      <c r="A39" s="2">
        <v>46029</v>
      </c>
      <c r="B39" s="3" t="s">
        <v>214</v>
      </c>
      <c r="C39" s="409" t="s">
        <v>273</v>
      </c>
      <c r="D39" s="4">
        <v>2142.0700000000002</v>
      </c>
      <c r="E39" s="3" t="s">
        <v>212</v>
      </c>
      <c r="F39" t="s">
        <v>213</v>
      </c>
    </row>
    <row r="40" spans="1:6" ht="15.75" customHeight="1">
      <c r="A40" s="2">
        <v>46029</v>
      </c>
      <c r="B40" s="3" t="s">
        <v>223</v>
      </c>
      <c r="C40" s="409" t="s">
        <v>274</v>
      </c>
      <c r="D40" s="4">
        <v>659.52</v>
      </c>
      <c r="E40" s="3" t="s">
        <v>212</v>
      </c>
      <c r="F40" t="s">
        <v>213</v>
      </c>
    </row>
    <row r="41" spans="1:6" ht="15.75" customHeight="1">
      <c r="A41" s="2">
        <v>46030</v>
      </c>
      <c r="B41" s="3" t="s">
        <v>275</v>
      </c>
      <c r="C41" s="409">
        <v>11919</v>
      </c>
      <c r="D41" s="4">
        <v>232</v>
      </c>
      <c r="E41" s="3" t="s">
        <v>212</v>
      </c>
      <c r="F41" t="s">
        <v>213</v>
      </c>
    </row>
    <row r="42" spans="1:6" ht="15.75" customHeight="1">
      <c r="A42" s="2">
        <v>46030</v>
      </c>
      <c r="B42" s="3" t="s">
        <v>234</v>
      </c>
      <c r="C42" s="409" t="s">
        <v>276</v>
      </c>
      <c r="D42" s="4">
        <v>532.77</v>
      </c>
      <c r="E42" s="3" t="s">
        <v>212</v>
      </c>
      <c r="F42" t="s">
        <v>213</v>
      </c>
    </row>
    <row r="43" spans="1:6" ht="15.75" customHeight="1">
      <c r="A43" s="2">
        <v>46030</v>
      </c>
      <c r="B43" s="3" t="s">
        <v>277</v>
      </c>
      <c r="C43" s="409" t="s">
        <v>278</v>
      </c>
      <c r="D43" s="4">
        <v>250</v>
      </c>
      <c r="E43" s="3" t="s">
        <v>212</v>
      </c>
      <c r="F43" t="s">
        <v>213</v>
      </c>
    </row>
    <row r="44" spans="1:6" ht="15.75" customHeight="1">
      <c r="A44" s="2">
        <v>46030</v>
      </c>
      <c r="B44" s="3" t="s">
        <v>214</v>
      </c>
      <c r="C44" s="409" t="s">
        <v>279</v>
      </c>
      <c r="D44" s="4">
        <v>594.35</v>
      </c>
      <c r="E44" s="3" t="s">
        <v>212</v>
      </c>
      <c r="F44" t="s">
        <v>213</v>
      </c>
    </row>
    <row r="45" spans="1:6" ht="15.75" customHeight="1">
      <c r="A45" s="2">
        <v>46030</v>
      </c>
      <c r="B45" s="3" t="s">
        <v>225</v>
      </c>
      <c r="C45" s="409" t="s">
        <v>280</v>
      </c>
      <c r="D45" s="4">
        <v>843.67</v>
      </c>
      <c r="E45" s="3" t="s">
        <v>212</v>
      </c>
      <c r="F45" t="s">
        <v>213</v>
      </c>
    </row>
    <row r="46" spans="1:6" ht="15.75" customHeight="1">
      <c r="A46" s="2">
        <v>46030</v>
      </c>
      <c r="B46" s="3" t="s">
        <v>281</v>
      </c>
      <c r="C46" s="409" t="s">
        <v>282</v>
      </c>
      <c r="D46" s="4">
        <v>723.23</v>
      </c>
      <c r="E46" s="3" t="s">
        <v>212</v>
      </c>
      <c r="F46" t="s">
        <v>213</v>
      </c>
    </row>
    <row r="47" spans="1:6" ht="15.75" customHeight="1">
      <c r="A47" s="2">
        <v>46030</v>
      </c>
      <c r="B47" s="3" t="s">
        <v>246</v>
      </c>
      <c r="C47" s="409" t="s">
        <v>283</v>
      </c>
      <c r="D47" s="4">
        <v>481.94</v>
      </c>
      <c r="E47" s="3" t="s">
        <v>212</v>
      </c>
      <c r="F47" t="s">
        <v>213</v>
      </c>
    </row>
    <row r="48" spans="1:6" ht="15.75" customHeight="1">
      <c r="A48" s="2">
        <v>46031</v>
      </c>
      <c r="B48" s="3" t="s">
        <v>284</v>
      </c>
      <c r="C48" s="409" t="s">
        <v>285</v>
      </c>
      <c r="D48" s="4">
        <v>270</v>
      </c>
      <c r="E48" s="3" t="s">
        <v>212</v>
      </c>
      <c r="F48" t="s">
        <v>213</v>
      </c>
    </row>
    <row r="49" spans="1:6" ht="15.75" customHeight="1">
      <c r="A49" s="2">
        <v>46031</v>
      </c>
      <c r="B49" s="3" t="s">
        <v>286</v>
      </c>
      <c r="C49" s="409" t="s">
        <v>287</v>
      </c>
      <c r="D49" s="4">
        <v>252</v>
      </c>
      <c r="E49" s="3" t="s">
        <v>212</v>
      </c>
      <c r="F49" t="s">
        <v>213</v>
      </c>
    </row>
    <row r="50" spans="1:6" ht="15.75" customHeight="1">
      <c r="A50" s="2">
        <v>46031</v>
      </c>
      <c r="B50" s="3" t="s">
        <v>288</v>
      </c>
      <c r="C50" s="409" t="s">
        <v>289</v>
      </c>
      <c r="D50" s="4">
        <v>340.84</v>
      </c>
      <c r="E50" s="3" t="s">
        <v>212</v>
      </c>
      <c r="F50" t="s">
        <v>213</v>
      </c>
    </row>
    <row r="51" spans="1:6" ht="15.75" customHeight="1">
      <c r="A51" s="2">
        <v>46031</v>
      </c>
      <c r="B51" s="3" t="s">
        <v>220</v>
      </c>
      <c r="C51" s="409" t="s">
        <v>290</v>
      </c>
      <c r="D51" s="4">
        <v>1331.67</v>
      </c>
      <c r="E51" s="3" t="s">
        <v>212</v>
      </c>
      <c r="F51" t="s">
        <v>213</v>
      </c>
    </row>
    <row r="52" spans="1:6" ht="15.75" customHeight="1">
      <c r="A52" s="2">
        <v>46031</v>
      </c>
      <c r="B52" s="3" t="s">
        <v>220</v>
      </c>
      <c r="C52" s="409" t="s">
        <v>291</v>
      </c>
      <c r="D52" s="4">
        <v>797</v>
      </c>
      <c r="E52" s="3" t="s">
        <v>212</v>
      </c>
      <c r="F52" t="s">
        <v>213</v>
      </c>
    </row>
    <row r="53" spans="1:6" ht="15.75" customHeight="1">
      <c r="A53" s="2">
        <v>46031</v>
      </c>
      <c r="B53" s="3" t="s">
        <v>292</v>
      </c>
      <c r="C53" s="409" t="s">
        <v>293</v>
      </c>
      <c r="D53" s="4">
        <v>1943.46</v>
      </c>
      <c r="E53" s="3" t="s">
        <v>212</v>
      </c>
      <c r="F53" t="s">
        <v>213</v>
      </c>
    </row>
    <row r="54" spans="1:6" ht="15.75" customHeight="1">
      <c r="A54" s="2">
        <v>46031</v>
      </c>
      <c r="B54" s="3" t="s">
        <v>292</v>
      </c>
      <c r="C54" s="409" t="s">
        <v>294</v>
      </c>
      <c r="D54" s="4">
        <v>35.270000000000003</v>
      </c>
      <c r="E54" s="3" t="s">
        <v>212</v>
      </c>
      <c r="F54" t="s">
        <v>213</v>
      </c>
    </row>
    <row r="55" spans="1:6" ht="15.75" customHeight="1">
      <c r="A55" s="2">
        <v>46031</v>
      </c>
      <c r="B55" s="3" t="s">
        <v>292</v>
      </c>
      <c r="C55" s="409" t="s">
        <v>295</v>
      </c>
      <c r="D55" s="4">
        <v>963.16</v>
      </c>
      <c r="E55" s="3" t="s">
        <v>212</v>
      </c>
      <c r="F55" t="s">
        <v>213</v>
      </c>
    </row>
    <row r="56" spans="1:6" ht="15.75" customHeight="1">
      <c r="A56" s="2">
        <v>46031</v>
      </c>
      <c r="B56" s="3" t="s">
        <v>296</v>
      </c>
      <c r="C56" s="409" t="s">
        <v>297</v>
      </c>
      <c r="D56" s="4">
        <v>558.75</v>
      </c>
      <c r="E56" s="3" t="s">
        <v>212</v>
      </c>
      <c r="F56" t="s">
        <v>213</v>
      </c>
    </row>
    <row r="57" spans="1:6" ht="15.75" customHeight="1">
      <c r="A57" s="2">
        <v>46031</v>
      </c>
      <c r="B57" s="3" t="s">
        <v>298</v>
      </c>
      <c r="C57" s="409" t="s">
        <v>299</v>
      </c>
      <c r="D57" s="4">
        <v>811.2</v>
      </c>
      <c r="E57" s="3" t="s">
        <v>212</v>
      </c>
      <c r="F57" t="s">
        <v>213</v>
      </c>
    </row>
    <row r="58" spans="1:6" ht="15.75" customHeight="1">
      <c r="A58" s="2">
        <v>46034</v>
      </c>
      <c r="B58" s="6" t="s">
        <v>300</v>
      </c>
      <c r="C58" s="410" t="s">
        <v>301</v>
      </c>
      <c r="D58" s="4">
        <v>7299.76</v>
      </c>
      <c r="E58" s="3" t="s">
        <v>212</v>
      </c>
      <c r="F58" t="s">
        <v>213</v>
      </c>
    </row>
    <row r="59" spans="1:6" ht="15.75" customHeight="1">
      <c r="A59" s="2">
        <v>46034</v>
      </c>
      <c r="B59" s="7" t="s">
        <v>298</v>
      </c>
      <c r="C59" s="411" t="s">
        <v>302</v>
      </c>
      <c r="D59" s="4">
        <v>794.1</v>
      </c>
      <c r="E59" s="3" t="s">
        <v>212</v>
      </c>
      <c r="F59" t="s">
        <v>213</v>
      </c>
    </row>
    <row r="60" spans="1:6" ht="15.75" customHeight="1">
      <c r="A60" s="2">
        <v>46034</v>
      </c>
      <c r="B60" s="6" t="s">
        <v>240</v>
      </c>
      <c r="C60" s="410" t="s">
        <v>303</v>
      </c>
      <c r="D60" s="4">
        <v>765.87</v>
      </c>
      <c r="E60" s="3" t="s">
        <v>212</v>
      </c>
      <c r="F60" t="s">
        <v>213</v>
      </c>
    </row>
    <row r="61" spans="1:6" ht="15.75" customHeight="1">
      <c r="A61" s="2">
        <v>46034</v>
      </c>
      <c r="B61" s="7" t="s">
        <v>234</v>
      </c>
      <c r="C61" s="411" t="s">
        <v>304</v>
      </c>
      <c r="D61" s="4">
        <v>306.14</v>
      </c>
      <c r="E61" s="3" t="s">
        <v>212</v>
      </c>
      <c r="F61" t="s">
        <v>213</v>
      </c>
    </row>
    <row r="62" spans="1:6" ht="15.75" customHeight="1">
      <c r="A62" s="2">
        <v>46034</v>
      </c>
      <c r="B62" s="6" t="s">
        <v>305</v>
      </c>
      <c r="C62" s="410" t="s">
        <v>306</v>
      </c>
      <c r="D62" s="4">
        <v>718.26</v>
      </c>
      <c r="E62" s="3" t="s">
        <v>212</v>
      </c>
      <c r="F62" t="s">
        <v>213</v>
      </c>
    </row>
    <row r="63" spans="1:6" ht="15.75" customHeight="1">
      <c r="A63" s="2">
        <v>46034</v>
      </c>
      <c r="B63" s="7" t="s">
        <v>238</v>
      </c>
      <c r="C63" s="411" t="s">
        <v>307</v>
      </c>
      <c r="D63" s="4">
        <v>2076</v>
      </c>
      <c r="E63" s="3" t="s">
        <v>212</v>
      </c>
      <c r="F63" t="s">
        <v>213</v>
      </c>
    </row>
    <row r="64" spans="1:6" ht="15.75" customHeight="1">
      <c r="A64" s="2">
        <v>46034</v>
      </c>
      <c r="B64" s="6" t="s">
        <v>308</v>
      </c>
      <c r="C64" s="410" t="s">
        <v>309</v>
      </c>
      <c r="D64" s="4">
        <v>900.72</v>
      </c>
      <c r="E64" s="3" t="s">
        <v>212</v>
      </c>
      <c r="F64" t="s">
        <v>213</v>
      </c>
    </row>
    <row r="65" spans="1:6" ht="15.75" customHeight="1">
      <c r="A65" s="8">
        <v>46035</v>
      </c>
      <c r="B65" s="9" t="s">
        <v>310</v>
      </c>
      <c r="C65" s="412" t="s">
        <v>311</v>
      </c>
      <c r="D65" s="4">
        <v>1305.3699999999999</v>
      </c>
      <c r="E65" s="3" t="s">
        <v>212</v>
      </c>
      <c r="F65" t="s">
        <v>213</v>
      </c>
    </row>
    <row r="66" spans="1:6" ht="15.75" customHeight="1">
      <c r="A66" s="8">
        <v>46035</v>
      </c>
      <c r="B66" s="3" t="s">
        <v>266</v>
      </c>
      <c r="C66" s="408" t="s">
        <v>267</v>
      </c>
      <c r="D66" s="4">
        <v>160</v>
      </c>
      <c r="E66" s="3" t="s">
        <v>212</v>
      </c>
      <c r="F66" t="s">
        <v>213</v>
      </c>
    </row>
    <row r="67" spans="1:6" ht="15.75" customHeight="1">
      <c r="A67" s="8">
        <v>46035</v>
      </c>
      <c r="B67" s="6" t="s">
        <v>312</v>
      </c>
      <c r="C67" s="410">
        <v>11973</v>
      </c>
      <c r="D67" s="4">
        <v>4029</v>
      </c>
      <c r="E67" s="3" t="s">
        <v>212</v>
      </c>
      <c r="F67" t="s">
        <v>213</v>
      </c>
    </row>
    <row r="68" spans="1:6" ht="15.75" customHeight="1">
      <c r="A68" s="8">
        <v>46036</v>
      </c>
      <c r="B68" s="3" t="s">
        <v>313</v>
      </c>
      <c r="C68" s="408">
        <v>11959</v>
      </c>
      <c r="D68" s="4">
        <v>253.2</v>
      </c>
      <c r="E68" s="3" t="s">
        <v>212</v>
      </c>
      <c r="F68" t="s">
        <v>213</v>
      </c>
    </row>
    <row r="69" spans="1:6" ht="15.75" customHeight="1">
      <c r="A69" s="8">
        <v>46036</v>
      </c>
      <c r="B69" s="6" t="s">
        <v>314</v>
      </c>
      <c r="C69" s="410" t="s">
        <v>315</v>
      </c>
      <c r="D69" s="4">
        <v>1359.74</v>
      </c>
      <c r="E69" s="3" t="s">
        <v>212</v>
      </c>
      <c r="F69" t="s">
        <v>213</v>
      </c>
    </row>
    <row r="70" spans="1:6" ht="15.75" customHeight="1">
      <c r="A70" s="8">
        <v>46036</v>
      </c>
      <c r="B70" s="7" t="s">
        <v>314</v>
      </c>
      <c r="C70" s="411" t="s">
        <v>316</v>
      </c>
      <c r="D70" s="4">
        <v>1300.95</v>
      </c>
      <c r="E70" s="3" t="s">
        <v>212</v>
      </c>
      <c r="F70" t="s">
        <v>213</v>
      </c>
    </row>
    <row r="71" spans="1:6" ht="15.75" customHeight="1">
      <c r="A71" s="8">
        <v>46036</v>
      </c>
      <c r="B71" s="6" t="s">
        <v>314</v>
      </c>
      <c r="C71" s="410" t="s">
        <v>317</v>
      </c>
      <c r="D71" s="4">
        <v>1242.1500000000001</v>
      </c>
      <c r="E71" s="3" t="s">
        <v>212</v>
      </c>
      <c r="F71" t="s">
        <v>213</v>
      </c>
    </row>
    <row r="72" spans="1:6" ht="15.75" customHeight="1">
      <c r="A72" s="2">
        <v>46036</v>
      </c>
      <c r="B72" s="7" t="s">
        <v>214</v>
      </c>
      <c r="C72" s="411" t="s">
        <v>318</v>
      </c>
      <c r="D72" s="4">
        <v>2396.4</v>
      </c>
      <c r="E72" s="3" t="s">
        <v>212</v>
      </c>
      <c r="F72" t="s">
        <v>213</v>
      </c>
    </row>
    <row r="73" spans="1:6" ht="15.75" customHeight="1">
      <c r="A73" s="2">
        <v>46036</v>
      </c>
      <c r="B73" s="6" t="s">
        <v>319</v>
      </c>
      <c r="C73" s="410" t="s">
        <v>320</v>
      </c>
      <c r="D73" s="4">
        <v>1153.8</v>
      </c>
      <c r="E73" s="3" t="s">
        <v>212</v>
      </c>
      <c r="F73" t="s">
        <v>213</v>
      </c>
    </row>
    <row r="74" spans="1:6" ht="15.75" customHeight="1">
      <c r="A74" s="2">
        <v>46037</v>
      </c>
      <c r="B74" s="3" t="s">
        <v>266</v>
      </c>
      <c r="C74" s="408" t="s">
        <v>267</v>
      </c>
      <c r="D74" s="4">
        <v>489.5</v>
      </c>
      <c r="E74" s="3" t="s">
        <v>212</v>
      </c>
      <c r="F74" t="s">
        <v>213</v>
      </c>
    </row>
    <row r="75" spans="1:6" ht="15.75" customHeight="1">
      <c r="A75" s="2">
        <v>46037</v>
      </c>
      <c r="B75" s="3" t="s">
        <v>321</v>
      </c>
      <c r="C75" s="408">
        <v>11968</v>
      </c>
      <c r="D75" s="4">
        <v>93.2</v>
      </c>
      <c r="E75" s="3" t="s">
        <v>212</v>
      </c>
      <c r="F75" t="s">
        <v>213</v>
      </c>
    </row>
    <row r="76" spans="1:6" ht="15.75" customHeight="1">
      <c r="A76" s="2">
        <v>46038</v>
      </c>
      <c r="B76" s="10" t="s">
        <v>240</v>
      </c>
      <c r="C76" s="413" t="s">
        <v>322</v>
      </c>
      <c r="D76" s="4">
        <v>811.07</v>
      </c>
      <c r="E76" s="3" t="s">
        <v>212</v>
      </c>
      <c r="F76" t="s">
        <v>213</v>
      </c>
    </row>
    <row r="77" spans="1:6" ht="15.75" customHeight="1">
      <c r="A77" s="2">
        <v>46038</v>
      </c>
      <c r="B77" s="9" t="s">
        <v>323</v>
      </c>
      <c r="C77" s="412" t="s">
        <v>324</v>
      </c>
      <c r="D77" s="4">
        <v>1012.38</v>
      </c>
      <c r="E77" s="3" t="s">
        <v>212</v>
      </c>
      <c r="F77" t="s">
        <v>213</v>
      </c>
    </row>
    <row r="78" spans="1:6" ht="15.75" customHeight="1">
      <c r="A78" s="2">
        <v>46038</v>
      </c>
      <c r="B78" s="10" t="s">
        <v>90</v>
      </c>
      <c r="C78" s="413" t="s">
        <v>325</v>
      </c>
      <c r="D78" s="4">
        <v>485</v>
      </c>
      <c r="E78" s="3" t="s">
        <v>212</v>
      </c>
      <c r="F78" t="s">
        <v>213</v>
      </c>
    </row>
    <row r="79" spans="1:6" ht="15.75" customHeight="1">
      <c r="A79" s="2">
        <v>46038</v>
      </c>
      <c r="B79" s="9" t="s">
        <v>218</v>
      </c>
      <c r="C79" s="412" t="s">
        <v>326</v>
      </c>
      <c r="D79" s="4">
        <v>1016.83</v>
      </c>
      <c r="E79" s="3" t="s">
        <v>212</v>
      </c>
      <c r="F79" t="s">
        <v>213</v>
      </c>
    </row>
    <row r="80" spans="1:6" ht="15.75" customHeight="1">
      <c r="A80" s="2">
        <v>46038</v>
      </c>
      <c r="B80" s="10" t="s">
        <v>327</v>
      </c>
      <c r="C80" s="413" t="s">
        <v>328</v>
      </c>
      <c r="D80" s="4">
        <v>880</v>
      </c>
      <c r="E80" s="3" t="s">
        <v>212</v>
      </c>
      <c r="F80" t="s">
        <v>213</v>
      </c>
    </row>
    <row r="81" spans="1:6" ht="15.75" customHeight="1">
      <c r="A81" s="2">
        <v>46038</v>
      </c>
      <c r="B81" s="9" t="s">
        <v>265</v>
      </c>
      <c r="C81" s="408">
        <v>11945</v>
      </c>
      <c r="D81" s="4">
        <v>56</v>
      </c>
      <c r="E81" s="3" t="s">
        <v>212</v>
      </c>
      <c r="F81" t="s">
        <v>213</v>
      </c>
    </row>
    <row r="82" spans="1:6" ht="15.75" customHeight="1">
      <c r="A82" s="2">
        <v>46041</v>
      </c>
      <c r="B82" s="10" t="s">
        <v>238</v>
      </c>
      <c r="C82" s="408">
        <v>11849</v>
      </c>
      <c r="D82" s="4">
        <v>1540</v>
      </c>
      <c r="E82" s="3" t="s">
        <v>212</v>
      </c>
      <c r="F82" t="s">
        <v>213</v>
      </c>
    </row>
    <row r="83" spans="1:6" ht="15.75" customHeight="1">
      <c r="A83" s="2">
        <v>46041</v>
      </c>
      <c r="B83" s="9" t="s">
        <v>220</v>
      </c>
      <c r="C83" s="408">
        <v>11854</v>
      </c>
      <c r="D83" s="4">
        <v>476.67</v>
      </c>
      <c r="E83" s="3" t="s">
        <v>212</v>
      </c>
      <c r="F83" t="s">
        <v>213</v>
      </c>
    </row>
    <row r="84" spans="1:6" ht="15.75" customHeight="1">
      <c r="A84" s="2">
        <v>46041</v>
      </c>
      <c r="B84" s="10" t="s">
        <v>86</v>
      </c>
      <c r="C84" s="408">
        <v>11913</v>
      </c>
      <c r="D84" s="4">
        <v>481</v>
      </c>
      <c r="E84" s="3" t="s">
        <v>212</v>
      </c>
      <c r="F84" t="s">
        <v>213</v>
      </c>
    </row>
    <row r="85" spans="1:6" ht="15.75" customHeight="1">
      <c r="A85" s="2">
        <v>46041</v>
      </c>
      <c r="B85" s="9" t="s">
        <v>319</v>
      </c>
      <c r="C85" s="408">
        <v>11925</v>
      </c>
      <c r="D85" s="4">
        <v>1153.81</v>
      </c>
      <c r="E85" s="3" t="s">
        <v>212</v>
      </c>
      <c r="F85" t="s">
        <v>213</v>
      </c>
    </row>
    <row r="86" spans="1:6" ht="15.75" customHeight="1">
      <c r="A86" s="2">
        <v>46042</v>
      </c>
      <c r="B86" s="10" t="s">
        <v>329</v>
      </c>
      <c r="C86" s="408">
        <v>11712</v>
      </c>
      <c r="D86" s="4">
        <v>1150</v>
      </c>
      <c r="E86" s="3" t="s">
        <v>212</v>
      </c>
      <c r="F86" t="s">
        <v>213</v>
      </c>
    </row>
    <row r="87" spans="1:6" ht="15.75" customHeight="1">
      <c r="A87" s="2">
        <v>46043</v>
      </c>
      <c r="B87" s="9" t="s">
        <v>96</v>
      </c>
      <c r="C87" s="408">
        <v>11650</v>
      </c>
      <c r="D87" s="4">
        <v>785.77</v>
      </c>
      <c r="E87" s="3" t="s">
        <v>212</v>
      </c>
      <c r="F87" t="s">
        <v>213</v>
      </c>
    </row>
    <row r="88" spans="1:6" ht="15.75" customHeight="1">
      <c r="A88" s="2">
        <v>46043</v>
      </c>
      <c r="B88" s="10" t="s">
        <v>214</v>
      </c>
      <c r="C88" s="408">
        <v>11886</v>
      </c>
      <c r="D88" s="4">
        <v>2396.4</v>
      </c>
      <c r="E88" s="3" t="s">
        <v>212</v>
      </c>
      <c r="F88" t="s">
        <v>213</v>
      </c>
    </row>
    <row r="89" spans="1:6" ht="15.75" customHeight="1">
      <c r="A89" s="2">
        <v>46043</v>
      </c>
      <c r="B89" s="9" t="s">
        <v>330</v>
      </c>
      <c r="C89" s="408">
        <v>11995</v>
      </c>
      <c r="D89" s="4">
        <v>1500</v>
      </c>
      <c r="E89" s="3" t="s">
        <v>212</v>
      </c>
      <c r="F89" t="s">
        <v>213</v>
      </c>
    </row>
    <row r="90" spans="1:6" ht="15.75" customHeight="1">
      <c r="A90" s="2">
        <v>46044</v>
      </c>
      <c r="B90" s="9" t="s">
        <v>330</v>
      </c>
      <c r="C90" s="408">
        <v>12013</v>
      </c>
      <c r="D90" s="4">
        <v>5039.6000000000004</v>
      </c>
      <c r="E90" s="3" t="s">
        <v>212</v>
      </c>
      <c r="F90" t="s">
        <v>213</v>
      </c>
    </row>
    <row r="91" spans="1:6" ht="15.75" customHeight="1">
      <c r="A91" s="2">
        <v>46044</v>
      </c>
      <c r="B91" s="9" t="s">
        <v>234</v>
      </c>
      <c r="C91" s="408">
        <v>11920</v>
      </c>
      <c r="D91" s="4">
        <v>333.36</v>
      </c>
      <c r="E91" s="3" t="s">
        <v>212</v>
      </c>
      <c r="F91" t="s">
        <v>213</v>
      </c>
    </row>
    <row r="92" spans="1:6" ht="15.75" customHeight="1">
      <c r="A92" s="2">
        <v>46044</v>
      </c>
      <c r="B92" s="9" t="s">
        <v>331</v>
      </c>
      <c r="C92" s="408">
        <v>45</v>
      </c>
      <c r="D92" s="4">
        <v>160</v>
      </c>
      <c r="E92" s="3" t="s">
        <v>212</v>
      </c>
      <c r="F92" t="s">
        <v>213</v>
      </c>
    </row>
    <row r="93" spans="1:6" ht="15.75" customHeight="1">
      <c r="A93" s="2">
        <v>46045</v>
      </c>
      <c r="B93" s="9" t="s">
        <v>332</v>
      </c>
      <c r="C93" s="408">
        <v>11796</v>
      </c>
      <c r="D93" s="4">
        <v>538.33000000000004</v>
      </c>
      <c r="E93" s="3" t="s">
        <v>212</v>
      </c>
      <c r="F93" t="s">
        <v>213</v>
      </c>
    </row>
    <row r="94" spans="1:6" ht="15.75" customHeight="1">
      <c r="A94" s="2">
        <v>46048</v>
      </c>
      <c r="B94" s="9" t="s">
        <v>333</v>
      </c>
      <c r="C94" s="408">
        <v>11847</v>
      </c>
      <c r="D94" s="4">
        <v>145</v>
      </c>
      <c r="E94" s="3" t="s">
        <v>212</v>
      </c>
      <c r="F94" t="s">
        <v>213</v>
      </c>
    </row>
    <row r="95" spans="1:6" ht="15.75" customHeight="1">
      <c r="A95" s="2">
        <v>46048</v>
      </c>
      <c r="B95" s="9" t="s">
        <v>78</v>
      </c>
      <c r="C95" s="408">
        <v>11804</v>
      </c>
      <c r="D95" s="4">
        <v>3608.71</v>
      </c>
      <c r="E95" s="3" t="s">
        <v>212</v>
      </c>
      <c r="F95" t="s">
        <v>213</v>
      </c>
    </row>
    <row r="96" spans="1:6" ht="15.75" customHeight="1">
      <c r="A96" s="2">
        <v>46048</v>
      </c>
      <c r="B96" s="9" t="s">
        <v>296</v>
      </c>
      <c r="C96" s="408">
        <v>11797</v>
      </c>
      <c r="D96" s="4">
        <v>558.75</v>
      </c>
      <c r="E96" s="3" t="s">
        <v>212</v>
      </c>
      <c r="F96" t="s">
        <v>213</v>
      </c>
    </row>
    <row r="97" spans="1:6" ht="15.75" customHeight="1">
      <c r="A97" s="2">
        <v>46048</v>
      </c>
      <c r="B97" s="9" t="s">
        <v>300</v>
      </c>
      <c r="C97" s="408">
        <v>11803</v>
      </c>
      <c r="D97" s="4">
        <v>7299.76</v>
      </c>
      <c r="E97" s="3" t="s">
        <v>212</v>
      </c>
      <c r="F97" t="s">
        <v>213</v>
      </c>
    </row>
    <row r="98" spans="1:6" ht="15.75" customHeight="1">
      <c r="A98" s="2">
        <v>46048</v>
      </c>
      <c r="B98" s="9" t="s">
        <v>305</v>
      </c>
      <c r="C98" s="408">
        <v>11897</v>
      </c>
      <c r="D98" s="4">
        <v>718.27</v>
      </c>
      <c r="E98" s="3" t="s">
        <v>212</v>
      </c>
      <c r="F98" t="s">
        <v>213</v>
      </c>
    </row>
    <row r="99" spans="1:6" ht="15.75" customHeight="1">
      <c r="A99" s="2">
        <v>46048</v>
      </c>
      <c r="B99" s="9" t="s">
        <v>238</v>
      </c>
      <c r="C99" s="408">
        <v>11903</v>
      </c>
      <c r="D99" s="4">
        <v>2076</v>
      </c>
      <c r="E99" s="3" t="s">
        <v>212</v>
      </c>
      <c r="F99" t="s">
        <v>213</v>
      </c>
    </row>
    <row r="100" spans="1:6" ht="15.75" customHeight="1">
      <c r="A100" s="2">
        <v>46049</v>
      </c>
      <c r="B100" s="9" t="s">
        <v>265</v>
      </c>
      <c r="C100" s="408">
        <v>12012</v>
      </c>
      <c r="D100" s="4">
        <v>76</v>
      </c>
      <c r="E100" s="3" t="s">
        <v>212</v>
      </c>
      <c r="F100" t="s">
        <v>213</v>
      </c>
    </row>
    <row r="101" spans="1:6" ht="15.75" customHeight="1">
      <c r="A101" s="2">
        <v>46049</v>
      </c>
      <c r="B101" s="9" t="s">
        <v>334</v>
      </c>
      <c r="C101" s="408">
        <v>11934</v>
      </c>
      <c r="D101" s="4">
        <v>109.68</v>
      </c>
      <c r="E101" s="3" t="s">
        <v>212</v>
      </c>
      <c r="F101" t="s">
        <v>213</v>
      </c>
    </row>
    <row r="102" spans="1:6" ht="15.75" customHeight="1">
      <c r="A102" s="2">
        <v>46049</v>
      </c>
      <c r="B102" s="9" t="s">
        <v>78</v>
      </c>
      <c r="C102" s="408">
        <v>11668</v>
      </c>
      <c r="D102" s="4">
        <v>4977.29</v>
      </c>
      <c r="E102" s="3" t="s">
        <v>212</v>
      </c>
      <c r="F102" t="s">
        <v>213</v>
      </c>
    </row>
    <row r="103" spans="1:6" ht="15.75" customHeight="1">
      <c r="A103" s="2">
        <v>46051</v>
      </c>
      <c r="B103" s="9" t="s">
        <v>323</v>
      </c>
      <c r="C103" s="408">
        <v>12040</v>
      </c>
      <c r="D103" s="4">
        <v>163.5</v>
      </c>
      <c r="E103" s="3" t="s">
        <v>212</v>
      </c>
      <c r="F103" t="s">
        <v>213</v>
      </c>
    </row>
    <row r="104" spans="1:6" ht="15.75" customHeight="1">
      <c r="A104" s="2">
        <v>46051</v>
      </c>
      <c r="B104" s="9" t="s">
        <v>335</v>
      </c>
      <c r="C104" s="408" t="s">
        <v>336</v>
      </c>
      <c r="D104" s="4">
        <v>319.5</v>
      </c>
      <c r="E104" s="3" t="s">
        <v>212</v>
      </c>
      <c r="F104" t="s">
        <v>213</v>
      </c>
    </row>
    <row r="105" spans="1:6" ht="15.75" customHeight="1">
      <c r="A105" s="2">
        <v>46051</v>
      </c>
      <c r="B105" s="9" t="s">
        <v>337</v>
      </c>
      <c r="C105" s="408">
        <v>11757</v>
      </c>
      <c r="D105" s="4">
        <v>32</v>
      </c>
      <c r="E105" s="3" t="s">
        <v>212</v>
      </c>
      <c r="F105" t="s">
        <v>213</v>
      </c>
    </row>
    <row r="106" spans="1:6" ht="15.75" customHeight="1">
      <c r="A106" s="2">
        <v>46051</v>
      </c>
      <c r="B106" s="9" t="s">
        <v>338</v>
      </c>
      <c r="C106" s="408">
        <v>11814</v>
      </c>
      <c r="D106" s="4">
        <v>120</v>
      </c>
      <c r="E106" s="3" t="s">
        <v>212</v>
      </c>
      <c r="F106" t="s">
        <v>213</v>
      </c>
    </row>
    <row r="107" spans="1:6" ht="15.75" customHeight="1">
      <c r="A107" s="2">
        <v>46051</v>
      </c>
      <c r="B107" s="9" t="s">
        <v>275</v>
      </c>
      <c r="C107" s="408">
        <v>12038</v>
      </c>
      <c r="D107" s="4">
        <v>301</v>
      </c>
      <c r="E107" s="3" t="s">
        <v>212</v>
      </c>
      <c r="F107" t="s">
        <v>213</v>
      </c>
    </row>
    <row r="108" spans="1:6" ht="15.75" customHeight="1">
      <c r="A108" s="2">
        <v>46051</v>
      </c>
      <c r="B108" s="9" t="s">
        <v>270</v>
      </c>
      <c r="C108" s="408">
        <v>11910</v>
      </c>
      <c r="D108" s="4">
        <v>2040</v>
      </c>
      <c r="E108" s="3" t="s">
        <v>212</v>
      </c>
      <c r="F108" t="s">
        <v>213</v>
      </c>
    </row>
    <row r="109" spans="1:6" ht="15.75" customHeight="1">
      <c r="A109" s="2">
        <v>46052</v>
      </c>
      <c r="B109" s="9" t="s">
        <v>339</v>
      </c>
      <c r="C109" s="408">
        <v>11836</v>
      </c>
      <c r="D109" s="4">
        <v>1016.83</v>
      </c>
      <c r="E109" s="3" t="s">
        <v>212</v>
      </c>
      <c r="F109" t="s">
        <v>213</v>
      </c>
    </row>
    <row r="110" spans="1:6" ht="15.75" customHeight="1">
      <c r="A110" s="2">
        <v>46052</v>
      </c>
      <c r="B110" s="9" t="s">
        <v>218</v>
      </c>
      <c r="C110" s="408">
        <v>11830</v>
      </c>
      <c r="D110" s="4">
        <v>2566.6799999999998</v>
      </c>
      <c r="E110" s="3" t="s">
        <v>212</v>
      </c>
      <c r="F110" t="s">
        <v>213</v>
      </c>
    </row>
    <row r="111" spans="1:6" ht="15.75" customHeight="1">
      <c r="A111" s="2">
        <v>46024</v>
      </c>
      <c r="B111" s="5" t="s">
        <v>340</v>
      </c>
      <c r="C111" s="409">
        <v>11834</v>
      </c>
      <c r="D111" s="11">
        <v>3850</v>
      </c>
      <c r="E111" s="3" t="s">
        <v>341</v>
      </c>
      <c r="F111" t="s">
        <v>213</v>
      </c>
    </row>
    <row r="112" spans="1:6" ht="15.75" customHeight="1">
      <c r="A112" s="2">
        <v>46038</v>
      </c>
      <c r="B112" s="12" t="s">
        <v>342</v>
      </c>
      <c r="C112" s="414">
        <v>37</v>
      </c>
      <c r="D112" s="13">
        <v>380.34</v>
      </c>
      <c r="E112" s="3" t="s">
        <v>341</v>
      </c>
      <c r="F112" t="s">
        <v>213</v>
      </c>
    </row>
    <row r="113" spans="1:7" ht="15.75" customHeight="1">
      <c r="A113" s="14">
        <v>46041</v>
      </c>
      <c r="B113" s="15" t="s">
        <v>343</v>
      </c>
      <c r="C113" s="415" t="s">
        <v>110</v>
      </c>
      <c r="D113" s="17">
        <v>10000</v>
      </c>
      <c r="E113" s="3" t="s">
        <v>341</v>
      </c>
      <c r="F113" t="s">
        <v>213</v>
      </c>
    </row>
    <row r="114" spans="1:7" ht="15.75" customHeight="1">
      <c r="A114" s="14">
        <v>46043</v>
      </c>
      <c r="B114" s="12" t="s">
        <v>342</v>
      </c>
      <c r="C114" s="414">
        <v>37</v>
      </c>
      <c r="D114" s="13">
        <v>380.33</v>
      </c>
      <c r="E114" s="3" t="s">
        <v>341</v>
      </c>
      <c r="F114" t="s">
        <v>213</v>
      </c>
    </row>
    <row r="115" spans="1:7" ht="15.75" customHeight="1">
      <c r="A115" s="14">
        <v>46050</v>
      </c>
      <c r="B115" s="12" t="s">
        <v>342</v>
      </c>
      <c r="C115" s="414">
        <v>37</v>
      </c>
      <c r="D115" s="13">
        <v>380.33</v>
      </c>
      <c r="E115" s="3" t="s">
        <v>341</v>
      </c>
      <c r="F115" t="s">
        <v>213</v>
      </c>
    </row>
    <row r="116" spans="1:7" ht="15.75" customHeight="1">
      <c r="A116" s="105">
        <v>46055</v>
      </c>
      <c r="B116" s="107" t="s">
        <v>344</v>
      </c>
      <c r="C116" s="169">
        <v>11777</v>
      </c>
      <c r="D116" s="113">
        <v>1012.38</v>
      </c>
      <c r="E116" s="109" t="s">
        <v>212</v>
      </c>
      <c r="F116" s="103" t="s">
        <v>55</v>
      </c>
      <c r="G116" s="317">
        <f>SUM(D116:D236)</f>
        <v>126679.25000000001</v>
      </c>
    </row>
    <row r="117" spans="1:7" ht="15.75" customHeight="1">
      <c r="A117" s="105">
        <v>46055</v>
      </c>
      <c r="B117" s="107" t="s">
        <v>345</v>
      </c>
      <c r="C117" s="169">
        <v>11849</v>
      </c>
      <c r="D117" s="113">
        <v>1540</v>
      </c>
      <c r="E117" s="109" t="s">
        <v>212</v>
      </c>
      <c r="F117" s="103" t="s">
        <v>55</v>
      </c>
    </row>
    <row r="118" spans="1:7" ht="15.75" customHeight="1">
      <c r="A118" s="105">
        <v>46055</v>
      </c>
      <c r="B118" s="107" t="s">
        <v>86</v>
      </c>
      <c r="C118" s="169">
        <v>11913</v>
      </c>
      <c r="D118" s="113">
        <v>481</v>
      </c>
      <c r="E118" s="109" t="s">
        <v>212</v>
      </c>
      <c r="F118" s="103" t="s">
        <v>55</v>
      </c>
    </row>
    <row r="119" spans="1:7" ht="15.75" customHeight="1">
      <c r="A119" s="105">
        <v>46056</v>
      </c>
      <c r="B119" s="107" t="s">
        <v>346</v>
      </c>
      <c r="C119" s="169">
        <v>11854</v>
      </c>
      <c r="D119" s="113">
        <v>476.67</v>
      </c>
      <c r="E119" s="109" t="s">
        <v>212</v>
      </c>
      <c r="F119" s="103" t="s">
        <v>55</v>
      </c>
    </row>
    <row r="120" spans="1:7" ht="15.75" customHeight="1">
      <c r="A120" s="105">
        <v>46056</v>
      </c>
      <c r="B120" s="107" t="s">
        <v>347</v>
      </c>
      <c r="C120" s="169">
        <v>11916</v>
      </c>
      <c r="D120" s="113">
        <v>2550</v>
      </c>
      <c r="E120" s="109" t="s">
        <v>212</v>
      </c>
      <c r="F120" s="103" t="s">
        <v>55</v>
      </c>
    </row>
    <row r="121" spans="1:7" ht="15.75" customHeight="1">
      <c r="A121" s="105">
        <v>46056</v>
      </c>
      <c r="B121" s="107" t="s">
        <v>348</v>
      </c>
      <c r="C121" s="169">
        <v>12052</v>
      </c>
      <c r="D121" s="113">
        <v>265.5</v>
      </c>
      <c r="E121" s="109" t="s">
        <v>212</v>
      </c>
      <c r="F121" s="103" t="s">
        <v>55</v>
      </c>
    </row>
    <row r="122" spans="1:7" ht="15.75" customHeight="1">
      <c r="A122" s="105">
        <v>46057</v>
      </c>
      <c r="B122" s="107" t="s">
        <v>203</v>
      </c>
      <c r="C122" s="169">
        <v>797</v>
      </c>
      <c r="D122" s="113">
        <v>1000</v>
      </c>
      <c r="E122" s="109" t="s">
        <v>212</v>
      </c>
      <c r="F122" s="103" t="s">
        <v>55</v>
      </c>
    </row>
    <row r="123" spans="1:7" ht="15.75" customHeight="1">
      <c r="A123" s="105">
        <v>46057</v>
      </c>
      <c r="B123" s="107" t="s">
        <v>349</v>
      </c>
      <c r="C123" s="169">
        <v>11917</v>
      </c>
      <c r="D123" s="113">
        <v>1087.6099999999999</v>
      </c>
      <c r="E123" s="109" t="s">
        <v>212</v>
      </c>
      <c r="F123" s="103" t="s">
        <v>55</v>
      </c>
    </row>
    <row r="124" spans="1:7" ht="15.75" customHeight="1">
      <c r="A124" s="105">
        <v>46058</v>
      </c>
      <c r="B124" s="107" t="s">
        <v>83</v>
      </c>
      <c r="C124" s="169">
        <v>11811</v>
      </c>
      <c r="D124" s="113">
        <v>1925.37</v>
      </c>
      <c r="E124" s="109" t="s">
        <v>212</v>
      </c>
      <c r="F124" s="103" t="s">
        <v>55</v>
      </c>
    </row>
    <row r="125" spans="1:7" ht="15.75" customHeight="1">
      <c r="A125" s="105">
        <v>46058</v>
      </c>
      <c r="B125" s="107" t="s">
        <v>119</v>
      </c>
      <c r="C125" s="169">
        <v>11918</v>
      </c>
      <c r="D125" s="113">
        <v>5385.97</v>
      </c>
      <c r="E125" s="109" t="s">
        <v>212</v>
      </c>
      <c r="F125" s="103" t="s">
        <v>55</v>
      </c>
    </row>
    <row r="126" spans="1:7" ht="15.75" customHeight="1">
      <c r="A126" s="105">
        <v>46058</v>
      </c>
      <c r="B126" s="107" t="s">
        <v>350</v>
      </c>
      <c r="C126" s="169">
        <v>11921</v>
      </c>
      <c r="D126" s="113">
        <v>476.7</v>
      </c>
      <c r="E126" s="109" t="s">
        <v>212</v>
      </c>
      <c r="F126" s="103" t="s">
        <v>55</v>
      </c>
    </row>
    <row r="127" spans="1:7" ht="15.75" customHeight="1">
      <c r="A127" s="105">
        <v>46058</v>
      </c>
      <c r="B127" s="107" t="s">
        <v>73</v>
      </c>
      <c r="C127" s="169">
        <v>11922</v>
      </c>
      <c r="D127" s="113">
        <v>542</v>
      </c>
      <c r="E127" s="109" t="s">
        <v>212</v>
      </c>
      <c r="F127" s="103" t="s">
        <v>55</v>
      </c>
    </row>
    <row r="128" spans="1:7" ht="15.75" customHeight="1">
      <c r="A128" s="105">
        <v>46058</v>
      </c>
      <c r="B128" s="107" t="s">
        <v>351</v>
      </c>
      <c r="C128" s="169">
        <v>11923</v>
      </c>
      <c r="D128" s="113">
        <v>407</v>
      </c>
      <c r="E128" s="109" t="s">
        <v>212</v>
      </c>
      <c r="F128" s="103" t="s">
        <v>55</v>
      </c>
    </row>
    <row r="129" spans="1:6" ht="15.75" customHeight="1">
      <c r="A129" s="105">
        <v>46058</v>
      </c>
      <c r="B129" s="107" t="s">
        <v>76</v>
      </c>
      <c r="C129" s="169" t="s">
        <v>352</v>
      </c>
      <c r="D129" s="113">
        <v>1067.6600000000001</v>
      </c>
      <c r="E129" s="109" t="s">
        <v>212</v>
      </c>
      <c r="F129" s="103" t="s">
        <v>55</v>
      </c>
    </row>
    <row r="130" spans="1:6" ht="15.75" customHeight="1">
      <c r="A130" s="105">
        <v>46059</v>
      </c>
      <c r="B130" s="107" t="s">
        <v>331</v>
      </c>
      <c r="C130" s="169" t="s">
        <v>353</v>
      </c>
      <c r="D130" s="113">
        <v>393.5</v>
      </c>
      <c r="E130" s="109" t="s">
        <v>212</v>
      </c>
      <c r="F130" s="103" t="s">
        <v>55</v>
      </c>
    </row>
    <row r="131" spans="1:6" ht="15.75" customHeight="1">
      <c r="A131" s="105">
        <v>46059</v>
      </c>
      <c r="B131" s="153" t="s">
        <v>354</v>
      </c>
      <c r="C131" s="170" t="s">
        <v>355</v>
      </c>
      <c r="D131" s="113">
        <v>409.32</v>
      </c>
      <c r="E131" s="109" t="s">
        <v>212</v>
      </c>
      <c r="F131" s="103" t="s">
        <v>55</v>
      </c>
    </row>
    <row r="132" spans="1:6" ht="15.75" customHeight="1">
      <c r="A132" s="105">
        <v>46059</v>
      </c>
      <c r="B132" s="154" t="s">
        <v>244</v>
      </c>
      <c r="C132" s="171" t="s">
        <v>356</v>
      </c>
      <c r="D132" s="113">
        <v>325</v>
      </c>
      <c r="E132" s="109" t="s">
        <v>212</v>
      </c>
      <c r="F132" s="103" t="s">
        <v>55</v>
      </c>
    </row>
    <row r="133" spans="1:6" ht="15.75" customHeight="1">
      <c r="A133" s="105">
        <v>46059</v>
      </c>
      <c r="B133" s="153" t="s">
        <v>244</v>
      </c>
      <c r="C133" s="170" t="s">
        <v>357</v>
      </c>
      <c r="D133" s="113">
        <v>650</v>
      </c>
      <c r="E133" s="109" t="s">
        <v>212</v>
      </c>
      <c r="F133" s="103" t="s">
        <v>55</v>
      </c>
    </row>
    <row r="134" spans="1:6" ht="15.75" customHeight="1">
      <c r="A134" s="105">
        <v>46059</v>
      </c>
      <c r="B134" s="154" t="s">
        <v>308</v>
      </c>
      <c r="C134" s="171" t="s">
        <v>358</v>
      </c>
      <c r="D134" s="113">
        <v>834</v>
      </c>
      <c r="E134" s="109" t="s">
        <v>212</v>
      </c>
      <c r="F134" s="103" t="s">
        <v>55</v>
      </c>
    </row>
    <row r="135" spans="1:6" ht="15.75" customHeight="1">
      <c r="A135" s="105">
        <v>46059</v>
      </c>
      <c r="B135" s="153" t="s">
        <v>214</v>
      </c>
      <c r="C135" s="170" t="s">
        <v>359</v>
      </c>
      <c r="D135" s="113">
        <v>986.1</v>
      </c>
      <c r="E135" s="109" t="s">
        <v>212</v>
      </c>
      <c r="F135" s="103" t="s">
        <v>55</v>
      </c>
    </row>
    <row r="136" spans="1:6" ht="15.75" customHeight="1">
      <c r="A136" s="105">
        <v>46059</v>
      </c>
      <c r="B136" s="154" t="s">
        <v>105</v>
      </c>
      <c r="C136" s="171" t="s">
        <v>360</v>
      </c>
      <c r="D136" s="113">
        <v>442</v>
      </c>
      <c r="E136" s="109" t="s">
        <v>212</v>
      </c>
      <c r="F136" s="103" t="s">
        <v>55</v>
      </c>
    </row>
    <row r="137" spans="1:6" ht="15.75" customHeight="1">
      <c r="A137" s="105">
        <v>46059</v>
      </c>
      <c r="B137" s="153" t="s">
        <v>94</v>
      </c>
      <c r="C137" s="170" t="s">
        <v>361</v>
      </c>
      <c r="D137" s="113">
        <v>552</v>
      </c>
      <c r="E137" s="109" t="s">
        <v>212</v>
      </c>
      <c r="F137" s="103" t="s">
        <v>55</v>
      </c>
    </row>
    <row r="138" spans="1:6" ht="15.75" customHeight="1">
      <c r="A138" s="105">
        <v>46059</v>
      </c>
      <c r="B138" s="107" t="s">
        <v>362</v>
      </c>
      <c r="C138" s="169">
        <v>12108</v>
      </c>
      <c r="D138" s="113">
        <v>175</v>
      </c>
      <c r="E138" s="109" t="s">
        <v>212</v>
      </c>
      <c r="F138" s="103" t="s">
        <v>55</v>
      </c>
    </row>
    <row r="139" spans="1:6" ht="15.75" customHeight="1">
      <c r="A139" s="105">
        <v>46062</v>
      </c>
      <c r="B139" s="107" t="s">
        <v>265</v>
      </c>
      <c r="C139" s="169">
        <v>12063</v>
      </c>
      <c r="D139" s="113">
        <v>62</v>
      </c>
      <c r="E139" s="109" t="s">
        <v>212</v>
      </c>
      <c r="F139" s="103" t="s">
        <v>55</v>
      </c>
    </row>
    <row r="140" spans="1:6" ht="15.75" customHeight="1">
      <c r="A140" s="105">
        <v>46062</v>
      </c>
      <c r="B140" s="153" t="s">
        <v>234</v>
      </c>
      <c r="C140" s="170" t="s">
        <v>363</v>
      </c>
      <c r="D140" s="113">
        <v>306.14999999999998</v>
      </c>
      <c r="E140" s="109" t="s">
        <v>212</v>
      </c>
      <c r="F140" s="103" t="s">
        <v>55</v>
      </c>
    </row>
    <row r="141" spans="1:6" ht="15.75" customHeight="1">
      <c r="A141" s="105">
        <v>46062</v>
      </c>
      <c r="B141" s="154" t="s">
        <v>305</v>
      </c>
      <c r="C141" s="171" t="s">
        <v>364</v>
      </c>
      <c r="D141" s="113">
        <v>718.27</v>
      </c>
      <c r="E141" s="109" t="s">
        <v>212</v>
      </c>
      <c r="F141" s="103" t="s">
        <v>55</v>
      </c>
    </row>
    <row r="142" spans="1:6" ht="15.75" customHeight="1">
      <c r="A142" s="105">
        <v>46062</v>
      </c>
      <c r="B142" s="153" t="s">
        <v>296</v>
      </c>
      <c r="C142" s="170" t="s">
        <v>365</v>
      </c>
      <c r="D142" s="113">
        <v>548.9</v>
      </c>
      <c r="E142" s="109" t="s">
        <v>212</v>
      </c>
      <c r="F142" s="103" t="s">
        <v>55</v>
      </c>
    </row>
    <row r="143" spans="1:6" ht="15.75" customHeight="1">
      <c r="A143" s="105">
        <v>46062</v>
      </c>
      <c r="B143" s="154" t="s">
        <v>366</v>
      </c>
      <c r="C143" s="171" t="s">
        <v>367</v>
      </c>
      <c r="D143" s="113">
        <v>654.20000000000005</v>
      </c>
      <c r="E143" s="109" t="s">
        <v>212</v>
      </c>
      <c r="F143" s="103" t="s">
        <v>55</v>
      </c>
    </row>
    <row r="144" spans="1:6" ht="15.75" customHeight="1">
      <c r="A144" s="105">
        <v>46063</v>
      </c>
      <c r="B144" s="153" t="s">
        <v>238</v>
      </c>
      <c r="C144" s="170" t="s">
        <v>368</v>
      </c>
      <c r="D144" s="113">
        <v>2076</v>
      </c>
      <c r="E144" s="109" t="s">
        <v>212</v>
      </c>
      <c r="F144" s="103" t="s">
        <v>55</v>
      </c>
    </row>
    <row r="145" spans="1:6" ht="15.75" customHeight="1">
      <c r="A145" s="105">
        <v>46063</v>
      </c>
      <c r="B145" s="154" t="s">
        <v>369</v>
      </c>
      <c r="C145" s="171" t="s">
        <v>370</v>
      </c>
      <c r="D145" s="113">
        <v>2550</v>
      </c>
      <c r="E145" s="109" t="s">
        <v>212</v>
      </c>
      <c r="F145" s="103" t="s">
        <v>55</v>
      </c>
    </row>
    <row r="146" spans="1:6" ht="15.75" customHeight="1">
      <c r="A146" s="105">
        <v>46063</v>
      </c>
      <c r="B146" s="153" t="s">
        <v>371</v>
      </c>
      <c r="C146" s="170" t="s">
        <v>372</v>
      </c>
      <c r="D146" s="113">
        <v>567.79999999999995</v>
      </c>
      <c r="E146" s="109" t="s">
        <v>212</v>
      </c>
      <c r="F146" s="103" t="s">
        <v>55</v>
      </c>
    </row>
    <row r="147" spans="1:6" ht="15.75" customHeight="1">
      <c r="A147" s="105">
        <v>46063</v>
      </c>
      <c r="B147" s="154" t="s">
        <v>96</v>
      </c>
      <c r="C147" s="171" t="s">
        <v>373</v>
      </c>
      <c r="D147" s="113">
        <v>572</v>
      </c>
      <c r="E147" s="109" t="s">
        <v>212</v>
      </c>
      <c r="F147" s="103" t="s">
        <v>55</v>
      </c>
    </row>
    <row r="148" spans="1:6" ht="15.75" customHeight="1">
      <c r="A148" s="105">
        <v>46063</v>
      </c>
      <c r="B148" s="153" t="s">
        <v>225</v>
      </c>
      <c r="C148" s="170" t="s">
        <v>374</v>
      </c>
      <c r="D148" s="113">
        <v>338.5</v>
      </c>
      <c r="E148" s="109" t="s">
        <v>212</v>
      </c>
      <c r="F148" s="103" t="s">
        <v>55</v>
      </c>
    </row>
    <row r="149" spans="1:6" ht="15.75" customHeight="1">
      <c r="A149" s="105">
        <v>46063</v>
      </c>
      <c r="B149" s="154" t="s">
        <v>292</v>
      </c>
      <c r="C149" s="171" t="s">
        <v>375</v>
      </c>
      <c r="D149" s="113">
        <v>509.3</v>
      </c>
      <c r="E149" s="109" t="s">
        <v>212</v>
      </c>
      <c r="F149" s="103" t="s">
        <v>55</v>
      </c>
    </row>
    <row r="150" spans="1:6" ht="15.75" customHeight="1">
      <c r="A150" s="105">
        <v>46063</v>
      </c>
      <c r="B150" s="107" t="s">
        <v>321</v>
      </c>
      <c r="C150" s="169">
        <v>12077</v>
      </c>
      <c r="D150" s="113">
        <v>63</v>
      </c>
      <c r="E150" s="109" t="s">
        <v>212</v>
      </c>
      <c r="F150" s="103" t="s">
        <v>55</v>
      </c>
    </row>
    <row r="151" spans="1:6" ht="15.75" customHeight="1">
      <c r="A151" s="105">
        <v>46064</v>
      </c>
      <c r="B151" s="155" t="s">
        <v>376</v>
      </c>
      <c r="C151" s="416" t="s">
        <v>377</v>
      </c>
      <c r="D151" s="136">
        <v>570</v>
      </c>
      <c r="E151" s="109" t="s">
        <v>212</v>
      </c>
      <c r="F151" s="103" t="s">
        <v>55</v>
      </c>
    </row>
    <row r="152" spans="1:6" ht="15.75" customHeight="1">
      <c r="A152" s="105">
        <v>46064</v>
      </c>
      <c r="B152" s="156" t="s">
        <v>220</v>
      </c>
      <c r="C152" s="176" t="s">
        <v>378</v>
      </c>
      <c r="D152" s="136">
        <v>612</v>
      </c>
      <c r="E152" s="109" t="s">
        <v>212</v>
      </c>
      <c r="F152" s="103" t="s">
        <v>55</v>
      </c>
    </row>
    <row r="153" spans="1:6" ht="15.75" customHeight="1">
      <c r="A153" s="105">
        <v>46064</v>
      </c>
      <c r="B153" s="155" t="s">
        <v>246</v>
      </c>
      <c r="C153" s="416" t="s">
        <v>379</v>
      </c>
      <c r="D153" s="136">
        <v>265</v>
      </c>
      <c r="E153" s="109" t="s">
        <v>212</v>
      </c>
      <c r="F153" s="103" t="s">
        <v>55</v>
      </c>
    </row>
    <row r="154" spans="1:6" ht="15.75" customHeight="1">
      <c r="A154" s="105">
        <v>46064</v>
      </c>
      <c r="B154" s="156" t="s">
        <v>380</v>
      </c>
      <c r="C154" s="176" t="s">
        <v>381</v>
      </c>
      <c r="D154" s="136">
        <v>1858.5</v>
      </c>
      <c r="E154" s="109" t="s">
        <v>212</v>
      </c>
      <c r="F154" s="103" t="s">
        <v>55</v>
      </c>
    </row>
    <row r="155" spans="1:6" ht="15.75" customHeight="1">
      <c r="A155" s="105">
        <v>46064</v>
      </c>
      <c r="B155" s="155" t="s">
        <v>382</v>
      </c>
      <c r="C155" s="416" t="s">
        <v>383</v>
      </c>
      <c r="D155" s="136">
        <v>223.6</v>
      </c>
      <c r="E155" s="109" t="s">
        <v>212</v>
      </c>
      <c r="F155" s="103" t="s">
        <v>55</v>
      </c>
    </row>
    <row r="156" spans="1:6" ht="15.75" customHeight="1">
      <c r="A156" s="105">
        <v>46064</v>
      </c>
      <c r="B156" s="156" t="s">
        <v>300</v>
      </c>
      <c r="C156" s="176" t="s">
        <v>384</v>
      </c>
      <c r="D156" s="136">
        <v>4837.7700000000004</v>
      </c>
      <c r="E156" s="109" t="s">
        <v>212</v>
      </c>
      <c r="F156" s="103" t="s">
        <v>55</v>
      </c>
    </row>
    <row r="157" spans="1:6" ht="15.75" customHeight="1">
      <c r="A157" s="105">
        <v>46064</v>
      </c>
      <c r="B157" s="155" t="s">
        <v>230</v>
      </c>
      <c r="C157" s="416" t="s">
        <v>385</v>
      </c>
      <c r="D157" s="136">
        <v>1006.4</v>
      </c>
      <c r="E157" s="109" t="s">
        <v>212</v>
      </c>
      <c r="F157" s="103" t="s">
        <v>55</v>
      </c>
    </row>
    <row r="158" spans="1:6" ht="15.75" customHeight="1">
      <c r="A158" s="105">
        <v>46065</v>
      </c>
      <c r="B158" s="156" t="s">
        <v>281</v>
      </c>
      <c r="C158" s="176" t="s">
        <v>386</v>
      </c>
      <c r="D158" s="136">
        <v>673.05</v>
      </c>
      <c r="E158" s="109" t="s">
        <v>212</v>
      </c>
      <c r="F158" s="103" t="s">
        <v>55</v>
      </c>
    </row>
    <row r="159" spans="1:6" ht="15.75" customHeight="1">
      <c r="A159" s="105">
        <v>46065</v>
      </c>
      <c r="B159" s="155" t="s">
        <v>228</v>
      </c>
      <c r="C159" s="416" t="s">
        <v>387</v>
      </c>
      <c r="D159" s="136">
        <v>509.75</v>
      </c>
      <c r="E159" s="109" t="s">
        <v>212</v>
      </c>
      <c r="F159" s="103" t="s">
        <v>55</v>
      </c>
    </row>
    <row r="160" spans="1:6" ht="15.75" customHeight="1">
      <c r="A160" s="105">
        <v>46065</v>
      </c>
      <c r="B160" s="156" t="s">
        <v>238</v>
      </c>
      <c r="C160" s="176" t="s">
        <v>388</v>
      </c>
      <c r="D160" s="136">
        <v>4517</v>
      </c>
      <c r="E160" s="109" t="s">
        <v>212</v>
      </c>
      <c r="F160" s="103" t="s">
        <v>55</v>
      </c>
    </row>
    <row r="161" spans="1:6" ht="15.75" customHeight="1">
      <c r="A161" s="105">
        <v>46065</v>
      </c>
      <c r="B161" s="155" t="s">
        <v>98</v>
      </c>
      <c r="C161" s="416" t="s">
        <v>389</v>
      </c>
      <c r="D161" s="136">
        <v>1013.16</v>
      </c>
      <c r="E161" s="109" t="s">
        <v>212</v>
      </c>
      <c r="F161" s="103" t="s">
        <v>55</v>
      </c>
    </row>
    <row r="162" spans="1:6" ht="15.75" customHeight="1">
      <c r="A162" s="105">
        <v>46065</v>
      </c>
      <c r="B162" s="156" t="s">
        <v>298</v>
      </c>
      <c r="C162" s="176" t="s">
        <v>390</v>
      </c>
      <c r="D162" s="136">
        <v>753.2</v>
      </c>
      <c r="E162" s="109" t="s">
        <v>212</v>
      </c>
      <c r="F162" s="103" t="s">
        <v>55</v>
      </c>
    </row>
    <row r="163" spans="1:6" ht="15.75" customHeight="1">
      <c r="A163" s="105">
        <v>46065</v>
      </c>
      <c r="B163" s="155" t="s">
        <v>230</v>
      </c>
      <c r="C163" s="416" t="s">
        <v>391</v>
      </c>
      <c r="D163" s="136">
        <v>868.95</v>
      </c>
      <c r="E163" s="109" t="s">
        <v>212</v>
      </c>
      <c r="F163" s="103" t="s">
        <v>55</v>
      </c>
    </row>
    <row r="164" spans="1:6" ht="15.75" customHeight="1">
      <c r="A164" s="105">
        <v>46065</v>
      </c>
      <c r="B164" s="156" t="s">
        <v>96</v>
      </c>
      <c r="C164" s="176" t="s">
        <v>392</v>
      </c>
      <c r="D164" s="136">
        <v>569</v>
      </c>
      <c r="E164" s="109" t="s">
        <v>212</v>
      </c>
      <c r="F164" s="103" t="s">
        <v>55</v>
      </c>
    </row>
    <row r="165" spans="1:6" ht="15.75" customHeight="1">
      <c r="A165" s="105">
        <v>46065</v>
      </c>
      <c r="B165" s="155" t="s">
        <v>260</v>
      </c>
      <c r="C165" s="416" t="s">
        <v>393</v>
      </c>
      <c r="D165" s="136">
        <v>1096.5</v>
      </c>
      <c r="E165" s="109" t="s">
        <v>212</v>
      </c>
      <c r="F165" s="103" t="s">
        <v>55</v>
      </c>
    </row>
    <row r="166" spans="1:6" ht="15.75" customHeight="1">
      <c r="A166" s="105">
        <v>46065</v>
      </c>
      <c r="B166" s="156" t="s">
        <v>394</v>
      </c>
      <c r="C166" s="176" t="s">
        <v>395</v>
      </c>
      <c r="D166" s="136">
        <v>4432.1000000000004</v>
      </c>
      <c r="E166" s="109" t="s">
        <v>212</v>
      </c>
      <c r="F166" s="103" t="s">
        <v>55</v>
      </c>
    </row>
    <row r="167" spans="1:6" ht="15.75" customHeight="1" thickBot="1">
      <c r="A167" s="105">
        <v>46065</v>
      </c>
      <c r="B167" s="157" t="s">
        <v>396</v>
      </c>
      <c r="C167" s="417" t="s">
        <v>397</v>
      </c>
      <c r="D167" s="136">
        <v>438</v>
      </c>
      <c r="E167" s="109" t="s">
        <v>212</v>
      </c>
      <c r="F167" s="103" t="s">
        <v>55</v>
      </c>
    </row>
    <row r="168" spans="1:6" ht="15.75" customHeight="1">
      <c r="A168" s="105">
        <v>46065</v>
      </c>
      <c r="B168" s="107" t="s">
        <v>398</v>
      </c>
      <c r="C168" s="169">
        <v>12058</v>
      </c>
      <c r="D168" s="136">
        <v>668</v>
      </c>
      <c r="E168" s="109" t="s">
        <v>212</v>
      </c>
      <c r="F168" s="103" t="s">
        <v>55</v>
      </c>
    </row>
    <row r="169" spans="1:6" ht="15.75" customHeight="1">
      <c r="A169" s="105">
        <v>46065</v>
      </c>
      <c r="B169" s="107" t="s">
        <v>399</v>
      </c>
      <c r="C169" s="169">
        <v>6616</v>
      </c>
      <c r="D169" s="113">
        <v>658.1</v>
      </c>
      <c r="E169" s="109" t="s">
        <v>212</v>
      </c>
      <c r="F169" s="103" t="s">
        <v>55</v>
      </c>
    </row>
    <row r="170" spans="1:6" ht="15.75" customHeight="1">
      <c r="A170" s="105">
        <v>46065</v>
      </c>
      <c r="B170" s="107" t="s">
        <v>399</v>
      </c>
      <c r="C170" s="169">
        <v>6617</v>
      </c>
      <c r="D170" s="113">
        <v>640.61</v>
      </c>
      <c r="E170" s="109" t="s">
        <v>212</v>
      </c>
      <c r="F170" s="103" t="s">
        <v>55</v>
      </c>
    </row>
    <row r="171" spans="1:6" ht="15.75" customHeight="1">
      <c r="A171" s="105">
        <v>46066</v>
      </c>
      <c r="B171" s="158" t="s">
        <v>400</v>
      </c>
      <c r="C171" s="418">
        <v>12024</v>
      </c>
      <c r="D171" s="113">
        <v>118</v>
      </c>
      <c r="E171" s="109" t="s">
        <v>212</v>
      </c>
      <c r="F171" s="103" t="s">
        <v>55</v>
      </c>
    </row>
    <row r="172" spans="1:6" ht="15.75" customHeight="1">
      <c r="A172" s="105">
        <v>46066</v>
      </c>
      <c r="B172" s="159" t="s">
        <v>401</v>
      </c>
      <c r="C172" s="419" t="s">
        <v>402</v>
      </c>
      <c r="D172" s="113">
        <v>1720.4</v>
      </c>
      <c r="E172" s="109" t="s">
        <v>212</v>
      </c>
      <c r="F172" s="103" t="s">
        <v>55</v>
      </c>
    </row>
    <row r="173" spans="1:6" ht="15.75" customHeight="1">
      <c r="A173" s="105">
        <v>46066</v>
      </c>
      <c r="B173" s="160" t="s">
        <v>90</v>
      </c>
      <c r="C173" s="180" t="s">
        <v>403</v>
      </c>
      <c r="D173" s="113">
        <v>485</v>
      </c>
      <c r="E173" s="109" t="s">
        <v>212</v>
      </c>
      <c r="F173" s="103" t="s">
        <v>55</v>
      </c>
    </row>
    <row r="174" spans="1:6" ht="15.75" customHeight="1">
      <c r="A174" s="105">
        <v>46066</v>
      </c>
      <c r="B174" s="162" t="s">
        <v>94</v>
      </c>
      <c r="C174" s="177" t="s">
        <v>404</v>
      </c>
      <c r="D174" s="113">
        <v>552</v>
      </c>
      <c r="E174" s="109" t="s">
        <v>212</v>
      </c>
      <c r="F174" s="103" t="s">
        <v>55</v>
      </c>
    </row>
    <row r="175" spans="1:6" ht="15.75" customHeight="1">
      <c r="A175" s="105">
        <v>46066</v>
      </c>
      <c r="B175" s="160" t="s">
        <v>218</v>
      </c>
      <c r="C175" s="180" t="s">
        <v>405</v>
      </c>
      <c r="D175" s="113">
        <v>1801.66</v>
      </c>
      <c r="E175" s="109" t="s">
        <v>212</v>
      </c>
      <c r="F175" s="103" t="s">
        <v>55</v>
      </c>
    </row>
    <row r="176" spans="1:6" ht="15.75" customHeight="1">
      <c r="A176" s="105">
        <v>46066</v>
      </c>
      <c r="B176" s="162" t="s">
        <v>220</v>
      </c>
      <c r="C176" s="177" t="s">
        <v>406</v>
      </c>
      <c r="D176" s="113">
        <v>670</v>
      </c>
      <c r="E176" s="109" t="s">
        <v>212</v>
      </c>
      <c r="F176" s="103" t="s">
        <v>55</v>
      </c>
    </row>
    <row r="177" spans="1:6" ht="15.75" customHeight="1">
      <c r="A177" s="105">
        <v>46066</v>
      </c>
      <c r="B177" s="160" t="s">
        <v>371</v>
      </c>
      <c r="C177" s="180" t="s">
        <v>407</v>
      </c>
      <c r="D177" s="113">
        <v>630</v>
      </c>
      <c r="E177" s="109" t="s">
        <v>212</v>
      </c>
      <c r="F177" s="103" t="s">
        <v>55</v>
      </c>
    </row>
    <row r="178" spans="1:6" ht="15.75" customHeight="1">
      <c r="A178" s="105">
        <v>46066</v>
      </c>
      <c r="B178" s="162" t="s">
        <v>228</v>
      </c>
      <c r="C178" s="177" t="s">
        <v>408</v>
      </c>
      <c r="D178" s="113">
        <v>420.75</v>
      </c>
      <c r="E178" s="109" t="s">
        <v>212</v>
      </c>
      <c r="F178" s="103" t="s">
        <v>55</v>
      </c>
    </row>
    <row r="179" spans="1:6" ht="15.75" customHeight="1">
      <c r="A179" s="105">
        <v>46066</v>
      </c>
      <c r="B179" s="160" t="s">
        <v>394</v>
      </c>
      <c r="C179" s="180" t="s">
        <v>409</v>
      </c>
      <c r="D179" s="113">
        <v>242.62</v>
      </c>
      <c r="E179" s="109" t="s">
        <v>212</v>
      </c>
      <c r="F179" s="103" t="s">
        <v>55</v>
      </c>
    </row>
    <row r="180" spans="1:6" ht="15.75" customHeight="1">
      <c r="A180" s="105">
        <v>46071</v>
      </c>
      <c r="B180" s="160" t="s">
        <v>266</v>
      </c>
      <c r="C180" s="180"/>
      <c r="D180" s="113">
        <v>170</v>
      </c>
      <c r="E180" s="109" t="s">
        <v>212</v>
      </c>
      <c r="F180" s="103" t="s">
        <v>55</v>
      </c>
    </row>
    <row r="181" spans="1:6" ht="15.75" customHeight="1">
      <c r="A181" s="105">
        <v>46071</v>
      </c>
      <c r="B181" s="162" t="s">
        <v>105</v>
      </c>
      <c r="C181" s="177" t="s">
        <v>410</v>
      </c>
      <c r="D181" s="113">
        <v>481</v>
      </c>
      <c r="E181" s="109" t="s">
        <v>212</v>
      </c>
      <c r="F181" s="103" t="s">
        <v>55</v>
      </c>
    </row>
    <row r="182" spans="1:6" ht="15.75" customHeight="1">
      <c r="A182" s="105">
        <v>46071</v>
      </c>
      <c r="B182" s="160" t="s">
        <v>96</v>
      </c>
      <c r="C182" s="180" t="s">
        <v>411</v>
      </c>
      <c r="D182" s="113">
        <v>572</v>
      </c>
      <c r="E182" s="109" t="s">
        <v>212</v>
      </c>
      <c r="F182" s="103" t="s">
        <v>55</v>
      </c>
    </row>
    <row r="183" spans="1:6" ht="15.75" customHeight="1">
      <c r="A183" s="105">
        <v>46071</v>
      </c>
      <c r="B183" s="162" t="s">
        <v>234</v>
      </c>
      <c r="C183" s="177" t="s">
        <v>412</v>
      </c>
      <c r="D183" s="113">
        <v>1444.06</v>
      </c>
      <c r="E183" s="109" t="s">
        <v>212</v>
      </c>
      <c r="F183" s="103" t="s">
        <v>55</v>
      </c>
    </row>
    <row r="184" spans="1:6" ht="15.75" customHeight="1">
      <c r="A184" s="105">
        <v>46071</v>
      </c>
      <c r="B184" s="160" t="s">
        <v>100</v>
      </c>
      <c r="C184" s="180" t="s">
        <v>413</v>
      </c>
      <c r="D184" s="113">
        <v>651</v>
      </c>
      <c r="E184" s="109" t="s">
        <v>212</v>
      </c>
      <c r="F184" s="103" t="s">
        <v>55</v>
      </c>
    </row>
    <row r="185" spans="1:6" ht="15.75" customHeight="1">
      <c r="A185" s="105">
        <v>46071</v>
      </c>
      <c r="B185" s="162" t="s">
        <v>300</v>
      </c>
      <c r="C185" s="177" t="s">
        <v>414</v>
      </c>
      <c r="D185" s="113">
        <v>4837.76</v>
      </c>
      <c r="E185" s="109" t="s">
        <v>212</v>
      </c>
      <c r="F185" s="103" t="s">
        <v>55</v>
      </c>
    </row>
    <row r="186" spans="1:6" ht="15.75" customHeight="1">
      <c r="A186" s="105">
        <v>46071</v>
      </c>
      <c r="B186" s="160" t="s">
        <v>98</v>
      </c>
      <c r="C186" s="180" t="s">
        <v>415</v>
      </c>
      <c r="D186" s="113">
        <v>2138.5</v>
      </c>
      <c r="E186" s="109" t="s">
        <v>212</v>
      </c>
      <c r="F186" s="103" t="s">
        <v>55</v>
      </c>
    </row>
    <row r="187" spans="1:6" ht="15.75" customHeight="1">
      <c r="A187" s="105">
        <v>46071</v>
      </c>
      <c r="B187" s="162" t="s">
        <v>416</v>
      </c>
      <c r="C187" s="177" t="s">
        <v>417</v>
      </c>
      <c r="D187" s="113">
        <v>288</v>
      </c>
      <c r="E187" s="109" t="s">
        <v>212</v>
      </c>
      <c r="F187" s="103" t="s">
        <v>55</v>
      </c>
    </row>
    <row r="188" spans="1:6" ht="15.75" customHeight="1">
      <c r="A188" s="105">
        <v>46072</v>
      </c>
      <c r="B188" s="162" t="s">
        <v>418</v>
      </c>
      <c r="C188" s="177" t="s">
        <v>267</v>
      </c>
      <c r="D188" s="113">
        <v>2971</v>
      </c>
      <c r="E188" s="109" t="s">
        <v>212</v>
      </c>
      <c r="F188" s="103" t="s">
        <v>55</v>
      </c>
    </row>
    <row r="189" spans="1:6" ht="15.75" customHeight="1">
      <c r="A189" s="105">
        <v>46072</v>
      </c>
      <c r="B189" s="162" t="s">
        <v>419</v>
      </c>
      <c r="C189" s="177">
        <v>12189</v>
      </c>
      <c r="D189" s="113">
        <v>599.75</v>
      </c>
      <c r="E189" s="109" t="s">
        <v>212</v>
      </c>
      <c r="F189" s="103" t="s">
        <v>55</v>
      </c>
    </row>
    <row r="190" spans="1:6" ht="15.75" customHeight="1">
      <c r="A190" s="105">
        <v>46072</v>
      </c>
      <c r="B190" s="160" t="s">
        <v>230</v>
      </c>
      <c r="C190" s="180" t="s">
        <v>420</v>
      </c>
      <c r="D190" s="113">
        <v>868.95</v>
      </c>
      <c r="E190" s="109" t="s">
        <v>212</v>
      </c>
      <c r="F190" s="103" t="s">
        <v>55</v>
      </c>
    </row>
    <row r="191" spans="1:6" ht="15.75" customHeight="1">
      <c r="A191" s="105">
        <v>46072</v>
      </c>
      <c r="B191" s="162" t="s">
        <v>260</v>
      </c>
      <c r="C191" s="177" t="s">
        <v>421</v>
      </c>
      <c r="D191" s="113">
        <v>1096.5</v>
      </c>
      <c r="E191" s="109" t="s">
        <v>212</v>
      </c>
      <c r="F191" s="103" t="s">
        <v>55</v>
      </c>
    </row>
    <row r="192" spans="1:6" ht="15.75" customHeight="1">
      <c r="A192" s="105">
        <v>46072</v>
      </c>
      <c r="B192" s="160" t="s">
        <v>308</v>
      </c>
      <c r="C192" s="180" t="s">
        <v>422</v>
      </c>
      <c r="D192" s="113">
        <v>600</v>
      </c>
      <c r="E192" s="109" t="s">
        <v>212</v>
      </c>
      <c r="F192" s="103" t="s">
        <v>55</v>
      </c>
    </row>
    <row r="193" spans="1:6" ht="15.75" customHeight="1">
      <c r="A193" s="105">
        <v>46072</v>
      </c>
      <c r="B193" s="162" t="s">
        <v>218</v>
      </c>
      <c r="C193" s="177" t="s">
        <v>423</v>
      </c>
      <c r="D193" s="113">
        <v>1423.91</v>
      </c>
      <c r="E193" s="109" t="s">
        <v>212</v>
      </c>
      <c r="F193" s="103" t="s">
        <v>55</v>
      </c>
    </row>
    <row r="194" spans="1:6" ht="15.75" customHeight="1">
      <c r="A194" s="105">
        <v>46073</v>
      </c>
      <c r="B194" s="162" t="s">
        <v>424</v>
      </c>
      <c r="C194" s="177">
        <v>12147</v>
      </c>
      <c r="D194" s="113">
        <v>535.5</v>
      </c>
      <c r="E194" s="109" t="s">
        <v>212</v>
      </c>
      <c r="F194" s="103" t="s">
        <v>55</v>
      </c>
    </row>
    <row r="195" spans="1:6" ht="15.75" customHeight="1">
      <c r="A195" s="105">
        <v>46073</v>
      </c>
      <c r="B195" s="160" t="s">
        <v>220</v>
      </c>
      <c r="C195" s="180" t="s">
        <v>425</v>
      </c>
      <c r="D195" s="113">
        <v>670</v>
      </c>
      <c r="E195" s="109" t="s">
        <v>212</v>
      </c>
      <c r="F195" s="103" t="s">
        <v>55</v>
      </c>
    </row>
    <row r="196" spans="1:6" ht="15.75" customHeight="1">
      <c r="A196" s="105">
        <v>46073</v>
      </c>
      <c r="B196" s="162" t="s">
        <v>371</v>
      </c>
      <c r="C196" s="177" t="s">
        <v>426</v>
      </c>
      <c r="D196" s="113">
        <v>630</v>
      </c>
      <c r="E196" s="109" t="s">
        <v>212</v>
      </c>
      <c r="F196" s="103" t="s">
        <v>55</v>
      </c>
    </row>
    <row r="197" spans="1:6" ht="15.75" customHeight="1">
      <c r="A197" s="105">
        <v>46073</v>
      </c>
      <c r="B197" s="160" t="s">
        <v>305</v>
      </c>
      <c r="C197" s="180" t="s">
        <v>427</v>
      </c>
      <c r="D197" s="113">
        <v>273.18</v>
      </c>
      <c r="E197" s="109" t="s">
        <v>212</v>
      </c>
      <c r="F197" s="103" t="s">
        <v>55</v>
      </c>
    </row>
    <row r="198" spans="1:6" ht="15.75" customHeight="1">
      <c r="A198" s="105">
        <v>46073</v>
      </c>
      <c r="B198" s="162" t="s">
        <v>214</v>
      </c>
      <c r="C198" s="177" t="s">
        <v>428</v>
      </c>
      <c r="D198" s="113">
        <v>1210.46</v>
      </c>
      <c r="E198" s="109" t="s">
        <v>212</v>
      </c>
      <c r="F198" s="103" t="s">
        <v>55</v>
      </c>
    </row>
    <row r="199" spans="1:6" ht="15.75" customHeight="1">
      <c r="A199" s="105">
        <v>46073</v>
      </c>
      <c r="B199" s="160" t="s">
        <v>429</v>
      </c>
      <c r="C199" s="180" t="s">
        <v>430</v>
      </c>
      <c r="D199" s="113">
        <v>742.34</v>
      </c>
      <c r="E199" s="109" t="s">
        <v>212</v>
      </c>
      <c r="F199" s="103" t="s">
        <v>55</v>
      </c>
    </row>
    <row r="200" spans="1:6" ht="15.75" customHeight="1">
      <c r="A200" s="105">
        <v>46073</v>
      </c>
      <c r="B200" s="162" t="s">
        <v>431</v>
      </c>
      <c r="C200" s="177" t="s">
        <v>432</v>
      </c>
      <c r="D200" s="113">
        <v>720.8</v>
      </c>
      <c r="E200" s="109" t="s">
        <v>212</v>
      </c>
      <c r="F200" s="103" t="s">
        <v>55</v>
      </c>
    </row>
    <row r="201" spans="1:6" ht="15.75" customHeight="1">
      <c r="A201" s="105">
        <v>46073</v>
      </c>
      <c r="B201" s="160" t="s">
        <v>433</v>
      </c>
      <c r="C201" s="180" t="s">
        <v>434</v>
      </c>
      <c r="D201" s="113">
        <v>623</v>
      </c>
      <c r="E201" s="109" t="s">
        <v>212</v>
      </c>
      <c r="F201" s="103" t="s">
        <v>55</v>
      </c>
    </row>
    <row r="202" spans="1:6" ht="15.75" customHeight="1">
      <c r="A202" s="105">
        <v>46076</v>
      </c>
      <c r="B202" s="162" t="s">
        <v>435</v>
      </c>
      <c r="C202" s="177" t="s">
        <v>436</v>
      </c>
      <c r="D202" s="113">
        <v>538.33000000000004</v>
      </c>
      <c r="E202" s="109" t="s">
        <v>212</v>
      </c>
      <c r="F202" s="103" t="s">
        <v>55</v>
      </c>
    </row>
    <row r="203" spans="1:6" ht="15.75" customHeight="1">
      <c r="A203" s="105">
        <v>46076</v>
      </c>
      <c r="B203" s="160" t="s">
        <v>308</v>
      </c>
      <c r="C203" s="180" t="s">
        <v>437</v>
      </c>
      <c r="D203" s="113">
        <v>390.5</v>
      </c>
      <c r="E203" s="109" t="s">
        <v>212</v>
      </c>
      <c r="F203" s="103" t="s">
        <v>55</v>
      </c>
    </row>
    <row r="204" spans="1:6" ht="15.75" customHeight="1">
      <c r="A204" s="105">
        <v>46076</v>
      </c>
      <c r="B204" s="162" t="s">
        <v>438</v>
      </c>
      <c r="C204" s="177" t="s">
        <v>439</v>
      </c>
      <c r="D204" s="113">
        <v>350</v>
      </c>
      <c r="E204" s="109" t="s">
        <v>212</v>
      </c>
      <c r="F204" s="103" t="s">
        <v>55</v>
      </c>
    </row>
    <row r="205" spans="1:6" ht="15.75" customHeight="1" thickBot="1">
      <c r="A205" s="164">
        <v>46076</v>
      </c>
      <c r="B205" s="165" t="s">
        <v>246</v>
      </c>
      <c r="C205" s="420" t="s">
        <v>440</v>
      </c>
      <c r="D205" s="136">
        <v>725.1</v>
      </c>
      <c r="E205" s="109" t="s">
        <v>212</v>
      </c>
      <c r="F205" s="103" t="s">
        <v>55</v>
      </c>
    </row>
    <row r="206" spans="1:6" ht="15.75" customHeight="1">
      <c r="A206" s="164">
        <v>46076</v>
      </c>
      <c r="B206" s="154" t="s">
        <v>441</v>
      </c>
      <c r="C206" s="169" t="s">
        <v>442</v>
      </c>
      <c r="D206" s="113">
        <v>216</v>
      </c>
      <c r="E206" s="109" t="s">
        <v>212</v>
      </c>
      <c r="F206" s="103" t="s">
        <v>55</v>
      </c>
    </row>
    <row r="207" spans="1:6" ht="15.75" customHeight="1">
      <c r="A207" s="164">
        <v>46077</v>
      </c>
      <c r="B207" s="166" t="s">
        <v>380</v>
      </c>
      <c r="C207" s="421" t="s">
        <v>443</v>
      </c>
      <c r="D207" s="136">
        <v>3608.71</v>
      </c>
      <c r="E207" s="109" t="s">
        <v>212</v>
      </c>
      <c r="F207" s="103" t="s">
        <v>55</v>
      </c>
    </row>
    <row r="208" spans="1:6" ht="15.75" customHeight="1">
      <c r="A208" s="164">
        <v>46077</v>
      </c>
      <c r="B208" s="167" t="s">
        <v>96</v>
      </c>
      <c r="C208" s="422" t="s">
        <v>444</v>
      </c>
      <c r="D208" s="136">
        <v>572</v>
      </c>
      <c r="E208" s="109" t="s">
        <v>212</v>
      </c>
      <c r="F208" s="103" t="s">
        <v>55</v>
      </c>
    </row>
    <row r="209" spans="1:6" ht="15.75" customHeight="1">
      <c r="A209" s="164">
        <v>46077</v>
      </c>
      <c r="B209" s="166" t="s">
        <v>445</v>
      </c>
      <c r="C209" s="421" t="s">
        <v>446</v>
      </c>
      <c r="D209" s="136">
        <v>528.85</v>
      </c>
      <c r="E209" s="109" t="s">
        <v>212</v>
      </c>
      <c r="F209" s="103" t="s">
        <v>55</v>
      </c>
    </row>
    <row r="210" spans="1:6" ht="15.75" customHeight="1">
      <c r="A210" s="164">
        <v>46077</v>
      </c>
      <c r="B210" s="167" t="s">
        <v>234</v>
      </c>
      <c r="C210" s="422" t="s">
        <v>447</v>
      </c>
      <c r="D210" s="136">
        <v>360</v>
      </c>
      <c r="E210" s="109" t="s">
        <v>212</v>
      </c>
      <c r="F210" s="103" t="s">
        <v>55</v>
      </c>
    </row>
    <row r="211" spans="1:6" ht="15.75" customHeight="1">
      <c r="A211" s="164">
        <v>46077</v>
      </c>
      <c r="B211" s="166" t="s">
        <v>448</v>
      </c>
      <c r="C211" s="421" t="s">
        <v>449</v>
      </c>
      <c r="D211" s="136">
        <v>902</v>
      </c>
      <c r="E211" s="109" t="s">
        <v>212</v>
      </c>
      <c r="F211" s="103" t="s">
        <v>55</v>
      </c>
    </row>
    <row r="212" spans="1:6" ht="15.75" customHeight="1" thickBot="1">
      <c r="A212" s="164">
        <v>46077</v>
      </c>
      <c r="B212" s="168" t="s">
        <v>380</v>
      </c>
      <c r="C212" s="423" t="s">
        <v>450</v>
      </c>
      <c r="D212" s="136">
        <v>4279</v>
      </c>
      <c r="E212" s="109" t="s">
        <v>212</v>
      </c>
      <c r="F212" s="103" t="s">
        <v>55</v>
      </c>
    </row>
    <row r="213" spans="1:6" ht="15.75" customHeight="1">
      <c r="A213" s="164">
        <v>46077</v>
      </c>
      <c r="B213" s="154" t="s">
        <v>451</v>
      </c>
      <c r="C213" s="169">
        <v>12161</v>
      </c>
      <c r="D213" s="113">
        <v>145.9</v>
      </c>
      <c r="E213" s="109" t="s">
        <v>212</v>
      </c>
      <c r="F213" s="103" t="s">
        <v>55</v>
      </c>
    </row>
    <row r="214" spans="1:6" ht="15.75" customHeight="1">
      <c r="A214" s="164">
        <v>46077</v>
      </c>
      <c r="B214" s="154" t="s">
        <v>452</v>
      </c>
      <c r="C214" s="169">
        <v>12159</v>
      </c>
      <c r="D214" s="113">
        <v>75.540000000000006</v>
      </c>
      <c r="E214" s="109" t="s">
        <v>212</v>
      </c>
      <c r="F214" s="103" t="s">
        <v>55</v>
      </c>
    </row>
    <row r="215" spans="1:6" ht="15.75" customHeight="1">
      <c r="A215" s="105">
        <v>46078</v>
      </c>
      <c r="B215" s="154" t="s">
        <v>76</v>
      </c>
      <c r="C215" s="169">
        <v>11935</v>
      </c>
      <c r="D215" s="113">
        <v>992.67</v>
      </c>
      <c r="E215" s="109" t="s">
        <v>212</v>
      </c>
      <c r="F215" s="103" t="s">
        <v>55</v>
      </c>
    </row>
    <row r="216" spans="1:6" ht="15.75" customHeight="1">
      <c r="A216" s="105">
        <v>46078</v>
      </c>
      <c r="B216" s="154" t="s">
        <v>300</v>
      </c>
      <c r="C216" s="169">
        <v>11960</v>
      </c>
      <c r="D216" s="113">
        <v>4837.76</v>
      </c>
      <c r="E216" s="109" t="s">
        <v>212</v>
      </c>
      <c r="F216" s="103" t="s">
        <v>55</v>
      </c>
    </row>
    <row r="217" spans="1:6" ht="15.75" customHeight="1">
      <c r="A217" s="105">
        <v>46078</v>
      </c>
      <c r="B217" s="154" t="s">
        <v>453</v>
      </c>
      <c r="C217" s="169">
        <v>12029</v>
      </c>
      <c r="D217" s="113">
        <v>624</v>
      </c>
      <c r="E217" s="109" t="s">
        <v>212</v>
      </c>
      <c r="F217" s="103" t="s">
        <v>55</v>
      </c>
    </row>
    <row r="218" spans="1:6" ht="15.75" customHeight="1">
      <c r="A218" s="105">
        <v>46078</v>
      </c>
      <c r="B218" s="154" t="s">
        <v>73</v>
      </c>
      <c r="C218" s="169">
        <v>12030</v>
      </c>
      <c r="D218" s="113">
        <v>546.4</v>
      </c>
      <c r="E218" s="109" t="s">
        <v>212</v>
      </c>
      <c r="F218" s="103" t="s">
        <v>55</v>
      </c>
    </row>
    <row r="219" spans="1:6" ht="15.75" customHeight="1">
      <c r="A219" s="105">
        <v>46079</v>
      </c>
      <c r="B219" s="154" t="s">
        <v>454</v>
      </c>
      <c r="C219" s="169">
        <v>12192</v>
      </c>
      <c r="D219" s="113">
        <v>3110.8</v>
      </c>
      <c r="E219" s="109" t="s">
        <v>212</v>
      </c>
      <c r="F219" s="103" t="s">
        <v>55</v>
      </c>
    </row>
    <row r="220" spans="1:6" ht="15.75" customHeight="1">
      <c r="A220" s="105">
        <v>46079</v>
      </c>
      <c r="B220" s="160" t="s">
        <v>220</v>
      </c>
      <c r="C220" s="180" t="s">
        <v>455</v>
      </c>
      <c r="D220" s="113">
        <v>612</v>
      </c>
      <c r="E220" s="109" t="s">
        <v>212</v>
      </c>
      <c r="F220" s="103" t="s">
        <v>55</v>
      </c>
    </row>
    <row r="221" spans="1:6" ht="15.75" customHeight="1">
      <c r="A221" s="105">
        <v>46079</v>
      </c>
      <c r="B221" s="162" t="s">
        <v>218</v>
      </c>
      <c r="C221" s="177" t="s">
        <v>456</v>
      </c>
      <c r="D221" s="113">
        <v>1423.91</v>
      </c>
      <c r="E221" s="109" t="s">
        <v>212</v>
      </c>
      <c r="F221" s="103" t="s">
        <v>55</v>
      </c>
    </row>
    <row r="222" spans="1:6" ht="15.75" customHeight="1">
      <c r="A222" s="105">
        <v>46079</v>
      </c>
      <c r="B222" s="160" t="s">
        <v>457</v>
      </c>
      <c r="C222" s="180" t="s">
        <v>458</v>
      </c>
      <c r="D222" s="113">
        <v>564.25</v>
      </c>
      <c r="E222" s="109" t="s">
        <v>212</v>
      </c>
      <c r="F222" s="103" t="s">
        <v>55</v>
      </c>
    </row>
    <row r="223" spans="1:6" ht="15.75" customHeight="1">
      <c r="A223" s="105">
        <v>46079</v>
      </c>
      <c r="B223" s="162" t="s">
        <v>234</v>
      </c>
      <c r="C223" s="177" t="s">
        <v>459</v>
      </c>
      <c r="D223" s="113">
        <v>328.55</v>
      </c>
      <c r="E223" s="109" t="s">
        <v>212</v>
      </c>
      <c r="F223" s="103" t="s">
        <v>55</v>
      </c>
    </row>
    <row r="224" spans="1:6" ht="15.75" customHeight="1">
      <c r="A224" s="105">
        <v>46080</v>
      </c>
      <c r="B224" s="160" t="s">
        <v>228</v>
      </c>
      <c r="C224" s="180" t="s">
        <v>460</v>
      </c>
      <c r="D224" s="113">
        <v>509.75</v>
      </c>
      <c r="E224" s="109" t="s">
        <v>212</v>
      </c>
      <c r="F224" s="103" t="s">
        <v>55</v>
      </c>
    </row>
    <row r="225" spans="1:7" ht="15.75" customHeight="1">
      <c r="A225" s="105">
        <v>46080</v>
      </c>
      <c r="B225" s="162" t="s">
        <v>238</v>
      </c>
      <c r="C225" s="177" t="s">
        <v>461</v>
      </c>
      <c r="D225" s="113">
        <v>4517</v>
      </c>
      <c r="E225" s="109" t="s">
        <v>212</v>
      </c>
      <c r="F225" s="103" t="s">
        <v>55</v>
      </c>
    </row>
    <row r="226" spans="1:7" ht="15.75" customHeight="1">
      <c r="A226" s="105">
        <v>46080</v>
      </c>
      <c r="B226" s="160" t="s">
        <v>98</v>
      </c>
      <c r="C226" s="180" t="s">
        <v>462</v>
      </c>
      <c r="D226" s="113">
        <v>1013.17</v>
      </c>
      <c r="E226" s="109" t="s">
        <v>212</v>
      </c>
      <c r="F226" s="103" t="s">
        <v>55</v>
      </c>
    </row>
    <row r="227" spans="1:7" ht="15.75" customHeight="1">
      <c r="A227" s="105">
        <v>46080</v>
      </c>
      <c r="B227" s="162" t="s">
        <v>445</v>
      </c>
      <c r="C227" s="177" t="s">
        <v>463</v>
      </c>
      <c r="D227" s="113">
        <v>720.8</v>
      </c>
      <c r="E227" s="109" t="s">
        <v>212</v>
      </c>
      <c r="F227" s="103" t="s">
        <v>55</v>
      </c>
    </row>
    <row r="228" spans="1:7" ht="15.75" customHeight="1">
      <c r="A228" s="105">
        <v>46080</v>
      </c>
      <c r="B228" s="160" t="s">
        <v>327</v>
      </c>
      <c r="C228" s="180" t="s">
        <v>464</v>
      </c>
      <c r="D228" s="113">
        <v>487.5</v>
      </c>
      <c r="E228" s="109" t="s">
        <v>212</v>
      </c>
      <c r="F228" s="103" t="s">
        <v>55</v>
      </c>
    </row>
    <row r="229" spans="1:7" ht="15.75" customHeight="1">
      <c r="A229" s="105">
        <v>46080</v>
      </c>
      <c r="B229" s="162" t="s">
        <v>465</v>
      </c>
      <c r="C229" s="177" t="s">
        <v>466</v>
      </c>
      <c r="D229" s="113">
        <v>516</v>
      </c>
      <c r="E229" s="109" t="s">
        <v>212</v>
      </c>
      <c r="F229" s="103" t="s">
        <v>55</v>
      </c>
    </row>
    <row r="230" spans="1:7" ht="15.75" customHeight="1">
      <c r="A230" s="105">
        <v>46080</v>
      </c>
      <c r="B230" s="160" t="s">
        <v>234</v>
      </c>
      <c r="C230" s="180" t="s">
        <v>467</v>
      </c>
      <c r="D230" s="113">
        <v>299</v>
      </c>
      <c r="E230" s="109" t="s">
        <v>212</v>
      </c>
      <c r="F230" s="103" t="s">
        <v>55</v>
      </c>
    </row>
    <row r="231" spans="1:7" ht="15.75" customHeight="1">
      <c r="A231" s="105">
        <v>46080</v>
      </c>
      <c r="B231" s="162" t="s">
        <v>230</v>
      </c>
      <c r="C231" s="177" t="s">
        <v>468</v>
      </c>
      <c r="D231" s="113">
        <v>593</v>
      </c>
      <c r="E231" s="109" t="s">
        <v>212</v>
      </c>
      <c r="F231" s="103" t="s">
        <v>55</v>
      </c>
    </row>
    <row r="232" spans="1:7" ht="15.75" customHeight="1">
      <c r="A232" s="105">
        <v>46080</v>
      </c>
      <c r="B232" s="160" t="s">
        <v>256</v>
      </c>
      <c r="C232" s="180" t="s">
        <v>469</v>
      </c>
      <c r="D232" s="113">
        <v>556.49</v>
      </c>
      <c r="E232" s="109" t="s">
        <v>212</v>
      </c>
      <c r="F232" s="103" t="s">
        <v>55</v>
      </c>
    </row>
    <row r="233" spans="1:7" ht="15.75" customHeight="1">
      <c r="A233" s="105">
        <v>46080</v>
      </c>
      <c r="B233" s="162" t="s">
        <v>214</v>
      </c>
      <c r="C233" s="177" t="s">
        <v>470</v>
      </c>
      <c r="D233" s="113">
        <v>2210</v>
      </c>
      <c r="E233" s="109" t="s">
        <v>212</v>
      </c>
      <c r="F233" s="103" t="s">
        <v>55</v>
      </c>
    </row>
    <row r="234" spans="1:7" ht="15.75" customHeight="1">
      <c r="A234" s="105">
        <v>46080</v>
      </c>
      <c r="B234" s="160" t="s">
        <v>214</v>
      </c>
      <c r="C234" s="180" t="s">
        <v>471</v>
      </c>
      <c r="D234" s="113">
        <v>861.54</v>
      </c>
      <c r="E234" s="109" t="s">
        <v>212</v>
      </c>
      <c r="F234" s="103" t="s">
        <v>55</v>
      </c>
    </row>
    <row r="235" spans="1:7" ht="15.75" customHeight="1">
      <c r="A235" s="105">
        <v>46080</v>
      </c>
      <c r="B235" s="162" t="s">
        <v>472</v>
      </c>
      <c r="C235" s="169">
        <v>12197</v>
      </c>
      <c r="D235" s="113">
        <v>35</v>
      </c>
      <c r="E235" s="109" t="s">
        <v>212</v>
      </c>
      <c r="F235" s="103" t="s">
        <v>55</v>
      </c>
    </row>
    <row r="236" spans="1:7" ht="15.75" customHeight="1">
      <c r="A236" s="105">
        <v>46080</v>
      </c>
      <c r="B236" s="107" t="s">
        <v>473</v>
      </c>
      <c r="C236" s="169" t="s">
        <v>264</v>
      </c>
      <c r="D236" s="113">
        <v>278</v>
      </c>
      <c r="E236" s="109" t="s">
        <v>212</v>
      </c>
      <c r="F236" s="103" t="s">
        <v>55</v>
      </c>
    </row>
    <row r="237" spans="1:7" ht="15.75" customHeight="1">
      <c r="A237" s="105">
        <v>46083</v>
      </c>
      <c r="B237" s="107" t="s">
        <v>474</v>
      </c>
      <c r="C237" s="169">
        <v>12051</v>
      </c>
      <c r="D237" s="113">
        <v>1865</v>
      </c>
      <c r="E237" s="109" t="s">
        <v>212</v>
      </c>
      <c r="F237" s="103" t="s">
        <v>7</v>
      </c>
      <c r="G237" s="317">
        <f>SUM(D237:D411)</f>
        <v>183424.12</v>
      </c>
    </row>
    <row r="238" spans="1:7" ht="15.75" customHeight="1">
      <c r="A238" s="105">
        <v>46083</v>
      </c>
      <c r="B238" s="107" t="s">
        <v>454</v>
      </c>
      <c r="C238" s="169">
        <v>12208</v>
      </c>
      <c r="D238" s="113">
        <v>12005</v>
      </c>
      <c r="E238" s="109" t="s">
        <v>212</v>
      </c>
      <c r="F238" s="103" t="s">
        <v>7</v>
      </c>
    </row>
    <row r="239" spans="1:7" ht="15.75" customHeight="1">
      <c r="A239" s="105">
        <v>46083</v>
      </c>
      <c r="B239" s="107" t="s">
        <v>339</v>
      </c>
      <c r="C239" s="169">
        <v>11831</v>
      </c>
      <c r="D239" s="113">
        <v>2566.6799999999998</v>
      </c>
      <c r="E239" s="109" t="s">
        <v>212</v>
      </c>
      <c r="F239" s="103" t="s">
        <v>7</v>
      </c>
    </row>
    <row r="240" spans="1:7" ht="15.75" customHeight="1">
      <c r="A240" s="105">
        <v>46083</v>
      </c>
      <c r="B240" s="107" t="s">
        <v>475</v>
      </c>
      <c r="C240" s="169">
        <v>11956</v>
      </c>
      <c r="D240" s="113">
        <v>1801.67</v>
      </c>
      <c r="E240" s="109" t="s">
        <v>212</v>
      </c>
      <c r="F240" s="103" t="s">
        <v>7</v>
      </c>
    </row>
    <row r="241" spans="1:6" ht="15.75" customHeight="1">
      <c r="A241" s="105">
        <v>46083</v>
      </c>
      <c r="B241" s="107" t="s">
        <v>362</v>
      </c>
      <c r="C241" s="169">
        <v>12037</v>
      </c>
      <c r="D241" s="113">
        <v>1429.3</v>
      </c>
      <c r="E241" s="109" t="s">
        <v>212</v>
      </c>
      <c r="F241" s="103" t="s">
        <v>7</v>
      </c>
    </row>
    <row r="242" spans="1:6" ht="15.75" customHeight="1">
      <c r="A242" s="105">
        <v>46083</v>
      </c>
      <c r="B242" s="107" t="s">
        <v>476</v>
      </c>
      <c r="C242" s="169">
        <v>12049</v>
      </c>
      <c r="D242" s="113">
        <v>438.5</v>
      </c>
      <c r="E242" s="109" t="s">
        <v>212</v>
      </c>
      <c r="F242" s="103" t="s">
        <v>7</v>
      </c>
    </row>
    <row r="243" spans="1:6" ht="15.75" customHeight="1">
      <c r="A243" s="105">
        <v>46084</v>
      </c>
      <c r="B243" s="107" t="s">
        <v>337</v>
      </c>
      <c r="C243" s="169">
        <v>12053</v>
      </c>
      <c r="D243" s="113">
        <v>673</v>
      </c>
      <c r="E243" s="109" t="s">
        <v>212</v>
      </c>
      <c r="F243" s="103" t="s">
        <v>7</v>
      </c>
    </row>
    <row r="244" spans="1:6" ht="15.75" customHeight="1">
      <c r="A244" s="105">
        <v>46084</v>
      </c>
      <c r="B244" s="107" t="s">
        <v>477</v>
      </c>
      <c r="C244" s="169">
        <v>12059</v>
      </c>
      <c r="D244" s="113">
        <v>276</v>
      </c>
      <c r="E244" s="109" t="s">
        <v>212</v>
      </c>
      <c r="F244" s="103" t="s">
        <v>7</v>
      </c>
    </row>
    <row r="245" spans="1:6" ht="15.75" customHeight="1">
      <c r="A245" s="105">
        <v>46084</v>
      </c>
      <c r="B245" s="107" t="s">
        <v>478</v>
      </c>
      <c r="C245" s="169">
        <v>12214</v>
      </c>
      <c r="D245" s="113">
        <v>1890</v>
      </c>
      <c r="E245" s="109" t="s">
        <v>212</v>
      </c>
      <c r="F245" s="103" t="s">
        <v>7</v>
      </c>
    </row>
    <row r="246" spans="1:6" ht="15.75" customHeight="1">
      <c r="A246" s="105">
        <v>46085</v>
      </c>
      <c r="B246" s="107" t="s">
        <v>73</v>
      </c>
      <c r="C246" s="169">
        <v>12030</v>
      </c>
      <c r="D246" s="113">
        <v>546.4</v>
      </c>
      <c r="E246" s="109" t="s">
        <v>212</v>
      </c>
      <c r="F246" s="103" t="s">
        <v>7</v>
      </c>
    </row>
    <row r="247" spans="1:6" ht="15.75" customHeight="1">
      <c r="A247" s="105">
        <v>46085</v>
      </c>
      <c r="B247" s="107" t="s">
        <v>479</v>
      </c>
      <c r="C247" s="169">
        <v>12045</v>
      </c>
      <c r="D247" s="113">
        <v>296.51</v>
      </c>
      <c r="E247" s="109" t="s">
        <v>212</v>
      </c>
      <c r="F247" s="103" t="s">
        <v>7</v>
      </c>
    </row>
    <row r="248" spans="1:6" ht="15.75" customHeight="1">
      <c r="A248" s="105">
        <v>46085</v>
      </c>
      <c r="B248" s="107" t="s">
        <v>480</v>
      </c>
      <c r="C248" s="169">
        <v>12056</v>
      </c>
      <c r="D248" s="113">
        <v>252</v>
      </c>
      <c r="E248" s="109" t="s">
        <v>212</v>
      </c>
      <c r="F248" s="103" t="s">
        <v>7</v>
      </c>
    </row>
    <row r="249" spans="1:6" ht="15.75" customHeight="1">
      <c r="A249" s="105">
        <v>46085</v>
      </c>
      <c r="B249" s="107" t="s">
        <v>481</v>
      </c>
      <c r="C249" s="169">
        <v>12057</v>
      </c>
      <c r="D249" s="113">
        <v>261.89999999999998</v>
      </c>
      <c r="E249" s="109" t="s">
        <v>212</v>
      </c>
      <c r="F249" s="103" t="s">
        <v>7</v>
      </c>
    </row>
    <row r="250" spans="1:6" ht="15.75" customHeight="1">
      <c r="A250" s="105">
        <v>46086</v>
      </c>
      <c r="B250" s="107" t="s">
        <v>482</v>
      </c>
      <c r="C250" s="169">
        <v>12160</v>
      </c>
      <c r="D250" s="113">
        <v>142.9</v>
      </c>
      <c r="E250" s="109" t="s">
        <v>212</v>
      </c>
      <c r="F250" s="103" t="s">
        <v>7</v>
      </c>
    </row>
    <row r="251" spans="1:6" ht="15.75" customHeight="1">
      <c r="A251" s="105">
        <v>46086</v>
      </c>
      <c r="B251" s="107" t="s">
        <v>73</v>
      </c>
      <c r="C251" s="169">
        <v>12064</v>
      </c>
      <c r="D251" s="113">
        <v>416.48</v>
      </c>
      <c r="E251" s="109" t="s">
        <v>212</v>
      </c>
      <c r="F251" s="103" t="s">
        <v>7</v>
      </c>
    </row>
    <row r="252" spans="1:6" ht="15.75" customHeight="1">
      <c r="A252" s="105">
        <v>46086</v>
      </c>
      <c r="B252" s="153" t="s">
        <v>483</v>
      </c>
      <c r="C252" s="170">
        <v>12069</v>
      </c>
      <c r="D252" s="113">
        <v>203</v>
      </c>
      <c r="E252" s="109" t="s">
        <v>212</v>
      </c>
      <c r="F252" s="103" t="s">
        <v>7</v>
      </c>
    </row>
    <row r="253" spans="1:6" ht="15.75" customHeight="1">
      <c r="A253" s="105">
        <v>46086</v>
      </c>
      <c r="B253" s="154" t="s">
        <v>484</v>
      </c>
      <c r="C253" s="171">
        <v>12060</v>
      </c>
      <c r="D253" s="113">
        <v>1733</v>
      </c>
      <c r="E253" s="109" t="s">
        <v>212</v>
      </c>
      <c r="F253" s="103" t="s">
        <v>7</v>
      </c>
    </row>
    <row r="254" spans="1:6" ht="15.75" customHeight="1">
      <c r="A254" s="105">
        <v>46087</v>
      </c>
      <c r="B254" s="153" t="s">
        <v>76</v>
      </c>
      <c r="C254" s="170">
        <v>12006</v>
      </c>
      <c r="D254" s="113">
        <v>480</v>
      </c>
      <c r="E254" s="109" t="s">
        <v>212</v>
      </c>
      <c r="F254" s="103" t="s">
        <v>7</v>
      </c>
    </row>
    <row r="255" spans="1:6" ht="15.75" customHeight="1">
      <c r="A255" s="105">
        <v>46087</v>
      </c>
      <c r="B255" s="154" t="s">
        <v>485</v>
      </c>
      <c r="C255" s="171">
        <v>12247</v>
      </c>
      <c r="D255" s="113">
        <v>545</v>
      </c>
      <c r="E255" s="109" t="s">
        <v>212</v>
      </c>
      <c r="F255" s="103" t="s">
        <v>7</v>
      </c>
    </row>
    <row r="256" spans="1:6" ht="15.75" customHeight="1">
      <c r="A256" s="105">
        <v>46087</v>
      </c>
      <c r="B256" s="172" t="s">
        <v>256</v>
      </c>
      <c r="C256" s="173" t="s">
        <v>486</v>
      </c>
      <c r="D256" s="113">
        <v>556.49</v>
      </c>
      <c r="E256" s="109" t="s">
        <v>212</v>
      </c>
      <c r="F256" s="103" t="s">
        <v>7</v>
      </c>
    </row>
    <row r="257" spans="1:6" ht="15.75" customHeight="1">
      <c r="A257" s="105">
        <v>46087</v>
      </c>
      <c r="B257" s="154" t="s">
        <v>214</v>
      </c>
      <c r="C257" s="171" t="s">
        <v>487</v>
      </c>
      <c r="D257" s="113">
        <v>2210</v>
      </c>
      <c r="E257" s="109" t="s">
        <v>212</v>
      </c>
      <c r="F257" s="103" t="s">
        <v>7</v>
      </c>
    </row>
    <row r="258" spans="1:6" ht="15.75" customHeight="1">
      <c r="A258" s="105">
        <v>46087</v>
      </c>
      <c r="B258" s="172" t="s">
        <v>214</v>
      </c>
      <c r="C258" s="173" t="s">
        <v>488</v>
      </c>
      <c r="D258" s="113">
        <v>861.53</v>
      </c>
      <c r="E258" s="109" t="s">
        <v>212</v>
      </c>
      <c r="F258" s="103" t="s">
        <v>7</v>
      </c>
    </row>
    <row r="259" spans="1:6" ht="15.75" customHeight="1">
      <c r="A259" s="105">
        <v>46087</v>
      </c>
      <c r="B259" s="154" t="s">
        <v>489</v>
      </c>
      <c r="C259" s="171" t="s">
        <v>490</v>
      </c>
      <c r="D259" s="113">
        <v>191</v>
      </c>
      <c r="E259" s="109" t="s">
        <v>212</v>
      </c>
      <c r="F259" s="103" t="s">
        <v>7</v>
      </c>
    </row>
    <row r="260" spans="1:6" ht="15.75" customHeight="1">
      <c r="A260" s="105">
        <v>46087</v>
      </c>
      <c r="B260" s="172" t="s">
        <v>491</v>
      </c>
      <c r="C260" s="173" t="s">
        <v>492</v>
      </c>
      <c r="D260" s="113">
        <v>383</v>
      </c>
      <c r="E260" s="109" t="s">
        <v>212</v>
      </c>
      <c r="F260" s="103" t="s">
        <v>7</v>
      </c>
    </row>
    <row r="261" spans="1:6" ht="15.75" customHeight="1">
      <c r="A261" s="105">
        <v>46090</v>
      </c>
      <c r="B261" s="172" t="s">
        <v>493</v>
      </c>
      <c r="C261" s="173">
        <v>12252</v>
      </c>
      <c r="D261" s="113">
        <v>114</v>
      </c>
      <c r="E261" s="109" t="s">
        <v>212</v>
      </c>
      <c r="F261" s="103" t="s">
        <v>7</v>
      </c>
    </row>
    <row r="262" spans="1:6" ht="15.75" customHeight="1">
      <c r="A262" s="105">
        <v>46090</v>
      </c>
      <c r="B262" s="172" t="s">
        <v>494</v>
      </c>
      <c r="C262" s="173" t="s">
        <v>267</v>
      </c>
      <c r="D262" s="113">
        <v>200</v>
      </c>
      <c r="E262" s="109" t="s">
        <v>212</v>
      </c>
      <c r="F262" s="103" t="s">
        <v>7</v>
      </c>
    </row>
    <row r="263" spans="1:6" ht="15.75" customHeight="1">
      <c r="A263" s="105">
        <v>46090</v>
      </c>
      <c r="B263" s="172" t="s">
        <v>380</v>
      </c>
      <c r="C263" s="173" t="s">
        <v>495</v>
      </c>
      <c r="D263" s="113">
        <v>5385.97</v>
      </c>
      <c r="E263" s="109" t="s">
        <v>212</v>
      </c>
      <c r="F263" s="103" t="s">
        <v>7</v>
      </c>
    </row>
    <row r="264" spans="1:6" ht="15.75" customHeight="1">
      <c r="A264" s="105">
        <v>46090</v>
      </c>
      <c r="B264" s="172" t="s">
        <v>214</v>
      </c>
      <c r="C264" s="173" t="s">
        <v>496</v>
      </c>
      <c r="D264" s="113">
        <v>1210.47</v>
      </c>
      <c r="E264" s="109" t="s">
        <v>212</v>
      </c>
      <c r="F264" s="103" t="s">
        <v>7</v>
      </c>
    </row>
    <row r="265" spans="1:6" ht="15.75" customHeight="1">
      <c r="A265" s="105">
        <v>46090</v>
      </c>
      <c r="B265" s="154" t="s">
        <v>288</v>
      </c>
      <c r="C265" s="171" t="s">
        <v>497</v>
      </c>
      <c r="D265" s="113">
        <v>667.4</v>
      </c>
      <c r="E265" s="109" t="s">
        <v>212</v>
      </c>
      <c r="F265" s="103" t="s">
        <v>7</v>
      </c>
    </row>
    <row r="266" spans="1:6" ht="15.75" customHeight="1">
      <c r="A266" s="105">
        <v>46090</v>
      </c>
      <c r="B266" s="172" t="s">
        <v>429</v>
      </c>
      <c r="C266" s="173" t="s">
        <v>498</v>
      </c>
      <c r="D266" s="113">
        <v>742.33</v>
      </c>
      <c r="E266" s="109" t="s">
        <v>212</v>
      </c>
      <c r="F266" s="103" t="s">
        <v>7</v>
      </c>
    </row>
    <row r="267" spans="1:6" ht="15.75" customHeight="1">
      <c r="A267" s="105">
        <v>46090</v>
      </c>
      <c r="B267" s="154" t="s">
        <v>499</v>
      </c>
      <c r="C267" s="171" t="s">
        <v>500</v>
      </c>
      <c r="D267" s="113">
        <v>816</v>
      </c>
      <c r="E267" s="109" t="s">
        <v>212</v>
      </c>
      <c r="F267" s="103" t="s">
        <v>7</v>
      </c>
    </row>
    <row r="268" spans="1:6" ht="15.75" customHeight="1">
      <c r="A268" s="105">
        <v>46090</v>
      </c>
      <c r="B268" s="172" t="s">
        <v>270</v>
      </c>
      <c r="C268" s="173" t="s">
        <v>501</v>
      </c>
      <c r="D268" s="113">
        <v>320</v>
      </c>
      <c r="E268" s="109" t="s">
        <v>212</v>
      </c>
      <c r="F268" s="103" t="s">
        <v>7</v>
      </c>
    </row>
    <row r="269" spans="1:6" ht="15.75" customHeight="1">
      <c r="A269" s="105">
        <v>46092</v>
      </c>
      <c r="B269" s="154" t="s">
        <v>502</v>
      </c>
      <c r="C269" s="169">
        <v>12288</v>
      </c>
      <c r="D269" s="113">
        <v>240.5</v>
      </c>
      <c r="E269" s="109" t="s">
        <v>212</v>
      </c>
      <c r="F269" s="103" t="s">
        <v>7</v>
      </c>
    </row>
    <row r="270" spans="1:6" ht="15.75" customHeight="1">
      <c r="A270" s="105">
        <v>46092</v>
      </c>
      <c r="B270" s="153" t="s">
        <v>292</v>
      </c>
      <c r="C270" s="170" t="s">
        <v>503</v>
      </c>
      <c r="D270" s="113">
        <v>1059.26</v>
      </c>
      <c r="E270" s="109" t="s">
        <v>212</v>
      </c>
      <c r="F270" s="103" t="s">
        <v>7</v>
      </c>
    </row>
    <row r="271" spans="1:6" ht="15.75" customHeight="1">
      <c r="A271" s="105">
        <v>46092</v>
      </c>
      <c r="B271" s="154" t="s">
        <v>234</v>
      </c>
      <c r="C271" s="171" t="s">
        <v>504</v>
      </c>
      <c r="D271" s="113">
        <v>306.14999999999998</v>
      </c>
      <c r="E271" s="109" t="s">
        <v>212</v>
      </c>
      <c r="F271" s="103" t="s">
        <v>7</v>
      </c>
    </row>
    <row r="272" spans="1:6" ht="15.75" customHeight="1">
      <c r="A272" s="105">
        <v>46092</v>
      </c>
      <c r="B272" s="172" t="s">
        <v>234</v>
      </c>
      <c r="C272" s="173" t="s">
        <v>505</v>
      </c>
      <c r="D272" s="113">
        <v>546.4</v>
      </c>
      <c r="E272" s="109" t="s">
        <v>212</v>
      </c>
      <c r="F272" s="103" t="s">
        <v>7</v>
      </c>
    </row>
    <row r="273" spans="1:6" ht="15.75" customHeight="1">
      <c r="A273" s="105">
        <v>46092</v>
      </c>
      <c r="B273" s="172" t="s">
        <v>214</v>
      </c>
      <c r="C273" s="173" t="s">
        <v>506</v>
      </c>
      <c r="D273" s="113">
        <v>1815.8</v>
      </c>
      <c r="E273" s="109" t="s">
        <v>212</v>
      </c>
      <c r="F273" s="103" t="s">
        <v>7</v>
      </c>
    </row>
    <row r="274" spans="1:6" ht="15.75" customHeight="1">
      <c r="A274" s="105">
        <v>46092</v>
      </c>
      <c r="B274" s="154" t="s">
        <v>254</v>
      </c>
      <c r="C274" s="171" t="s">
        <v>507</v>
      </c>
      <c r="D274" s="113">
        <v>403.28</v>
      </c>
      <c r="E274" s="109" t="s">
        <v>212</v>
      </c>
      <c r="F274" s="103" t="s">
        <v>7</v>
      </c>
    </row>
    <row r="275" spans="1:6" ht="15.75" customHeight="1">
      <c r="A275" s="105">
        <v>46092</v>
      </c>
      <c r="B275" s="172" t="s">
        <v>508</v>
      </c>
      <c r="C275" s="173" t="s">
        <v>509</v>
      </c>
      <c r="D275" s="113">
        <v>373</v>
      </c>
      <c r="E275" s="109" t="s">
        <v>212</v>
      </c>
      <c r="F275" s="103" t="s">
        <v>7</v>
      </c>
    </row>
    <row r="276" spans="1:6" ht="15.75" customHeight="1">
      <c r="A276" s="105">
        <v>46092</v>
      </c>
      <c r="B276" s="154" t="s">
        <v>327</v>
      </c>
      <c r="C276" s="171" t="s">
        <v>510</v>
      </c>
      <c r="D276" s="113">
        <v>550</v>
      </c>
      <c r="E276" s="109" t="s">
        <v>212</v>
      </c>
      <c r="F276" s="103" t="s">
        <v>7</v>
      </c>
    </row>
    <row r="277" spans="1:6" ht="15.75" customHeight="1">
      <c r="A277" s="105">
        <v>46092</v>
      </c>
      <c r="B277" s="154" t="s">
        <v>394</v>
      </c>
      <c r="C277" s="171" t="s">
        <v>511</v>
      </c>
      <c r="D277" s="113">
        <v>662.15</v>
      </c>
      <c r="E277" s="109" t="s">
        <v>212</v>
      </c>
      <c r="F277" s="103" t="s">
        <v>7</v>
      </c>
    </row>
    <row r="278" spans="1:6" ht="15.75" customHeight="1">
      <c r="A278" s="105">
        <v>46093</v>
      </c>
      <c r="B278" s="172" t="s">
        <v>512</v>
      </c>
      <c r="C278" s="173" t="s">
        <v>513</v>
      </c>
      <c r="D278" s="113">
        <v>1733</v>
      </c>
      <c r="E278" s="109" t="s">
        <v>212</v>
      </c>
      <c r="F278" s="103" t="s">
        <v>7</v>
      </c>
    </row>
    <row r="279" spans="1:6" ht="15.75" customHeight="1">
      <c r="A279" s="105">
        <v>46093</v>
      </c>
      <c r="B279" s="154" t="s">
        <v>234</v>
      </c>
      <c r="C279" s="171" t="s">
        <v>514</v>
      </c>
      <c r="D279" s="113">
        <v>416.49</v>
      </c>
      <c r="E279" s="109" t="s">
        <v>212</v>
      </c>
      <c r="F279" s="103" t="s">
        <v>7</v>
      </c>
    </row>
    <row r="280" spans="1:6" ht="15.75" customHeight="1">
      <c r="A280" s="105">
        <v>46093</v>
      </c>
      <c r="B280" s="154" t="s">
        <v>232</v>
      </c>
      <c r="C280" s="171" t="s">
        <v>515</v>
      </c>
      <c r="D280" s="113">
        <v>1023</v>
      </c>
      <c r="E280" s="109" t="s">
        <v>212</v>
      </c>
      <c r="F280" s="103" t="s">
        <v>7</v>
      </c>
    </row>
    <row r="281" spans="1:6" ht="15.75" customHeight="1">
      <c r="A281" s="105">
        <v>46093</v>
      </c>
      <c r="B281" s="154" t="s">
        <v>319</v>
      </c>
      <c r="C281" s="171" t="s">
        <v>516</v>
      </c>
      <c r="D281" s="113">
        <v>675.16</v>
      </c>
      <c r="E281" s="109" t="s">
        <v>212</v>
      </c>
      <c r="F281" s="103" t="s">
        <v>7</v>
      </c>
    </row>
    <row r="282" spans="1:6" ht="15.75" customHeight="1">
      <c r="A282" s="105">
        <v>46093</v>
      </c>
      <c r="B282" s="153" t="s">
        <v>292</v>
      </c>
      <c r="C282" s="170" t="s">
        <v>517</v>
      </c>
      <c r="D282" s="113">
        <v>1955.52</v>
      </c>
      <c r="E282" s="109" t="s">
        <v>212</v>
      </c>
      <c r="F282" s="103" t="s">
        <v>7</v>
      </c>
    </row>
    <row r="283" spans="1:6" ht="15.75" customHeight="1">
      <c r="A283" s="105">
        <v>46093</v>
      </c>
      <c r="B283" s="154" t="s">
        <v>292</v>
      </c>
      <c r="C283" s="171" t="s">
        <v>518</v>
      </c>
      <c r="D283" s="113">
        <v>1720.12</v>
      </c>
      <c r="E283" s="109" t="s">
        <v>212</v>
      </c>
      <c r="F283" s="103" t="s">
        <v>7</v>
      </c>
    </row>
    <row r="284" spans="1:6" ht="15.75" customHeight="1">
      <c r="A284" s="105">
        <v>46093</v>
      </c>
      <c r="B284" s="154" t="s">
        <v>494</v>
      </c>
      <c r="C284" s="171" t="s">
        <v>267</v>
      </c>
      <c r="D284" s="113">
        <v>221</v>
      </c>
      <c r="E284" s="109" t="s">
        <v>212</v>
      </c>
      <c r="F284" s="103" t="s">
        <v>7</v>
      </c>
    </row>
    <row r="285" spans="1:6" ht="15.75" customHeight="1">
      <c r="A285" s="105">
        <v>46093</v>
      </c>
      <c r="B285" s="154" t="s">
        <v>398</v>
      </c>
      <c r="C285" s="171" t="s">
        <v>267</v>
      </c>
      <c r="D285" s="113">
        <v>420</v>
      </c>
      <c r="E285" s="109" t="s">
        <v>212</v>
      </c>
      <c r="F285" s="103" t="s">
        <v>7</v>
      </c>
    </row>
    <row r="286" spans="1:6" ht="15.75" customHeight="1">
      <c r="A286" s="105">
        <v>46094</v>
      </c>
      <c r="B286" s="154" t="s">
        <v>457</v>
      </c>
      <c r="C286" s="171" t="s">
        <v>519</v>
      </c>
      <c r="D286" s="113">
        <v>564.25</v>
      </c>
      <c r="E286" s="109" t="s">
        <v>212</v>
      </c>
      <c r="F286" s="103" t="s">
        <v>7</v>
      </c>
    </row>
    <row r="287" spans="1:6" ht="15.75" customHeight="1">
      <c r="A287" s="105">
        <v>46094</v>
      </c>
      <c r="B287" s="172" t="s">
        <v>256</v>
      </c>
      <c r="C287" s="173" t="s">
        <v>520</v>
      </c>
      <c r="D287" s="113">
        <v>556.49</v>
      </c>
      <c r="E287" s="109" t="s">
        <v>212</v>
      </c>
      <c r="F287" s="103" t="s">
        <v>7</v>
      </c>
    </row>
    <row r="288" spans="1:6" ht="15.75" customHeight="1">
      <c r="A288" s="105">
        <v>46094</v>
      </c>
      <c r="B288" s="154" t="s">
        <v>214</v>
      </c>
      <c r="C288" s="171" t="s">
        <v>521</v>
      </c>
      <c r="D288" s="113">
        <v>2210</v>
      </c>
      <c r="E288" s="109" t="s">
        <v>212</v>
      </c>
      <c r="F288" s="103" t="s">
        <v>7</v>
      </c>
    </row>
    <row r="289" spans="1:6" ht="15.75" customHeight="1">
      <c r="A289" s="105">
        <v>46094</v>
      </c>
      <c r="B289" s="172" t="s">
        <v>214</v>
      </c>
      <c r="C289" s="173" t="s">
        <v>522</v>
      </c>
      <c r="D289" s="113">
        <v>861.53</v>
      </c>
      <c r="E289" s="109" t="s">
        <v>212</v>
      </c>
      <c r="F289" s="103" t="s">
        <v>7</v>
      </c>
    </row>
    <row r="290" spans="1:6" ht="15.75" customHeight="1">
      <c r="A290" s="105">
        <v>46094</v>
      </c>
      <c r="B290" s="154" t="s">
        <v>491</v>
      </c>
      <c r="C290" s="171" t="s">
        <v>523</v>
      </c>
      <c r="D290" s="113">
        <v>383</v>
      </c>
      <c r="E290" s="109" t="s">
        <v>212</v>
      </c>
      <c r="F290" s="103" t="s">
        <v>7</v>
      </c>
    </row>
    <row r="291" spans="1:6" ht="15.75" customHeight="1">
      <c r="A291" s="105">
        <v>46094</v>
      </c>
      <c r="B291" s="172" t="s">
        <v>228</v>
      </c>
      <c r="C291" s="173" t="s">
        <v>524</v>
      </c>
      <c r="D291" s="113">
        <v>893.25</v>
      </c>
      <c r="E291" s="109" t="s">
        <v>212</v>
      </c>
      <c r="F291" s="103" t="s">
        <v>7</v>
      </c>
    </row>
    <row r="292" spans="1:6" ht="15.75" customHeight="1">
      <c r="A292" s="105">
        <v>46094</v>
      </c>
      <c r="B292" s="153" t="s">
        <v>310</v>
      </c>
      <c r="C292" s="170" t="s">
        <v>525</v>
      </c>
      <c r="D292" s="113">
        <v>978.87</v>
      </c>
      <c r="E292" s="109" t="s">
        <v>212</v>
      </c>
      <c r="F292" s="103" t="s">
        <v>7</v>
      </c>
    </row>
    <row r="293" spans="1:6" ht="15.75" customHeight="1">
      <c r="A293" s="105">
        <v>46094</v>
      </c>
      <c r="B293" s="153" t="s">
        <v>526</v>
      </c>
      <c r="C293" s="170" t="s">
        <v>527</v>
      </c>
      <c r="D293" s="113">
        <v>484.3</v>
      </c>
      <c r="E293" s="109" t="s">
        <v>212</v>
      </c>
      <c r="F293" s="103" t="s">
        <v>7</v>
      </c>
    </row>
    <row r="294" spans="1:6" ht="15.75" customHeight="1">
      <c r="A294" s="105">
        <v>46094</v>
      </c>
      <c r="B294" s="172" t="s">
        <v>448</v>
      </c>
      <c r="C294" s="173" t="s">
        <v>528</v>
      </c>
      <c r="D294" s="113">
        <v>1235.0999999999999</v>
      </c>
      <c r="E294" s="109" t="s">
        <v>212</v>
      </c>
      <c r="F294" s="103" t="s">
        <v>7</v>
      </c>
    </row>
    <row r="295" spans="1:6" ht="15.75" customHeight="1">
      <c r="A295" s="105">
        <v>46094</v>
      </c>
      <c r="B295" s="154" t="s">
        <v>98</v>
      </c>
      <c r="C295" s="171" t="s">
        <v>529</v>
      </c>
      <c r="D295" s="113">
        <v>759.28</v>
      </c>
      <c r="E295" s="109" t="s">
        <v>212</v>
      </c>
      <c r="F295" s="103" t="s">
        <v>7</v>
      </c>
    </row>
    <row r="296" spans="1:6" ht="15.75" customHeight="1">
      <c r="A296" s="105">
        <v>46094</v>
      </c>
      <c r="B296" s="172" t="s">
        <v>530</v>
      </c>
      <c r="C296" s="173" t="s">
        <v>531</v>
      </c>
      <c r="D296" s="113">
        <v>199</v>
      </c>
      <c r="E296" s="109" t="s">
        <v>212</v>
      </c>
      <c r="F296" s="103" t="s">
        <v>7</v>
      </c>
    </row>
    <row r="297" spans="1:6" ht="15.75" customHeight="1">
      <c r="A297" s="105">
        <v>46094</v>
      </c>
      <c r="B297" s="154" t="s">
        <v>98</v>
      </c>
      <c r="C297" s="171" t="s">
        <v>532</v>
      </c>
      <c r="D297" s="113">
        <v>180</v>
      </c>
      <c r="E297" s="109" t="s">
        <v>212</v>
      </c>
      <c r="F297" s="103" t="s">
        <v>7</v>
      </c>
    </row>
    <row r="298" spans="1:6" ht="15.75" customHeight="1">
      <c r="A298" s="105">
        <v>46094</v>
      </c>
      <c r="B298" s="153" t="s">
        <v>319</v>
      </c>
      <c r="C298" s="170" t="s">
        <v>533</v>
      </c>
      <c r="D298" s="113">
        <v>675.16</v>
      </c>
      <c r="E298" s="109" t="s">
        <v>212</v>
      </c>
      <c r="F298" s="103" t="s">
        <v>7</v>
      </c>
    </row>
    <row r="299" spans="1:6" ht="15.75" customHeight="1">
      <c r="A299" s="105">
        <v>46094</v>
      </c>
      <c r="B299" s="107" t="s">
        <v>76</v>
      </c>
      <c r="C299" s="169">
        <v>11935</v>
      </c>
      <c r="D299" s="113">
        <v>992.67</v>
      </c>
      <c r="E299" s="109" t="s">
        <v>212</v>
      </c>
      <c r="F299" s="103" t="s">
        <v>7</v>
      </c>
    </row>
    <row r="300" spans="1:6" ht="15.75" customHeight="1">
      <c r="A300" s="105">
        <v>46097</v>
      </c>
      <c r="B300" s="174" t="s">
        <v>228</v>
      </c>
      <c r="C300" s="175" t="s">
        <v>534</v>
      </c>
      <c r="D300" s="136">
        <v>509.75</v>
      </c>
      <c r="E300" s="109" t="s">
        <v>212</v>
      </c>
      <c r="F300" s="103" t="s">
        <v>7</v>
      </c>
    </row>
    <row r="301" spans="1:6" ht="15.75" customHeight="1">
      <c r="A301" s="105">
        <v>46097</v>
      </c>
      <c r="B301" s="156" t="s">
        <v>238</v>
      </c>
      <c r="C301" s="176" t="s">
        <v>535</v>
      </c>
      <c r="D301" s="136">
        <v>4517</v>
      </c>
      <c r="E301" s="109" t="s">
        <v>212</v>
      </c>
      <c r="F301" s="103" t="s">
        <v>7</v>
      </c>
    </row>
    <row r="302" spans="1:6" ht="15.75" customHeight="1">
      <c r="A302" s="105">
        <v>46097</v>
      </c>
      <c r="B302" s="174" t="s">
        <v>98</v>
      </c>
      <c r="C302" s="175" t="s">
        <v>536</v>
      </c>
      <c r="D302" s="136">
        <v>1013.17</v>
      </c>
      <c r="E302" s="109" t="s">
        <v>212</v>
      </c>
      <c r="F302" s="103" t="s">
        <v>7</v>
      </c>
    </row>
    <row r="303" spans="1:6" ht="15.75" customHeight="1">
      <c r="A303" s="105">
        <v>46097</v>
      </c>
      <c r="B303" s="156" t="s">
        <v>218</v>
      </c>
      <c r="C303" s="176" t="s">
        <v>537</v>
      </c>
      <c r="D303" s="136">
        <v>1801.67</v>
      </c>
      <c r="E303" s="109" t="s">
        <v>212</v>
      </c>
      <c r="F303" s="103" t="s">
        <v>7</v>
      </c>
    </row>
    <row r="304" spans="1:6" ht="15.75" customHeight="1">
      <c r="A304" s="105">
        <v>46097</v>
      </c>
      <c r="B304" s="174" t="s">
        <v>234</v>
      </c>
      <c r="C304" s="175" t="s">
        <v>538</v>
      </c>
      <c r="D304" s="136">
        <v>1444.07</v>
      </c>
      <c r="E304" s="109" t="s">
        <v>212</v>
      </c>
      <c r="F304" s="103" t="s">
        <v>7</v>
      </c>
    </row>
    <row r="305" spans="1:6" ht="15.75" customHeight="1">
      <c r="A305" s="105">
        <v>46097</v>
      </c>
      <c r="B305" s="156" t="s">
        <v>327</v>
      </c>
      <c r="C305" s="176" t="s">
        <v>539</v>
      </c>
      <c r="D305" s="136">
        <v>487.5</v>
      </c>
      <c r="E305" s="109" t="s">
        <v>212</v>
      </c>
      <c r="F305" s="103" t="s">
        <v>7</v>
      </c>
    </row>
    <row r="306" spans="1:6" ht="15.75" customHeight="1">
      <c r="A306" s="105">
        <v>46097</v>
      </c>
      <c r="B306" s="174" t="s">
        <v>465</v>
      </c>
      <c r="C306" s="175" t="s">
        <v>540</v>
      </c>
      <c r="D306" s="136">
        <v>516</v>
      </c>
      <c r="E306" s="109" t="s">
        <v>212</v>
      </c>
      <c r="F306" s="103" t="s">
        <v>7</v>
      </c>
    </row>
    <row r="307" spans="1:6" ht="15.75" customHeight="1">
      <c r="A307" s="120">
        <v>46097</v>
      </c>
      <c r="B307" s="156" t="s">
        <v>541</v>
      </c>
      <c r="C307" s="176" t="s">
        <v>542</v>
      </c>
      <c r="D307" s="136">
        <v>1429.3</v>
      </c>
      <c r="E307" s="109" t="s">
        <v>212</v>
      </c>
      <c r="F307" s="103" t="s">
        <v>7</v>
      </c>
    </row>
    <row r="308" spans="1:6" ht="15.75" customHeight="1">
      <c r="A308" s="105">
        <v>46098</v>
      </c>
      <c r="B308" s="153" t="s">
        <v>476</v>
      </c>
      <c r="C308" s="170">
        <v>12104</v>
      </c>
      <c r="D308" s="113">
        <v>89</v>
      </c>
      <c r="E308" s="109" t="s">
        <v>212</v>
      </c>
      <c r="F308" s="103" t="s">
        <v>7</v>
      </c>
    </row>
    <row r="309" spans="1:6" ht="15.75" customHeight="1">
      <c r="A309" s="105">
        <v>46098</v>
      </c>
      <c r="B309" s="153" t="s">
        <v>494</v>
      </c>
      <c r="C309" s="170" t="s">
        <v>267</v>
      </c>
      <c r="D309" s="113">
        <v>168</v>
      </c>
      <c r="E309" s="109" t="s">
        <v>212</v>
      </c>
      <c r="F309" s="103" t="s">
        <v>7</v>
      </c>
    </row>
    <row r="310" spans="1:6" ht="15.75" customHeight="1">
      <c r="A310" s="105">
        <v>46098</v>
      </c>
      <c r="B310" s="154" t="s">
        <v>454</v>
      </c>
      <c r="C310" s="171">
        <v>12347</v>
      </c>
      <c r="D310" s="113">
        <v>1988</v>
      </c>
      <c r="E310" s="109" t="s">
        <v>212</v>
      </c>
      <c r="F310" s="103" t="s">
        <v>7</v>
      </c>
    </row>
    <row r="311" spans="1:6" ht="15.75" customHeight="1">
      <c r="A311" s="105">
        <v>46098</v>
      </c>
      <c r="B311" s="153" t="s">
        <v>240</v>
      </c>
      <c r="C311" s="170" t="s">
        <v>543</v>
      </c>
      <c r="D311" s="113">
        <v>1227.7</v>
      </c>
      <c r="E311" s="109" t="s">
        <v>212</v>
      </c>
      <c r="F311" s="103" t="s">
        <v>7</v>
      </c>
    </row>
    <row r="312" spans="1:6" ht="15.75" customHeight="1">
      <c r="A312" s="105">
        <v>46098</v>
      </c>
      <c r="B312" s="154" t="s">
        <v>508</v>
      </c>
      <c r="C312" s="171" t="s">
        <v>544</v>
      </c>
      <c r="D312" s="113">
        <v>373</v>
      </c>
      <c r="E312" s="109" t="s">
        <v>212</v>
      </c>
      <c r="F312" s="103" t="s">
        <v>7</v>
      </c>
    </row>
    <row r="313" spans="1:6" ht="15.75" customHeight="1">
      <c r="A313" s="105">
        <v>46098</v>
      </c>
      <c r="B313" s="153" t="s">
        <v>394</v>
      </c>
      <c r="C313" s="170" t="s">
        <v>545</v>
      </c>
      <c r="D313" s="113">
        <v>662.15</v>
      </c>
      <c r="E313" s="109" t="s">
        <v>212</v>
      </c>
      <c r="F313" s="103" t="s">
        <v>7</v>
      </c>
    </row>
    <row r="314" spans="1:6" ht="15.75" customHeight="1">
      <c r="A314" s="105">
        <v>46098</v>
      </c>
      <c r="B314" s="154" t="s">
        <v>308</v>
      </c>
      <c r="C314" s="171" t="s">
        <v>546</v>
      </c>
      <c r="D314" s="113">
        <v>827</v>
      </c>
      <c r="E314" s="109" t="s">
        <v>212</v>
      </c>
      <c r="F314" s="103" t="s">
        <v>7</v>
      </c>
    </row>
    <row r="315" spans="1:6" ht="15.75" customHeight="1">
      <c r="A315" s="105">
        <v>46099</v>
      </c>
      <c r="B315" s="154" t="s">
        <v>547</v>
      </c>
      <c r="C315" s="171">
        <v>12118</v>
      </c>
      <c r="D315" s="113">
        <v>510.5</v>
      </c>
      <c r="E315" s="109" t="s">
        <v>212</v>
      </c>
      <c r="F315" s="103" t="s">
        <v>7</v>
      </c>
    </row>
    <row r="316" spans="1:6" ht="15.75" customHeight="1">
      <c r="A316" s="105">
        <v>46099</v>
      </c>
      <c r="B316" s="154" t="s">
        <v>548</v>
      </c>
      <c r="C316" s="171">
        <v>12340</v>
      </c>
      <c r="D316" s="113">
        <v>349.7</v>
      </c>
      <c r="E316" s="109" t="s">
        <v>212</v>
      </c>
      <c r="F316" s="103" t="s">
        <v>7</v>
      </c>
    </row>
    <row r="317" spans="1:6" ht="15.75" customHeight="1">
      <c r="A317" s="105">
        <v>46099</v>
      </c>
      <c r="B317" s="153" t="s">
        <v>292</v>
      </c>
      <c r="C317" s="170" t="s">
        <v>549</v>
      </c>
      <c r="D317" s="113">
        <v>1597.96</v>
      </c>
      <c r="E317" s="109" t="s">
        <v>212</v>
      </c>
      <c r="F317" s="103" t="s">
        <v>7</v>
      </c>
    </row>
    <row r="318" spans="1:6" ht="15.75" customHeight="1">
      <c r="A318" s="105">
        <v>46099</v>
      </c>
      <c r="B318" s="154" t="s">
        <v>234</v>
      </c>
      <c r="C318" s="171" t="s">
        <v>550</v>
      </c>
      <c r="D318" s="113">
        <v>546.4</v>
      </c>
      <c r="E318" s="109" t="s">
        <v>212</v>
      </c>
      <c r="F318" s="103" t="s">
        <v>7</v>
      </c>
    </row>
    <row r="319" spans="1:6" ht="15.75" customHeight="1">
      <c r="A319" s="105">
        <v>46099</v>
      </c>
      <c r="B319" s="153" t="s">
        <v>214</v>
      </c>
      <c r="C319" s="170" t="s">
        <v>551</v>
      </c>
      <c r="D319" s="113">
        <v>1815.8</v>
      </c>
      <c r="E319" s="109" t="s">
        <v>212</v>
      </c>
      <c r="F319" s="103" t="s">
        <v>7</v>
      </c>
    </row>
    <row r="320" spans="1:6" ht="15.75" customHeight="1">
      <c r="A320" s="105">
        <v>46099</v>
      </c>
      <c r="B320" s="154" t="s">
        <v>292</v>
      </c>
      <c r="C320" s="171" t="s">
        <v>552</v>
      </c>
      <c r="D320" s="113">
        <v>1405.34</v>
      </c>
      <c r="E320" s="109" t="s">
        <v>212</v>
      </c>
      <c r="F320" s="103" t="s">
        <v>7</v>
      </c>
    </row>
    <row r="321" spans="1:6" ht="15.75" customHeight="1">
      <c r="A321" s="105">
        <v>46099</v>
      </c>
      <c r="B321" s="153" t="s">
        <v>244</v>
      </c>
      <c r="C321" s="170" t="s">
        <v>553</v>
      </c>
      <c r="D321" s="113">
        <v>100</v>
      </c>
      <c r="E321" s="109" t="s">
        <v>212</v>
      </c>
      <c r="F321" s="103" t="s">
        <v>7</v>
      </c>
    </row>
    <row r="322" spans="1:6" ht="15.75" customHeight="1">
      <c r="A322" s="105">
        <v>46099</v>
      </c>
      <c r="B322" s="154" t="s">
        <v>234</v>
      </c>
      <c r="C322" s="171" t="s">
        <v>554</v>
      </c>
      <c r="D322" s="113">
        <v>625.85</v>
      </c>
      <c r="E322" s="109" t="s">
        <v>212</v>
      </c>
      <c r="F322" s="103" t="s">
        <v>7</v>
      </c>
    </row>
    <row r="323" spans="1:6" ht="15.75" customHeight="1">
      <c r="A323" s="105">
        <v>46099</v>
      </c>
      <c r="B323" s="153" t="s">
        <v>555</v>
      </c>
      <c r="C323" s="170" t="s">
        <v>556</v>
      </c>
      <c r="D323" s="113">
        <v>544.70000000000005</v>
      </c>
      <c r="E323" s="109" t="s">
        <v>212</v>
      </c>
      <c r="F323" s="103" t="s">
        <v>7</v>
      </c>
    </row>
    <row r="324" spans="1:6" ht="15.75" customHeight="1">
      <c r="A324" s="105">
        <v>46099</v>
      </c>
      <c r="B324" s="154" t="s">
        <v>319</v>
      </c>
      <c r="C324" s="171" t="s">
        <v>557</v>
      </c>
      <c r="D324" s="113">
        <v>694.75</v>
      </c>
      <c r="E324" s="109" t="s">
        <v>212</v>
      </c>
      <c r="F324" s="103" t="s">
        <v>7</v>
      </c>
    </row>
    <row r="325" spans="1:6" ht="15.75" customHeight="1">
      <c r="A325" s="105">
        <v>46100</v>
      </c>
      <c r="B325" s="153" t="s">
        <v>512</v>
      </c>
      <c r="C325" s="170" t="s">
        <v>558</v>
      </c>
      <c r="D325" s="113">
        <v>1733</v>
      </c>
      <c r="E325" s="109" t="s">
        <v>212</v>
      </c>
      <c r="F325" s="103" t="s">
        <v>7</v>
      </c>
    </row>
    <row r="326" spans="1:6" ht="15.75" customHeight="1">
      <c r="A326" s="105">
        <v>46100</v>
      </c>
      <c r="B326" s="154" t="s">
        <v>234</v>
      </c>
      <c r="C326" s="171" t="s">
        <v>559</v>
      </c>
      <c r="D326" s="113">
        <v>416.49</v>
      </c>
      <c r="E326" s="109" t="s">
        <v>212</v>
      </c>
      <c r="F326" s="103" t="s">
        <v>7</v>
      </c>
    </row>
    <row r="327" spans="1:6" ht="15.75" customHeight="1">
      <c r="A327" s="105">
        <v>46100</v>
      </c>
      <c r="B327" s="153" t="s">
        <v>560</v>
      </c>
      <c r="C327" s="170" t="s">
        <v>561</v>
      </c>
      <c r="D327" s="113">
        <v>288</v>
      </c>
      <c r="E327" s="109" t="s">
        <v>212</v>
      </c>
      <c r="F327" s="103" t="s">
        <v>7</v>
      </c>
    </row>
    <row r="328" spans="1:6" ht="15.75" customHeight="1">
      <c r="A328" s="105">
        <v>46100</v>
      </c>
      <c r="B328" s="154" t="s">
        <v>562</v>
      </c>
      <c r="C328" s="171" t="s">
        <v>563</v>
      </c>
      <c r="D328" s="113">
        <v>706</v>
      </c>
      <c r="E328" s="109" t="s">
        <v>212</v>
      </c>
      <c r="F328" s="103" t="s">
        <v>7</v>
      </c>
    </row>
    <row r="329" spans="1:6" ht="15.75" customHeight="1">
      <c r="A329" s="105">
        <v>46100</v>
      </c>
      <c r="B329" s="154" t="s">
        <v>564</v>
      </c>
      <c r="C329" s="171">
        <v>12050</v>
      </c>
      <c r="D329" s="113">
        <v>840.5</v>
      </c>
      <c r="E329" s="109" t="s">
        <v>212</v>
      </c>
      <c r="F329" s="103" t="s">
        <v>7</v>
      </c>
    </row>
    <row r="330" spans="1:6" ht="15.75" customHeight="1">
      <c r="A330" s="105">
        <v>46100</v>
      </c>
      <c r="B330" s="153" t="s">
        <v>494</v>
      </c>
      <c r="C330" s="170" t="s">
        <v>565</v>
      </c>
      <c r="D330" s="113">
        <v>60</v>
      </c>
      <c r="E330" s="109" t="s">
        <v>212</v>
      </c>
      <c r="F330" s="103" t="s">
        <v>7</v>
      </c>
    </row>
    <row r="331" spans="1:6" ht="15.75" customHeight="1">
      <c r="A331" s="105">
        <v>46100</v>
      </c>
      <c r="B331" s="154" t="s">
        <v>526</v>
      </c>
      <c r="C331" s="171">
        <v>12351</v>
      </c>
      <c r="D331" s="113">
        <v>121.9</v>
      </c>
      <c r="E331" s="109" t="s">
        <v>212</v>
      </c>
      <c r="F331" s="103" t="s">
        <v>7</v>
      </c>
    </row>
    <row r="332" spans="1:6" ht="15.75" customHeight="1">
      <c r="A332" s="105">
        <v>46100</v>
      </c>
      <c r="B332" s="153" t="s">
        <v>566</v>
      </c>
      <c r="C332" s="170">
        <v>12352</v>
      </c>
      <c r="D332" s="113">
        <v>120.7</v>
      </c>
      <c r="E332" s="109" t="s">
        <v>212</v>
      </c>
      <c r="F332" s="103" t="s">
        <v>7</v>
      </c>
    </row>
    <row r="333" spans="1:6" ht="15.75" customHeight="1">
      <c r="A333" s="105">
        <v>46101</v>
      </c>
      <c r="B333" s="154" t="s">
        <v>292</v>
      </c>
      <c r="C333" s="171">
        <v>12357</v>
      </c>
      <c r="D333" s="113">
        <v>2408.25</v>
      </c>
      <c r="E333" s="109" t="s">
        <v>212</v>
      </c>
      <c r="F333" s="103" t="s">
        <v>7</v>
      </c>
    </row>
    <row r="334" spans="1:6" ht="15.75" customHeight="1">
      <c r="A334" s="105">
        <v>46101</v>
      </c>
      <c r="B334" s="172" t="s">
        <v>288</v>
      </c>
      <c r="C334" s="173" t="s">
        <v>567</v>
      </c>
      <c r="D334" s="113">
        <v>667.4</v>
      </c>
      <c r="E334" s="109" t="s">
        <v>212</v>
      </c>
      <c r="F334" s="103" t="s">
        <v>7</v>
      </c>
    </row>
    <row r="335" spans="1:6" ht="15.75" customHeight="1">
      <c r="A335" s="105">
        <v>46101</v>
      </c>
      <c r="B335" s="154" t="s">
        <v>491</v>
      </c>
      <c r="C335" s="171" t="s">
        <v>568</v>
      </c>
      <c r="D335" s="113">
        <v>383</v>
      </c>
      <c r="E335" s="109" t="s">
        <v>212</v>
      </c>
      <c r="F335" s="103" t="s">
        <v>7</v>
      </c>
    </row>
    <row r="336" spans="1:6" ht="15.75" customHeight="1">
      <c r="A336" s="105">
        <v>46101</v>
      </c>
      <c r="B336" s="172" t="s">
        <v>98</v>
      </c>
      <c r="C336" s="173" t="s">
        <v>569</v>
      </c>
      <c r="D336" s="113">
        <v>759.28</v>
      </c>
      <c r="E336" s="109" t="s">
        <v>212</v>
      </c>
      <c r="F336" s="103" t="s">
        <v>7</v>
      </c>
    </row>
    <row r="337" spans="1:6" ht="15.75" customHeight="1">
      <c r="A337" s="105">
        <v>46101</v>
      </c>
      <c r="B337" s="154" t="s">
        <v>223</v>
      </c>
      <c r="C337" s="171" t="s">
        <v>570</v>
      </c>
      <c r="D337" s="113">
        <v>2217.1999999999998</v>
      </c>
      <c r="E337" s="109" t="s">
        <v>212</v>
      </c>
      <c r="F337" s="103" t="s">
        <v>7</v>
      </c>
    </row>
    <row r="338" spans="1:6" ht="15.75" customHeight="1">
      <c r="A338" s="105">
        <v>46101</v>
      </c>
      <c r="B338" s="172" t="s">
        <v>234</v>
      </c>
      <c r="C338" s="173" t="s">
        <v>571</v>
      </c>
      <c r="D338" s="113">
        <v>592.5</v>
      </c>
      <c r="E338" s="109" t="s">
        <v>212</v>
      </c>
      <c r="F338" s="103" t="s">
        <v>7</v>
      </c>
    </row>
    <row r="339" spans="1:6" ht="15.75" customHeight="1">
      <c r="A339" s="105">
        <v>46101</v>
      </c>
      <c r="B339" s="154" t="s">
        <v>234</v>
      </c>
      <c r="C339" s="171" t="s">
        <v>572</v>
      </c>
      <c r="D339" s="113">
        <v>1095.0999999999999</v>
      </c>
      <c r="E339" s="109" t="s">
        <v>212</v>
      </c>
      <c r="F339" s="103" t="s">
        <v>7</v>
      </c>
    </row>
    <row r="340" spans="1:6" ht="15.75" customHeight="1">
      <c r="A340" s="105">
        <v>46101</v>
      </c>
      <c r="B340" s="172" t="s">
        <v>288</v>
      </c>
      <c r="C340" s="173" t="s">
        <v>573</v>
      </c>
      <c r="D340" s="113">
        <v>1034.5</v>
      </c>
      <c r="E340" s="109" t="s">
        <v>212</v>
      </c>
      <c r="F340" s="103" t="s">
        <v>7</v>
      </c>
    </row>
    <row r="341" spans="1:6" ht="15.75" customHeight="1">
      <c r="A341" s="105">
        <v>46104</v>
      </c>
      <c r="B341" s="110" t="s">
        <v>347</v>
      </c>
      <c r="C341" s="171">
        <v>10512</v>
      </c>
      <c r="D341" s="113">
        <v>48</v>
      </c>
      <c r="E341" s="109" t="s">
        <v>212</v>
      </c>
      <c r="F341" s="103" t="s">
        <v>7</v>
      </c>
    </row>
    <row r="342" spans="1:6" ht="15.75" customHeight="1">
      <c r="A342" s="105">
        <v>46104</v>
      </c>
      <c r="B342" s="106" t="s">
        <v>574</v>
      </c>
      <c r="C342" s="173">
        <v>12368</v>
      </c>
      <c r="D342" s="113">
        <v>129.5</v>
      </c>
      <c r="E342" s="109" t="s">
        <v>212</v>
      </c>
      <c r="F342" s="103" t="s">
        <v>7</v>
      </c>
    </row>
    <row r="343" spans="1:6" ht="15.75" customHeight="1">
      <c r="A343" s="105">
        <v>46104</v>
      </c>
      <c r="B343" s="153" t="s">
        <v>214</v>
      </c>
      <c r="C343" s="170" t="s">
        <v>575</v>
      </c>
      <c r="D343" s="113">
        <v>1210.47</v>
      </c>
      <c r="E343" s="109" t="s">
        <v>212</v>
      </c>
      <c r="F343" s="103" t="s">
        <v>7</v>
      </c>
    </row>
    <row r="344" spans="1:6" ht="15.75" customHeight="1">
      <c r="A344" s="105">
        <v>46104</v>
      </c>
      <c r="B344" s="154" t="s">
        <v>429</v>
      </c>
      <c r="C344" s="171" t="s">
        <v>576</v>
      </c>
      <c r="D344" s="113">
        <v>742.33</v>
      </c>
      <c r="E344" s="109" t="s">
        <v>212</v>
      </c>
      <c r="F344" s="103" t="s">
        <v>7</v>
      </c>
    </row>
    <row r="345" spans="1:6" ht="15.75" customHeight="1">
      <c r="A345" s="105">
        <v>46104</v>
      </c>
      <c r="B345" s="153" t="s">
        <v>256</v>
      </c>
      <c r="C345" s="170" t="s">
        <v>577</v>
      </c>
      <c r="D345" s="113">
        <v>573.13</v>
      </c>
      <c r="E345" s="109" t="s">
        <v>212</v>
      </c>
      <c r="F345" s="103" t="s">
        <v>7</v>
      </c>
    </row>
    <row r="346" spans="1:6" ht="15.75" customHeight="1">
      <c r="A346" s="105">
        <v>46104</v>
      </c>
      <c r="B346" s="154" t="s">
        <v>578</v>
      </c>
      <c r="C346" s="171" t="s">
        <v>579</v>
      </c>
      <c r="D346" s="113">
        <v>653.41999999999996</v>
      </c>
      <c r="E346" s="109" t="s">
        <v>212</v>
      </c>
      <c r="F346" s="103" t="s">
        <v>7</v>
      </c>
    </row>
    <row r="347" spans="1:6" ht="15.75" customHeight="1">
      <c r="A347" s="105">
        <v>46104</v>
      </c>
      <c r="B347" s="153" t="s">
        <v>580</v>
      </c>
      <c r="C347" s="170" t="s">
        <v>581</v>
      </c>
      <c r="D347" s="113">
        <v>510</v>
      </c>
      <c r="E347" s="109" t="s">
        <v>212</v>
      </c>
      <c r="F347" s="103" t="s">
        <v>7</v>
      </c>
    </row>
    <row r="348" spans="1:6" ht="15.75" customHeight="1">
      <c r="A348" s="105">
        <v>46104</v>
      </c>
      <c r="B348" s="154" t="s">
        <v>323</v>
      </c>
      <c r="C348" s="171" t="s">
        <v>582</v>
      </c>
      <c r="D348" s="113">
        <v>208</v>
      </c>
      <c r="E348" s="109" t="s">
        <v>212</v>
      </c>
      <c r="F348" s="103" t="s">
        <v>7</v>
      </c>
    </row>
    <row r="349" spans="1:6" ht="15.75" customHeight="1">
      <c r="A349" s="105">
        <v>46104</v>
      </c>
      <c r="B349" s="153" t="s">
        <v>214</v>
      </c>
      <c r="C349" s="170" t="s">
        <v>583</v>
      </c>
      <c r="D349" s="113">
        <v>166</v>
      </c>
      <c r="E349" s="109" t="s">
        <v>212</v>
      </c>
      <c r="F349" s="103" t="s">
        <v>7</v>
      </c>
    </row>
    <row r="350" spans="1:6" ht="15.75" customHeight="1">
      <c r="A350" s="105">
        <v>46104</v>
      </c>
      <c r="B350" s="154" t="s">
        <v>232</v>
      </c>
      <c r="C350" s="171" t="s">
        <v>584</v>
      </c>
      <c r="D350" s="113">
        <v>629</v>
      </c>
      <c r="E350" s="109" t="s">
        <v>212</v>
      </c>
      <c r="F350" s="103" t="s">
        <v>7</v>
      </c>
    </row>
    <row r="351" spans="1:6" ht="15.75" customHeight="1">
      <c r="A351" s="105">
        <v>46104</v>
      </c>
      <c r="B351" s="153" t="s">
        <v>547</v>
      </c>
      <c r="C351" s="170" t="s">
        <v>585</v>
      </c>
      <c r="D351" s="113">
        <v>308.04000000000002</v>
      </c>
      <c r="E351" s="109" t="s">
        <v>212</v>
      </c>
      <c r="F351" s="103" t="s">
        <v>7</v>
      </c>
    </row>
    <row r="352" spans="1:6" ht="15.75" customHeight="1">
      <c r="A352" s="105">
        <v>46104</v>
      </c>
      <c r="B352" s="154" t="s">
        <v>547</v>
      </c>
      <c r="C352" s="171" t="s">
        <v>586</v>
      </c>
      <c r="D352" s="113">
        <v>215</v>
      </c>
      <c r="E352" s="109" t="s">
        <v>212</v>
      </c>
      <c r="F352" s="103" t="s">
        <v>7</v>
      </c>
    </row>
    <row r="353" spans="1:6" ht="15.75" customHeight="1">
      <c r="A353" s="105">
        <v>46104</v>
      </c>
      <c r="B353" s="153" t="s">
        <v>319</v>
      </c>
      <c r="C353" s="170" t="s">
        <v>587</v>
      </c>
      <c r="D353" s="113">
        <v>932.75</v>
      </c>
      <c r="E353" s="109" t="s">
        <v>212</v>
      </c>
      <c r="F353" s="103" t="s">
        <v>7</v>
      </c>
    </row>
    <row r="354" spans="1:6" ht="15.75" customHeight="1">
      <c r="A354" s="105">
        <v>46105</v>
      </c>
      <c r="B354" s="154" t="s">
        <v>479</v>
      </c>
      <c r="C354" s="171">
        <v>12229</v>
      </c>
      <c r="D354" s="113">
        <v>155.5</v>
      </c>
      <c r="E354" s="109" t="s">
        <v>212</v>
      </c>
      <c r="F354" s="103" t="s">
        <v>7</v>
      </c>
    </row>
    <row r="355" spans="1:6" ht="15.75" customHeight="1">
      <c r="A355" s="105">
        <v>46105</v>
      </c>
      <c r="B355" s="153" t="s">
        <v>588</v>
      </c>
      <c r="C355" s="170" t="s">
        <v>589</v>
      </c>
      <c r="D355" s="113">
        <v>296</v>
      </c>
      <c r="E355" s="109" t="s">
        <v>212</v>
      </c>
      <c r="F355" s="103" t="s">
        <v>7</v>
      </c>
    </row>
    <row r="356" spans="1:6" ht="15.75" customHeight="1">
      <c r="A356" s="105">
        <v>46105</v>
      </c>
      <c r="B356" s="154" t="s">
        <v>292</v>
      </c>
      <c r="C356" s="171" t="s">
        <v>590</v>
      </c>
      <c r="D356" s="113">
        <v>3300</v>
      </c>
      <c r="E356" s="109" t="s">
        <v>212</v>
      </c>
      <c r="F356" s="103" t="s">
        <v>7</v>
      </c>
    </row>
    <row r="357" spans="1:6" ht="15.75" customHeight="1">
      <c r="A357" s="105">
        <v>46105</v>
      </c>
      <c r="B357" s="153" t="s">
        <v>591</v>
      </c>
      <c r="C357" s="170">
        <v>12408</v>
      </c>
      <c r="D357" s="113">
        <v>3411</v>
      </c>
      <c r="E357" s="109" t="s">
        <v>212</v>
      </c>
      <c r="F357" s="103" t="s">
        <v>7</v>
      </c>
    </row>
    <row r="358" spans="1:6" ht="15.75" customHeight="1">
      <c r="A358" s="105">
        <v>46105</v>
      </c>
      <c r="B358" s="154" t="s">
        <v>592</v>
      </c>
      <c r="C358" s="171">
        <v>12384</v>
      </c>
      <c r="D358" s="113">
        <v>483</v>
      </c>
      <c r="E358" s="109" t="s">
        <v>212</v>
      </c>
      <c r="F358" s="103" t="s">
        <v>7</v>
      </c>
    </row>
    <row r="359" spans="1:6" ht="15.75" customHeight="1">
      <c r="A359" s="105">
        <v>46105</v>
      </c>
      <c r="B359" s="172" t="s">
        <v>593</v>
      </c>
      <c r="C359" s="173" t="s">
        <v>594</v>
      </c>
      <c r="D359" s="113">
        <v>1037.3399999999999</v>
      </c>
      <c r="E359" s="109" t="s">
        <v>212</v>
      </c>
      <c r="F359" s="103" t="s">
        <v>7</v>
      </c>
    </row>
    <row r="360" spans="1:6" ht="15.75" customHeight="1">
      <c r="A360" s="105">
        <v>46105</v>
      </c>
      <c r="B360" s="154" t="s">
        <v>593</v>
      </c>
      <c r="C360" s="171" t="s">
        <v>595</v>
      </c>
      <c r="D360" s="113">
        <v>1014.67</v>
      </c>
      <c r="E360" s="109" t="s">
        <v>212</v>
      </c>
      <c r="F360" s="103" t="s">
        <v>7</v>
      </c>
    </row>
    <row r="361" spans="1:6" ht="15.75" customHeight="1">
      <c r="A361" s="105">
        <v>46105</v>
      </c>
      <c r="B361" s="172" t="s">
        <v>593</v>
      </c>
      <c r="C361" s="173" t="s">
        <v>596</v>
      </c>
      <c r="D361" s="113">
        <v>982.07</v>
      </c>
      <c r="E361" s="109" t="s">
        <v>212</v>
      </c>
      <c r="F361" s="103" t="s">
        <v>7</v>
      </c>
    </row>
    <row r="362" spans="1:6" ht="15.75" customHeight="1">
      <c r="A362" s="105">
        <v>46105</v>
      </c>
      <c r="B362" s="154" t="s">
        <v>281</v>
      </c>
      <c r="C362" s="171" t="s">
        <v>597</v>
      </c>
      <c r="D362" s="113">
        <v>156.9</v>
      </c>
      <c r="E362" s="109" t="s">
        <v>212</v>
      </c>
      <c r="F362" s="103" t="s">
        <v>7</v>
      </c>
    </row>
    <row r="363" spans="1:6" ht="15.75" customHeight="1">
      <c r="A363" s="105">
        <v>46106</v>
      </c>
      <c r="B363" s="153" t="s">
        <v>214</v>
      </c>
      <c r="C363" s="170" t="s">
        <v>598</v>
      </c>
      <c r="D363" s="113">
        <v>1815.8</v>
      </c>
      <c r="E363" s="109" t="s">
        <v>212</v>
      </c>
      <c r="F363" s="103" t="s">
        <v>7</v>
      </c>
    </row>
    <row r="364" spans="1:6" ht="15.75" customHeight="1">
      <c r="A364" s="105">
        <v>46106</v>
      </c>
      <c r="B364" s="154" t="s">
        <v>508</v>
      </c>
      <c r="C364" s="171" t="s">
        <v>599</v>
      </c>
      <c r="D364" s="113">
        <v>373</v>
      </c>
      <c r="E364" s="109" t="s">
        <v>212</v>
      </c>
      <c r="F364" s="103" t="s">
        <v>7</v>
      </c>
    </row>
    <row r="365" spans="1:6" ht="15.75" customHeight="1">
      <c r="A365" s="105">
        <v>46106</v>
      </c>
      <c r="B365" s="153" t="s">
        <v>600</v>
      </c>
      <c r="C365" s="170" t="s">
        <v>601</v>
      </c>
      <c r="D365" s="113">
        <v>7700</v>
      </c>
      <c r="E365" s="109" t="s">
        <v>212</v>
      </c>
      <c r="F365" s="103" t="s">
        <v>7</v>
      </c>
    </row>
    <row r="366" spans="1:6" ht="15.75" customHeight="1">
      <c r="A366" s="105">
        <v>46106</v>
      </c>
      <c r="B366" s="154" t="s">
        <v>238</v>
      </c>
      <c r="C366" s="171" t="s">
        <v>602</v>
      </c>
      <c r="D366" s="113">
        <v>2430</v>
      </c>
      <c r="E366" s="109" t="s">
        <v>212</v>
      </c>
      <c r="F366" s="103" t="s">
        <v>7</v>
      </c>
    </row>
    <row r="367" spans="1:6" ht="15.75" customHeight="1">
      <c r="A367" s="105">
        <v>46106</v>
      </c>
      <c r="B367" s="153" t="s">
        <v>218</v>
      </c>
      <c r="C367" s="170" t="s">
        <v>603</v>
      </c>
      <c r="D367" s="113">
        <v>300</v>
      </c>
      <c r="E367" s="109" t="s">
        <v>212</v>
      </c>
      <c r="F367" s="103" t="s">
        <v>7</v>
      </c>
    </row>
    <row r="368" spans="1:6" ht="15.75" customHeight="1">
      <c r="A368" s="105">
        <v>46106</v>
      </c>
      <c r="B368" s="154" t="s">
        <v>604</v>
      </c>
      <c r="C368" s="171" t="s">
        <v>605</v>
      </c>
      <c r="D368" s="113">
        <v>555.5</v>
      </c>
      <c r="E368" s="109" t="s">
        <v>212</v>
      </c>
      <c r="F368" s="103" t="s">
        <v>7</v>
      </c>
    </row>
    <row r="369" spans="1:6" ht="15.75" customHeight="1">
      <c r="A369" s="105">
        <v>46106</v>
      </c>
      <c r="B369" s="153" t="s">
        <v>394</v>
      </c>
      <c r="C369" s="170" t="s">
        <v>606</v>
      </c>
      <c r="D369" s="113">
        <v>369.9</v>
      </c>
      <c r="E369" s="109" t="s">
        <v>212</v>
      </c>
      <c r="F369" s="103" t="s">
        <v>7</v>
      </c>
    </row>
    <row r="370" spans="1:6" ht="15.75" customHeight="1">
      <c r="A370" s="105">
        <v>46106</v>
      </c>
      <c r="B370" s="107" t="s">
        <v>547</v>
      </c>
      <c r="C370" s="169">
        <v>12118</v>
      </c>
      <c r="D370" s="113">
        <v>510.5</v>
      </c>
      <c r="E370" s="109" t="s">
        <v>212</v>
      </c>
      <c r="F370" s="103" t="s">
        <v>7</v>
      </c>
    </row>
    <row r="371" spans="1:6" ht="15.75" customHeight="1">
      <c r="A371" s="105">
        <v>46107</v>
      </c>
      <c r="B371" s="107" t="s">
        <v>76</v>
      </c>
      <c r="C371" s="169">
        <v>12158</v>
      </c>
      <c r="D371" s="113">
        <v>1057.5</v>
      </c>
      <c r="E371" s="109" t="s">
        <v>212</v>
      </c>
      <c r="F371" s="103" t="s">
        <v>7</v>
      </c>
    </row>
    <row r="372" spans="1:6" ht="15.75" customHeight="1">
      <c r="A372" s="105">
        <v>46107</v>
      </c>
      <c r="B372" s="153" t="s">
        <v>310</v>
      </c>
      <c r="C372" s="170" t="s">
        <v>607</v>
      </c>
      <c r="D372" s="113">
        <v>1896.21</v>
      </c>
      <c r="E372" s="109" t="s">
        <v>212</v>
      </c>
      <c r="F372" s="103" t="s">
        <v>7</v>
      </c>
    </row>
    <row r="373" spans="1:6" ht="15.75" customHeight="1">
      <c r="A373" s="105">
        <v>46107</v>
      </c>
      <c r="B373" s="154" t="s">
        <v>310</v>
      </c>
      <c r="C373" s="171" t="s">
        <v>608</v>
      </c>
      <c r="D373" s="113">
        <v>1813.26</v>
      </c>
      <c r="E373" s="109" t="s">
        <v>212</v>
      </c>
      <c r="F373" s="103" t="s">
        <v>7</v>
      </c>
    </row>
    <row r="374" spans="1:6" ht="15.75" customHeight="1">
      <c r="A374" s="105">
        <v>46107</v>
      </c>
      <c r="B374" s="153" t="s">
        <v>310</v>
      </c>
      <c r="C374" s="170" t="s">
        <v>609</v>
      </c>
      <c r="D374" s="113">
        <v>1730.31</v>
      </c>
      <c r="E374" s="109" t="s">
        <v>212</v>
      </c>
      <c r="F374" s="103" t="s">
        <v>7</v>
      </c>
    </row>
    <row r="375" spans="1:6" ht="15.75" customHeight="1">
      <c r="A375" s="105">
        <v>46107</v>
      </c>
      <c r="B375" s="154" t="s">
        <v>512</v>
      </c>
      <c r="C375" s="171" t="s">
        <v>610</v>
      </c>
      <c r="D375" s="113">
        <v>1733</v>
      </c>
      <c r="E375" s="109" t="s">
        <v>212</v>
      </c>
      <c r="F375" s="103" t="s">
        <v>7</v>
      </c>
    </row>
    <row r="376" spans="1:6" ht="15.75" customHeight="1">
      <c r="A376" s="105">
        <v>46107</v>
      </c>
      <c r="B376" s="153" t="s">
        <v>310</v>
      </c>
      <c r="C376" s="170" t="s">
        <v>611</v>
      </c>
      <c r="D376" s="113">
        <v>997.77</v>
      </c>
      <c r="E376" s="109" t="s">
        <v>212</v>
      </c>
      <c r="F376" s="103" t="s">
        <v>7</v>
      </c>
    </row>
    <row r="377" spans="1:6" ht="15.75" customHeight="1">
      <c r="A377" s="105">
        <v>46107</v>
      </c>
      <c r="B377" s="154" t="s">
        <v>234</v>
      </c>
      <c r="C377" s="171" t="s">
        <v>612</v>
      </c>
      <c r="D377" s="113">
        <v>202</v>
      </c>
      <c r="E377" s="109" t="s">
        <v>212</v>
      </c>
      <c r="F377" s="103" t="s">
        <v>7</v>
      </c>
    </row>
    <row r="378" spans="1:6" ht="15.75" customHeight="1">
      <c r="A378" s="105">
        <v>46107</v>
      </c>
      <c r="B378" s="153" t="s">
        <v>234</v>
      </c>
      <c r="C378" s="170" t="s">
        <v>613</v>
      </c>
      <c r="D378" s="113">
        <v>650</v>
      </c>
      <c r="E378" s="109" t="s">
        <v>212</v>
      </c>
      <c r="F378" s="103" t="s">
        <v>7</v>
      </c>
    </row>
    <row r="379" spans="1:6" ht="15.75" customHeight="1">
      <c r="A379" s="105">
        <v>46107</v>
      </c>
      <c r="B379" s="154" t="s">
        <v>94</v>
      </c>
      <c r="C379" s="171" t="s">
        <v>614</v>
      </c>
      <c r="D379" s="113">
        <v>306</v>
      </c>
      <c r="E379" s="109" t="s">
        <v>212</v>
      </c>
      <c r="F379" s="103" t="s">
        <v>7</v>
      </c>
    </row>
    <row r="380" spans="1:6" ht="15.75" customHeight="1">
      <c r="A380" s="105">
        <v>46107</v>
      </c>
      <c r="B380" s="153" t="s">
        <v>445</v>
      </c>
      <c r="C380" s="170" t="s">
        <v>615</v>
      </c>
      <c r="D380" s="113">
        <v>748</v>
      </c>
      <c r="E380" s="109" t="s">
        <v>212</v>
      </c>
      <c r="F380" s="103" t="s">
        <v>7</v>
      </c>
    </row>
    <row r="381" spans="1:6" ht="15.75" customHeight="1">
      <c r="A381" s="105">
        <v>46107</v>
      </c>
      <c r="B381" s="154" t="s">
        <v>96</v>
      </c>
      <c r="C381" s="171" t="s">
        <v>616</v>
      </c>
      <c r="D381" s="113">
        <v>1188</v>
      </c>
      <c r="E381" s="109" t="s">
        <v>212</v>
      </c>
      <c r="F381" s="103" t="s">
        <v>7</v>
      </c>
    </row>
    <row r="382" spans="1:6" ht="15.75" customHeight="1">
      <c r="A382" s="105">
        <v>46108</v>
      </c>
      <c r="B382" s="153" t="s">
        <v>617</v>
      </c>
      <c r="C382" s="169">
        <v>12177</v>
      </c>
      <c r="D382" s="113">
        <v>1253.3399999999999</v>
      </c>
      <c r="E382" s="109" t="s">
        <v>212</v>
      </c>
      <c r="F382" s="103" t="s">
        <v>7</v>
      </c>
    </row>
    <row r="383" spans="1:6" ht="15.75" customHeight="1">
      <c r="A383" s="105">
        <v>46108</v>
      </c>
      <c r="B383" s="154" t="s">
        <v>238</v>
      </c>
      <c r="C383" s="169">
        <v>12269</v>
      </c>
      <c r="D383" s="113">
        <v>70</v>
      </c>
      <c r="E383" s="109" t="s">
        <v>212</v>
      </c>
      <c r="F383" s="103" t="s">
        <v>7</v>
      </c>
    </row>
    <row r="384" spans="1:6" ht="15.75" customHeight="1">
      <c r="A384" s="105">
        <v>46108</v>
      </c>
      <c r="B384" s="153" t="s">
        <v>618</v>
      </c>
      <c r="C384" s="169">
        <v>12393</v>
      </c>
      <c r="D384" s="113">
        <v>49.86</v>
      </c>
      <c r="E384" s="109" t="s">
        <v>212</v>
      </c>
      <c r="F384" s="103" t="s">
        <v>7</v>
      </c>
    </row>
    <row r="385" spans="1:6" ht="15.75" customHeight="1">
      <c r="A385" s="105">
        <v>46108</v>
      </c>
      <c r="B385" s="107" t="s">
        <v>348</v>
      </c>
      <c r="C385" s="169">
        <v>12389</v>
      </c>
      <c r="D385" s="113">
        <v>121.5</v>
      </c>
      <c r="E385" s="109" t="s">
        <v>212</v>
      </c>
      <c r="F385" s="103" t="s">
        <v>7</v>
      </c>
    </row>
    <row r="386" spans="1:6" ht="15.75" customHeight="1">
      <c r="A386" s="105">
        <v>46108</v>
      </c>
      <c r="B386" s="162" t="s">
        <v>223</v>
      </c>
      <c r="C386" s="177" t="s">
        <v>619</v>
      </c>
      <c r="D386" s="113">
        <v>2217.1999999999998</v>
      </c>
      <c r="E386" s="109" t="s">
        <v>212</v>
      </c>
      <c r="F386" s="103" t="s">
        <v>7</v>
      </c>
    </row>
    <row r="387" spans="1:6" ht="15.75" customHeight="1">
      <c r="A387" s="105">
        <v>46108</v>
      </c>
      <c r="B387" s="178" t="s">
        <v>234</v>
      </c>
      <c r="C387" s="179" t="s">
        <v>620</v>
      </c>
      <c r="D387" s="113">
        <v>1095.1099999999999</v>
      </c>
      <c r="E387" s="109" t="s">
        <v>212</v>
      </c>
      <c r="F387" s="103" t="s">
        <v>7</v>
      </c>
    </row>
    <row r="388" spans="1:6" ht="15.75" customHeight="1">
      <c r="A388" s="105">
        <v>46108</v>
      </c>
      <c r="B388" s="162" t="s">
        <v>214</v>
      </c>
      <c r="C388" s="177" t="s">
        <v>621</v>
      </c>
      <c r="D388" s="113">
        <v>4545.76</v>
      </c>
      <c r="E388" s="109" t="s">
        <v>212</v>
      </c>
      <c r="F388" s="103" t="s">
        <v>7</v>
      </c>
    </row>
    <row r="389" spans="1:6" ht="15.75" customHeight="1">
      <c r="A389" s="105">
        <v>46108</v>
      </c>
      <c r="B389" s="178" t="s">
        <v>604</v>
      </c>
      <c r="C389" s="179" t="s">
        <v>622</v>
      </c>
      <c r="D389" s="113">
        <v>531.5</v>
      </c>
      <c r="E389" s="109" t="s">
        <v>212</v>
      </c>
      <c r="F389" s="103" t="s">
        <v>7</v>
      </c>
    </row>
    <row r="390" spans="1:6" ht="15.75" customHeight="1">
      <c r="A390" s="105">
        <v>46108</v>
      </c>
      <c r="B390" s="162" t="s">
        <v>234</v>
      </c>
      <c r="C390" s="177" t="s">
        <v>623</v>
      </c>
      <c r="D390" s="113">
        <v>447.78</v>
      </c>
      <c r="E390" s="109" t="s">
        <v>212</v>
      </c>
      <c r="F390" s="103" t="s">
        <v>7</v>
      </c>
    </row>
    <row r="391" spans="1:6" ht="15.75" customHeight="1">
      <c r="A391" s="105">
        <v>46108</v>
      </c>
      <c r="B391" s="178" t="s">
        <v>230</v>
      </c>
      <c r="C391" s="179" t="s">
        <v>624</v>
      </c>
      <c r="D391" s="113">
        <v>674</v>
      </c>
      <c r="E391" s="109" t="s">
        <v>212</v>
      </c>
      <c r="F391" s="103" t="s">
        <v>7</v>
      </c>
    </row>
    <row r="392" spans="1:6" ht="15.75" customHeight="1">
      <c r="A392" s="105">
        <v>46108</v>
      </c>
      <c r="B392" s="162" t="s">
        <v>256</v>
      </c>
      <c r="C392" s="177" t="s">
        <v>625</v>
      </c>
      <c r="D392" s="113">
        <v>1649.84</v>
      </c>
      <c r="E392" s="109" t="s">
        <v>212</v>
      </c>
      <c r="F392" s="103" t="s">
        <v>7</v>
      </c>
    </row>
    <row r="393" spans="1:6" ht="15.75" customHeight="1">
      <c r="A393" s="105">
        <v>46111</v>
      </c>
      <c r="B393" s="160" t="s">
        <v>228</v>
      </c>
      <c r="C393" s="180" t="s">
        <v>626</v>
      </c>
      <c r="D393" s="113">
        <v>893.25</v>
      </c>
      <c r="E393" s="109" t="s">
        <v>212</v>
      </c>
      <c r="F393" s="103" t="s">
        <v>7</v>
      </c>
    </row>
    <row r="394" spans="1:6" ht="15.75" customHeight="1">
      <c r="A394" s="105">
        <v>46111</v>
      </c>
      <c r="B394" s="162" t="s">
        <v>292</v>
      </c>
      <c r="C394" s="177" t="s">
        <v>627</v>
      </c>
      <c r="D394" s="113">
        <v>1355.89</v>
      </c>
      <c r="E394" s="109" t="s">
        <v>212</v>
      </c>
      <c r="F394" s="103" t="s">
        <v>7</v>
      </c>
    </row>
    <row r="395" spans="1:6" ht="15.75" customHeight="1">
      <c r="A395" s="105">
        <v>46111</v>
      </c>
      <c r="B395" s="160" t="s">
        <v>448</v>
      </c>
      <c r="C395" s="180" t="s">
        <v>628</v>
      </c>
      <c r="D395" s="113">
        <v>1235.0999999999999</v>
      </c>
      <c r="E395" s="109" t="s">
        <v>212</v>
      </c>
      <c r="F395" s="103" t="s">
        <v>7</v>
      </c>
    </row>
    <row r="396" spans="1:6" ht="15.75" customHeight="1">
      <c r="A396" s="105">
        <v>46111</v>
      </c>
      <c r="B396" s="162" t="s">
        <v>629</v>
      </c>
      <c r="C396" s="177" t="s">
        <v>630</v>
      </c>
      <c r="D396" s="113">
        <v>462</v>
      </c>
      <c r="E396" s="109" t="s">
        <v>212</v>
      </c>
      <c r="F396" s="103" t="s">
        <v>7</v>
      </c>
    </row>
    <row r="397" spans="1:6" ht="15.75" customHeight="1">
      <c r="A397" s="105">
        <v>46111</v>
      </c>
      <c r="B397" s="160" t="s">
        <v>228</v>
      </c>
      <c r="C397" s="180" t="s">
        <v>631</v>
      </c>
      <c r="D397" s="113">
        <v>509.7</v>
      </c>
      <c r="E397" s="109" t="s">
        <v>212</v>
      </c>
      <c r="F397" s="103" t="s">
        <v>7</v>
      </c>
    </row>
    <row r="398" spans="1:6" ht="15.75" customHeight="1">
      <c r="A398" s="105">
        <v>46111</v>
      </c>
      <c r="B398" s="162" t="s">
        <v>380</v>
      </c>
      <c r="C398" s="177" t="s">
        <v>632</v>
      </c>
      <c r="D398" s="113">
        <v>4279.4399999999996</v>
      </c>
      <c r="E398" s="109" t="s">
        <v>212</v>
      </c>
      <c r="F398" s="103" t="s">
        <v>7</v>
      </c>
    </row>
    <row r="399" spans="1:6" ht="15.75" customHeight="1">
      <c r="A399" s="105">
        <v>46111</v>
      </c>
      <c r="B399" s="160" t="s">
        <v>382</v>
      </c>
      <c r="C399" s="180" t="s">
        <v>633</v>
      </c>
      <c r="D399" s="113">
        <v>543.6</v>
      </c>
      <c r="E399" s="109" t="s">
        <v>212</v>
      </c>
      <c r="F399" s="103" t="s">
        <v>7</v>
      </c>
    </row>
    <row r="400" spans="1:6" ht="15.75" customHeight="1">
      <c r="A400" s="105">
        <v>46111</v>
      </c>
      <c r="B400" s="162" t="s">
        <v>541</v>
      </c>
      <c r="C400" s="177" t="s">
        <v>634</v>
      </c>
      <c r="D400" s="113">
        <v>1429.3</v>
      </c>
      <c r="E400" s="109" t="s">
        <v>212</v>
      </c>
      <c r="F400" s="103" t="s">
        <v>7</v>
      </c>
    </row>
    <row r="401" spans="1:7" ht="15.75" customHeight="1">
      <c r="A401" s="105">
        <v>46111</v>
      </c>
      <c r="B401" s="160" t="s">
        <v>580</v>
      </c>
      <c r="C401" s="180" t="s">
        <v>635</v>
      </c>
      <c r="D401" s="113">
        <v>510</v>
      </c>
      <c r="E401" s="109" t="s">
        <v>212</v>
      </c>
      <c r="F401" s="103" t="s">
        <v>7</v>
      </c>
    </row>
    <row r="402" spans="1:7" ht="15.75" customHeight="1">
      <c r="A402" s="105">
        <v>46111</v>
      </c>
      <c r="B402" s="162" t="s">
        <v>238</v>
      </c>
      <c r="C402" s="177" t="s">
        <v>636</v>
      </c>
      <c r="D402" s="113">
        <v>150</v>
      </c>
      <c r="E402" s="109" t="s">
        <v>212</v>
      </c>
      <c r="F402" s="103" t="s">
        <v>7</v>
      </c>
    </row>
    <row r="403" spans="1:7" ht="15.75" customHeight="1">
      <c r="A403" s="105">
        <v>46112</v>
      </c>
      <c r="B403" s="160" t="s">
        <v>330</v>
      </c>
      <c r="C403" s="169">
        <v>12413</v>
      </c>
      <c r="D403" s="113">
        <v>440.4</v>
      </c>
      <c r="E403" s="109" t="s">
        <v>212</v>
      </c>
      <c r="F403" s="103" t="s">
        <v>7</v>
      </c>
    </row>
    <row r="404" spans="1:7" ht="15.75" customHeight="1">
      <c r="A404" s="105">
        <v>46112</v>
      </c>
      <c r="B404" s="162" t="s">
        <v>637</v>
      </c>
      <c r="C404" s="169" t="s">
        <v>267</v>
      </c>
      <c r="D404" s="113">
        <v>656</v>
      </c>
      <c r="E404" s="109" t="s">
        <v>212</v>
      </c>
      <c r="F404" s="103" t="s">
        <v>7</v>
      </c>
    </row>
    <row r="405" spans="1:7" ht="15.75" customHeight="1">
      <c r="A405" s="105">
        <v>46112</v>
      </c>
      <c r="B405" s="160" t="s">
        <v>638</v>
      </c>
      <c r="C405" s="169">
        <v>12058</v>
      </c>
      <c r="D405" s="113">
        <v>540</v>
      </c>
      <c r="E405" s="109" t="s">
        <v>212</v>
      </c>
      <c r="F405" s="103" t="s">
        <v>7</v>
      </c>
    </row>
    <row r="406" spans="1:7" ht="15.75" customHeight="1">
      <c r="A406" s="105">
        <v>46112</v>
      </c>
      <c r="B406" s="162" t="s">
        <v>230</v>
      </c>
      <c r="C406" s="169">
        <v>12220</v>
      </c>
      <c r="D406" s="113">
        <v>358.54</v>
      </c>
      <c r="E406" s="109" t="s">
        <v>212</v>
      </c>
      <c r="F406" s="103" t="s">
        <v>7</v>
      </c>
    </row>
    <row r="407" spans="1:7" ht="15.75" customHeight="1">
      <c r="A407" s="105">
        <v>46112</v>
      </c>
      <c r="B407" s="107" t="s">
        <v>288</v>
      </c>
      <c r="C407" s="169" t="s">
        <v>639</v>
      </c>
      <c r="D407" s="113">
        <v>429.05</v>
      </c>
      <c r="E407" s="109" t="s">
        <v>212</v>
      </c>
      <c r="F407" s="103" t="s">
        <v>7</v>
      </c>
    </row>
    <row r="408" spans="1:7" ht="15.75" customHeight="1">
      <c r="A408" s="105">
        <v>46112</v>
      </c>
      <c r="B408" s="107" t="s">
        <v>640</v>
      </c>
      <c r="C408" s="169">
        <v>12207</v>
      </c>
      <c r="D408" s="113">
        <v>174</v>
      </c>
      <c r="E408" s="109" t="s">
        <v>212</v>
      </c>
      <c r="F408" s="103" t="s">
        <v>7</v>
      </c>
    </row>
    <row r="409" spans="1:7" ht="15.75" customHeight="1">
      <c r="A409" s="105">
        <v>46112</v>
      </c>
      <c r="B409" s="107" t="s">
        <v>641</v>
      </c>
      <c r="C409" s="169">
        <v>12417</v>
      </c>
      <c r="D409" s="113">
        <v>986.1</v>
      </c>
      <c r="E409" s="109" t="s">
        <v>212</v>
      </c>
      <c r="F409" s="103" t="s">
        <v>7</v>
      </c>
    </row>
    <row r="410" spans="1:7" ht="15.75" customHeight="1">
      <c r="A410" s="164">
        <v>46084</v>
      </c>
      <c r="B410" s="181" t="s">
        <v>642</v>
      </c>
      <c r="C410" s="424">
        <v>12202</v>
      </c>
      <c r="D410" s="182">
        <v>14.6</v>
      </c>
      <c r="E410" s="109" t="s">
        <v>341</v>
      </c>
      <c r="F410" s="103" t="s">
        <v>7</v>
      </c>
    </row>
    <row r="411" spans="1:7" ht="15.75" customHeight="1">
      <c r="A411" s="105">
        <v>46097</v>
      </c>
      <c r="B411" s="112" t="s">
        <v>107</v>
      </c>
      <c r="C411" s="169" t="s">
        <v>110</v>
      </c>
      <c r="D411" s="183">
        <v>7000</v>
      </c>
      <c r="E411" s="109" t="s">
        <v>341</v>
      </c>
      <c r="F411" s="103" t="s">
        <v>7</v>
      </c>
    </row>
    <row r="412" spans="1:7" ht="15.75" customHeight="1">
      <c r="A412" s="274">
        <v>46113</v>
      </c>
      <c r="B412" s="258" t="s">
        <v>1172</v>
      </c>
      <c r="C412" s="275">
        <v>12431</v>
      </c>
      <c r="D412" s="261">
        <v>3750</v>
      </c>
      <c r="E412" s="276" t="s">
        <v>212</v>
      </c>
      <c r="F412" t="s">
        <v>1173</v>
      </c>
      <c r="G412" s="273">
        <f>SUM(D412:D584)</f>
        <v>214380.68000000005</v>
      </c>
    </row>
    <row r="413" spans="1:7" ht="15.75" customHeight="1">
      <c r="A413" s="274">
        <v>46113</v>
      </c>
      <c r="B413" s="258" t="s">
        <v>1174</v>
      </c>
      <c r="C413" s="277">
        <v>12416</v>
      </c>
      <c r="D413" s="261">
        <v>129.6</v>
      </c>
      <c r="E413" s="276" t="s">
        <v>212</v>
      </c>
      <c r="F413" t="s">
        <v>1173</v>
      </c>
    </row>
    <row r="414" spans="1:7" ht="15.75" customHeight="1">
      <c r="A414" s="274">
        <v>46113</v>
      </c>
      <c r="B414" s="258" t="s">
        <v>331</v>
      </c>
      <c r="C414" s="277" t="s">
        <v>1175</v>
      </c>
      <c r="D414" s="261">
        <v>245</v>
      </c>
      <c r="E414" s="276" t="s">
        <v>212</v>
      </c>
      <c r="F414" t="s">
        <v>1173</v>
      </c>
    </row>
    <row r="415" spans="1:7" ht="15.75" customHeight="1">
      <c r="A415" s="274">
        <v>46113</v>
      </c>
      <c r="B415" s="258" t="s">
        <v>604</v>
      </c>
      <c r="C415" s="278" t="s">
        <v>1176</v>
      </c>
      <c r="D415" s="261">
        <v>555.5</v>
      </c>
      <c r="E415" s="276" t="s">
        <v>212</v>
      </c>
      <c r="F415" t="s">
        <v>1173</v>
      </c>
    </row>
    <row r="416" spans="1:7" ht="15.75" customHeight="1">
      <c r="A416" s="274">
        <v>46113</v>
      </c>
      <c r="B416" s="279" t="s">
        <v>236</v>
      </c>
      <c r="C416" s="280" t="s">
        <v>1177</v>
      </c>
      <c r="D416" s="261">
        <v>450</v>
      </c>
      <c r="E416" s="276" t="s">
        <v>212</v>
      </c>
      <c r="F416" t="s">
        <v>1173</v>
      </c>
    </row>
    <row r="417" spans="1:6" ht="15.75" customHeight="1">
      <c r="A417" s="274">
        <v>46113</v>
      </c>
      <c r="B417" s="281" t="s">
        <v>1178</v>
      </c>
      <c r="C417" s="278" t="s">
        <v>1179</v>
      </c>
      <c r="D417" s="261">
        <v>680</v>
      </c>
      <c r="E417" s="276" t="s">
        <v>212</v>
      </c>
      <c r="F417" t="s">
        <v>1173</v>
      </c>
    </row>
    <row r="418" spans="1:6" ht="15.75" customHeight="1">
      <c r="A418" s="274">
        <v>46113</v>
      </c>
      <c r="B418" s="279" t="s">
        <v>1178</v>
      </c>
      <c r="C418" s="280" t="s">
        <v>1180</v>
      </c>
      <c r="D418" s="261">
        <v>680</v>
      </c>
      <c r="E418" s="276" t="s">
        <v>212</v>
      </c>
      <c r="F418" t="s">
        <v>1173</v>
      </c>
    </row>
    <row r="419" spans="1:6" ht="15.75" customHeight="1">
      <c r="A419" s="274">
        <v>46113</v>
      </c>
      <c r="B419" s="281" t="s">
        <v>448</v>
      </c>
      <c r="C419" s="278" t="s">
        <v>1181</v>
      </c>
      <c r="D419" s="261">
        <v>763.25</v>
      </c>
      <c r="E419" s="276" t="s">
        <v>212</v>
      </c>
      <c r="F419" t="s">
        <v>1173</v>
      </c>
    </row>
    <row r="420" spans="1:6" ht="15.75" customHeight="1">
      <c r="A420" s="274">
        <v>46113</v>
      </c>
      <c r="B420" s="279" t="s">
        <v>225</v>
      </c>
      <c r="C420" s="280" t="s">
        <v>1182</v>
      </c>
      <c r="D420" s="261">
        <v>206</v>
      </c>
      <c r="E420" s="276" t="s">
        <v>212</v>
      </c>
      <c r="F420" t="s">
        <v>1173</v>
      </c>
    </row>
    <row r="421" spans="1:6" ht="15.75" customHeight="1">
      <c r="A421" s="274">
        <v>46113</v>
      </c>
      <c r="B421" s="281" t="s">
        <v>244</v>
      </c>
      <c r="C421" s="278" t="s">
        <v>1183</v>
      </c>
      <c r="D421" s="261">
        <v>325</v>
      </c>
      <c r="E421" s="276" t="s">
        <v>212</v>
      </c>
      <c r="F421" t="s">
        <v>1173</v>
      </c>
    </row>
    <row r="422" spans="1:6" ht="15.75" customHeight="1">
      <c r="A422" s="274">
        <v>46114</v>
      </c>
      <c r="B422" s="258" t="s">
        <v>480</v>
      </c>
      <c r="C422" s="277">
        <v>12249</v>
      </c>
      <c r="D422" s="261">
        <v>45</v>
      </c>
      <c r="E422" s="276" t="s">
        <v>212</v>
      </c>
      <c r="F422" t="s">
        <v>1173</v>
      </c>
    </row>
    <row r="423" spans="1:6" ht="15.75" customHeight="1">
      <c r="A423" s="274">
        <v>46114</v>
      </c>
      <c r="B423" s="258" t="s">
        <v>313</v>
      </c>
      <c r="C423" s="277">
        <v>12446</v>
      </c>
      <c r="D423" s="261">
        <v>933.98</v>
      </c>
      <c r="E423" s="276" t="s">
        <v>212</v>
      </c>
      <c r="F423" t="s">
        <v>1173</v>
      </c>
    </row>
    <row r="424" spans="1:6" ht="15.75" customHeight="1">
      <c r="A424" s="274">
        <v>46114</v>
      </c>
      <c r="B424" s="258" t="s">
        <v>1184</v>
      </c>
      <c r="C424" s="277">
        <v>48</v>
      </c>
      <c r="D424" s="261">
        <v>7000</v>
      </c>
      <c r="E424" s="276" t="s">
        <v>212</v>
      </c>
      <c r="F424" t="s">
        <v>1173</v>
      </c>
    </row>
    <row r="425" spans="1:6" ht="15.75" customHeight="1">
      <c r="A425" s="274">
        <v>46114</v>
      </c>
      <c r="B425" s="172" t="s">
        <v>234</v>
      </c>
      <c r="C425" s="173" t="s">
        <v>1185</v>
      </c>
      <c r="D425" s="261">
        <v>650.48</v>
      </c>
      <c r="E425" s="276" t="s">
        <v>212</v>
      </c>
      <c r="F425" t="s">
        <v>1173</v>
      </c>
    </row>
    <row r="426" spans="1:6" ht="15.75" customHeight="1">
      <c r="A426" s="274">
        <v>46114</v>
      </c>
      <c r="B426" s="279" t="s">
        <v>1186</v>
      </c>
      <c r="C426" s="280" t="s">
        <v>1187</v>
      </c>
      <c r="D426" s="261">
        <v>1253.33</v>
      </c>
      <c r="E426" s="276" t="s">
        <v>212</v>
      </c>
      <c r="F426" t="s">
        <v>1173</v>
      </c>
    </row>
    <row r="427" spans="1:6" ht="15.75" customHeight="1">
      <c r="A427" s="274">
        <v>46114</v>
      </c>
      <c r="B427" s="172" t="s">
        <v>445</v>
      </c>
      <c r="C427" s="173" t="s">
        <v>1188</v>
      </c>
      <c r="D427" s="261">
        <v>748.5</v>
      </c>
      <c r="E427" s="276" t="s">
        <v>212</v>
      </c>
      <c r="F427" t="s">
        <v>1173</v>
      </c>
    </row>
    <row r="428" spans="1:6" ht="15.75" customHeight="1">
      <c r="A428" s="274">
        <v>46114</v>
      </c>
      <c r="B428" s="279" t="s">
        <v>100</v>
      </c>
      <c r="C428" s="280" t="s">
        <v>1189</v>
      </c>
      <c r="D428" s="261">
        <v>1444</v>
      </c>
      <c r="E428" s="276" t="s">
        <v>212</v>
      </c>
      <c r="F428" t="s">
        <v>1173</v>
      </c>
    </row>
    <row r="429" spans="1:6" ht="15.75" customHeight="1">
      <c r="A429" s="274">
        <v>46114</v>
      </c>
      <c r="B429" s="172" t="s">
        <v>105</v>
      </c>
      <c r="C429" s="173" t="s">
        <v>1190</v>
      </c>
      <c r="D429" s="261">
        <v>2353</v>
      </c>
      <c r="E429" s="276" t="s">
        <v>212</v>
      </c>
      <c r="F429" t="s">
        <v>1173</v>
      </c>
    </row>
    <row r="430" spans="1:6" ht="15.75" customHeight="1">
      <c r="A430" s="274">
        <v>46114</v>
      </c>
      <c r="B430" s="279" t="s">
        <v>448</v>
      </c>
      <c r="C430" s="280" t="s">
        <v>1191</v>
      </c>
      <c r="D430" s="261">
        <v>438.9</v>
      </c>
      <c r="E430" s="276" t="s">
        <v>212</v>
      </c>
      <c r="F430" t="s">
        <v>1173</v>
      </c>
    </row>
    <row r="431" spans="1:6" ht="15.75" customHeight="1">
      <c r="A431" s="274">
        <v>46114</v>
      </c>
      <c r="B431" s="172" t="s">
        <v>1192</v>
      </c>
      <c r="C431" s="173" t="s">
        <v>1193</v>
      </c>
      <c r="D431" s="261">
        <v>305</v>
      </c>
      <c r="E431" s="276" t="s">
        <v>212</v>
      </c>
      <c r="F431" t="s">
        <v>1173</v>
      </c>
    </row>
    <row r="432" spans="1:6" ht="15.75" customHeight="1">
      <c r="A432" s="274">
        <v>46114</v>
      </c>
      <c r="B432" s="279" t="s">
        <v>457</v>
      </c>
      <c r="C432" s="280" t="s">
        <v>1194</v>
      </c>
      <c r="D432" s="261">
        <v>156</v>
      </c>
      <c r="E432" s="276" t="s">
        <v>212</v>
      </c>
      <c r="F432" t="s">
        <v>1173</v>
      </c>
    </row>
    <row r="433" spans="1:6" ht="15.75" customHeight="1">
      <c r="A433" s="274">
        <v>46114</v>
      </c>
      <c r="B433" s="172" t="s">
        <v>234</v>
      </c>
      <c r="C433" s="173" t="s">
        <v>1195</v>
      </c>
      <c r="D433" s="261">
        <v>428.75</v>
      </c>
      <c r="E433" s="276" t="s">
        <v>212</v>
      </c>
      <c r="F433" t="s">
        <v>1173</v>
      </c>
    </row>
    <row r="434" spans="1:6" ht="15.75" customHeight="1">
      <c r="A434" s="274">
        <v>46114</v>
      </c>
      <c r="B434" s="279" t="s">
        <v>214</v>
      </c>
      <c r="C434" s="280" t="s">
        <v>1196</v>
      </c>
      <c r="D434" s="261">
        <v>540.5</v>
      </c>
      <c r="E434" s="276" t="s">
        <v>212</v>
      </c>
      <c r="F434" t="s">
        <v>1173</v>
      </c>
    </row>
    <row r="435" spans="1:6" ht="15.75" customHeight="1">
      <c r="A435" s="274">
        <v>46114</v>
      </c>
      <c r="B435" s="172" t="s">
        <v>1197</v>
      </c>
      <c r="C435" s="173" t="s">
        <v>1198</v>
      </c>
      <c r="D435" s="261">
        <v>923</v>
      </c>
      <c r="E435" s="276" t="s">
        <v>212</v>
      </c>
      <c r="F435" t="s">
        <v>1173</v>
      </c>
    </row>
    <row r="436" spans="1:6" ht="15.75" customHeight="1">
      <c r="A436" s="274">
        <v>46118</v>
      </c>
      <c r="B436" s="281" t="s">
        <v>380</v>
      </c>
      <c r="C436" s="278" t="s">
        <v>1199</v>
      </c>
      <c r="D436" s="261">
        <v>5385.97</v>
      </c>
      <c r="E436" s="276" t="s">
        <v>212</v>
      </c>
      <c r="F436" t="s">
        <v>1173</v>
      </c>
    </row>
    <row r="437" spans="1:6" ht="15.75" customHeight="1">
      <c r="A437" s="274">
        <v>46118</v>
      </c>
      <c r="B437" s="279" t="s">
        <v>223</v>
      </c>
      <c r="C437" s="280" t="s">
        <v>1200</v>
      </c>
      <c r="D437" s="261">
        <v>2217.1999999999998</v>
      </c>
      <c r="E437" s="276" t="s">
        <v>212</v>
      </c>
      <c r="F437" t="s">
        <v>1173</v>
      </c>
    </row>
    <row r="438" spans="1:6" ht="15.75" customHeight="1">
      <c r="A438" s="274">
        <v>46118</v>
      </c>
      <c r="B438" s="281" t="s">
        <v>234</v>
      </c>
      <c r="C438" s="278" t="s">
        <v>1201</v>
      </c>
      <c r="D438" s="261">
        <v>1095.1099999999999</v>
      </c>
      <c r="E438" s="276" t="s">
        <v>212</v>
      </c>
      <c r="F438" t="s">
        <v>1173</v>
      </c>
    </row>
    <row r="439" spans="1:6" ht="15.75" customHeight="1">
      <c r="A439" s="274">
        <v>46118</v>
      </c>
      <c r="B439" s="279" t="s">
        <v>288</v>
      </c>
      <c r="C439" s="280" t="s">
        <v>1202</v>
      </c>
      <c r="D439" s="261">
        <v>1034.5</v>
      </c>
      <c r="E439" s="276" t="s">
        <v>212</v>
      </c>
      <c r="F439" t="s">
        <v>1173</v>
      </c>
    </row>
    <row r="440" spans="1:6" ht="15.75" customHeight="1">
      <c r="A440" s="274">
        <v>46118</v>
      </c>
      <c r="B440" s="281" t="s">
        <v>234</v>
      </c>
      <c r="C440" s="278" t="s">
        <v>1203</v>
      </c>
      <c r="D440" s="261">
        <v>447.78</v>
      </c>
      <c r="E440" s="276" t="s">
        <v>212</v>
      </c>
      <c r="F440" t="s">
        <v>1173</v>
      </c>
    </row>
    <row r="441" spans="1:6" ht="15.75" customHeight="1">
      <c r="A441" s="274">
        <v>46118</v>
      </c>
      <c r="B441" s="279" t="s">
        <v>256</v>
      </c>
      <c r="C441" s="280" t="s">
        <v>1204</v>
      </c>
      <c r="D441" s="261">
        <v>1649.83</v>
      </c>
      <c r="E441" s="276" t="s">
        <v>212</v>
      </c>
      <c r="F441" t="s">
        <v>1173</v>
      </c>
    </row>
    <row r="442" spans="1:6" ht="15.75" customHeight="1">
      <c r="A442" s="274">
        <v>46118</v>
      </c>
      <c r="B442" s="281" t="s">
        <v>1178</v>
      </c>
      <c r="C442" s="278" t="s">
        <v>1205</v>
      </c>
      <c r="D442" s="261">
        <v>680</v>
      </c>
      <c r="E442" s="276" t="s">
        <v>212</v>
      </c>
      <c r="F442" t="s">
        <v>1173</v>
      </c>
    </row>
    <row r="443" spans="1:6" ht="15.75" customHeight="1">
      <c r="A443" s="274">
        <v>46118</v>
      </c>
      <c r="B443" s="279" t="s">
        <v>380</v>
      </c>
      <c r="C443" s="280" t="s">
        <v>1206</v>
      </c>
      <c r="D443" s="261">
        <v>2428.6</v>
      </c>
      <c r="E443" s="276" t="s">
        <v>212</v>
      </c>
      <c r="F443" t="s">
        <v>1173</v>
      </c>
    </row>
    <row r="444" spans="1:6" ht="15.75" customHeight="1">
      <c r="A444" s="274">
        <v>46118</v>
      </c>
      <c r="B444" s="281" t="s">
        <v>240</v>
      </c>
      <c r="C444" s="278" t="s">
        <v>1207</v>
      </c>
      <c r="D444" s="261">
        <v>573.41999999999996</v>
      </c>
      <c r="E444" s="276" t="s">
        <v>212</v>
      </c>
      <c r="F444" t="s">
        <v>1173</v>
      </c>
    </row>
    <row r="445" spans="1:6" ht="15.75" customHeight="1">
      <c r="A445" s="274">
        <v>46118</v>
      </c>
      <c r="B445" s="279" t="s">
        <v>1208</v>
      </c>
      <c r="C445" s="280" t="s">
        <v>1209</v>
      </c>
      <c r="D445" s="261">
        <v>285</v>
      </c>
      <c r="E445" s="276" t="s">
        <v>212</v>
      </c>
      <c r="F445" t="s">
        <v>1173</v>
      </c>
    </row>
    <row r="446" spans="1:6" ht="15.75" customHeight="1">
      <c r="A446" s="274">
        <v>46118</v>
      </c>
      <c r="B446" s="281" t="s">
        <v>228</v>
      </c>
      <c r="C446" s="278" t="s">
        <v>1210</v>
      </c>
      <c r="D446" s="261">
        <v>677.5</v>
      </c>
      <c r="E446" s="276" t="s">
        <v>212</v>
      </c>
      <c r="F446" t="s">
        <v>1173</v>
      </c>
    </row>
    <row r="447" spans="1:6" ht="15.75" customHeight="1">
      <c r="A447" s="274">
        <v>46118</v>
      </c>
      <c r="B447" s="279" t="s">
        <v>300</v>
      </c>
      <c r="C447" s="280" t="s">
        <v>1211</v>
      </c>
      <c r="D447" s="261">
        <v>1547.66</v>
      </c>
      <c r="E447" s="276" t="s">
        <v>212</v>
      </c>
      <c r="F447" t="s">
        <v>1173</v>
      </c>
    </row>
    <row r="448" spans="1:6" ht="15.75" customHeight="1">
      <c r="A448" s="274">
        <v>46118</v>
      </c>
      <c r="B448" s="281" t="s">
        <v>308</v>
      </c>
      <c r="C448" s="278" t="s">
        <v>1212</v>
      </c>
      <c r="D448" s="261">
        <v>267.5</v>
      </c>
      <c r="E448" s="276" t="s">
        <v>212</v>
      </c>
      <c r="F448" t="s">
        <v>1173</v>
      </c>
    </row>
    <row r="449" spans="1:6" ht="15.75" customHeight="1">
      <c r="A449" s="274">
        <v>46118</v>
      </c>
      <c r="B449" s="279" t="s">
        <v>489</v>
      </c>
      <c r="C449" s="280" t="s">
        <v>1213</v>
      </c>
      <c r="D449" s="261">
        <v>584</v>
      </c>
      <c r="E449" s="276" t="s">
        <v>212</v>
      </c>
      <c r="F449" t="s">
        <v>1173</v>
      </c>
    </row>
    <row r="450" spans="1:6" ht="15.75" customHeight="1">
      <c r="A450" s="274">
        <v>46118</v>
      </c>
      <c r="B450" s="172" t="s">
        <v>1214</v>
      </c>
      <c r="C450" s="173">
        <v>12449</v>
      </c>
      <c r="D450" s="261">
        <v>2886</v>
      </c>
      <c r="E450" s="276" t="s">
        <v>212</v>
      </c>
      <c r="F450" t="s">
        <v>1173</v>
      </c>
    </row>
    <row r="451" spans="1:6" ht="15.75" customHeight="1">
      <c r="A451" s="274">
        <v>46119</v>
      </c>
      <c r="B451" s="281" t="s">
        <v>230</v>
      </c>
      <c r="C451" s="278" t="s">
        <v>1215</v>
      </c>
      <c r="D451" s="261">
        <v>358.53</v>
      </c>
      <c r="E451" s="276" t="s">
        <v>212</v>
      </c>
      <c r="F451" t="s">
        <v>1173</v>
      </c>
    </row>
    <row r="452" spans="1:6" ht="15.75" customHeight="1">
      <c r="A452" s="274">
        <v>46119</v>
      </c>
      <c r="B452" s="279" t="s">
        <v>1216</v>
      </c>
      <c r="C452" s="280" t="s">
        <v>1217</v>
      </c>
      <c r="D452" s="261">
        <v>797</v>
      </c>
      <c r="E452" s="276" t="s">
        <v>212</v>
      </c>
      <c r="F452" t="s">
        <v>1173</v>
      </c>
    </row>
    <row r="453" spans="1:6" ht="15.75" customHeight="1">
      <c r="A453" s="274">
        <v>46119</v>
      </c>
      <c r="B453" s="281" t="s">
        <v>394</v>
      </c>
      <c r="C453" s="278" t="s">
        <v>1218</v>
      </c>
      <c r="D453" s="261">
        <v>1879.29</v>
      </c>
      <c r="E453" s="276" t="s">
        <v>212</v>
      </c>
      <c r="F453" t="s">
        <v>1173</v>
      </c>
    </row>
    <row r="454" spans="1:6" ht="15.75" customHeight="1">
      <c r="A454" s="274">
        <v>46119</v>
      </c>
      <c r="B454" s="279" t="s">
        <v>1219</v>
      </c>
      <c r="C454" s="280" t="s">
        <v>1220</v>
      </c>
      <c r="D454" s="261">
        <v>750</v>
      </c>
      <c r="E454" s="276" t="s">
        <v>212</v>
      </c>
      <c r="F454" t="s">
        <v>1173</v>
      </c>
    </row>
    <row r="455" spans="1:6" ht="15.75" customHeight="1">
      <c r="A455" s="274">
        <v>46120</v>
      </c>
      <c r="B455" s="279" t="s">
        <v>479</v>
      </c>
      <c r="C455" s="280">
        <v>12303</v>
      </c>
      <c r="D455" s="261">
        <v>115.4</v>
      </c>
      <c r="E455" s="276" t="s">
        <v>212</v>
      </c>
      <c r="F455" t="s">
        <v>1173</v>
      </c>
    </row>
    <row r="456" spans="1:6" ht="15.75" customHeight="1">
      <c r="A456" s="274">
        <v>46120</v>
      </c>
      <c r="B456" s="279" t="s">
        <v>479</v>
      </c>
      <c r="C456" s="280">
        <v>12304</v>
      </c>
      <c r="D456" s="261">
        <v>48.38</v>
      </c>
      <c r="E456" s="276" t="s">
        <v>212</v>
      </c>
      <c r="F456" t="s">
        <v>1173</v>
      </c>
    </row>
    <row r="457" spans="1:6" ht="15.75" customHeight="1">
      <c r="A457" s="274">
        <v>46120</v>
      </c>
      <c r="B457" s="172" t="s">
        <v>448</v>
      </c>
      <c r="C457" s="173" t="s">
        <v>1221</v>
      </c>
      <c r="D457" s="261">
        <v>763.25</v>
      </c>
      <c r="E457" s="276" t="s">
        <v>212</v>
      </c>
      <c r="F457" t="s">
        <v>1173</v>
      </c>
    </row>
    <row r="458" spans="1:6" ht="15.75" customHeight="1">
      <c r="A458" s="274">
        <v>46120</v>
      </c>
      <c r="B458" s="279" t="s">
        <v>1222</v>
      </c>
      <c r="C458" s="280" t="s">
        <v>1223</v>
      </c>
      <c r="D458" s="261">
        <v>519.20000000000005</v>
      </c>
      <c r="E458" s="276" t="s">
        <v>212</v>
      </c>
      <c r="F458" t="s">
        <v>1173</v>
      </c>
    </row>
    <row r="459" spans="1:6" ht="15.75" customHeight="1">
      <c r="A459" s="274">
        <v>46120</v>
      </c>
      <c r="B459" s="172" t="s">
        <v>380</v>
      </c>
      <c r="C459" s="173" t="s">
        <v>1224</v>
      </c>
      <c r="D459" s="261">
        <v>425</v>
      </c>
      <c r="E459" s="276" t="s">
        <v>212</v>
      </c>
      <c r="F459" t="s">
        <v>1173</v>
      </c>
    </row>
    <row r="460" spans="1:6" ht="15.75" customHeight="1">
      <c r="A460" s="274">
        <v>46120</v>
      </c>
      <c r="B460" s="279" t="s">
        <v>277</v>
      </c>
      <c r="C460" s="280" t="s">
        <v>1225</v>
      </c>
      <c r="D460" s="261">
        <v>677.5</v>
      </c>
      <c r="E460" s="276" t="s">
        <v>212</v>
      </c>
      <c r="F460" t="s">
        <v>1173</v>
      </c>
    </row>
    <row r="461" spans="1:6" ht="15.75" customHeight="1">
      <c r="A461" s="274">
        <v>46120</v>
      </c>
      <c r="B461" s="172" t="s">
        <v>380</v>
      </c>
      <c r="C461" s="173" t="s">
        <v>1226</v>
      </c>
      <c r="D461" s="261">
        <v>260</v>
      </c>
      <c r="E461" s="276" t="s">
        <v>212</v>
      </c>
      <c r="F461" t="s">
        <v>1173</v>
      </c>
    </row>
    <row r="462" spans="1:6" ht="15.75" customHeight="1">
      <c r="A462" s="274">
        <v>46120</v>
      </c>
      <c r="B462" s="279" t="s">
        <v>1227</v>
      </c>
      <c r="C462" s="280">
        <v>12284</v>
      </c>
      <c r="D462" s="261">
        <v>680</v>
      </c>
      <c r="E462" s="276" t="s">
        <v>212</v>
      </c>
      <c r="F462" t="s">
        <v>1173</v>
      </c>
    </row>
    <row r="463" spans="1:6" ht="15.75" customHeight="1">
      <c r="A463" s="274">
        <v>46121</v>
      </c>
      <c r="B463" s="279" t="s">
        <v>438</v>
      </c>
      <c r="C463" s="280" t="s">
        <v>1228</v>
      </c>
      <c r="D463" s="261">
        <v>399.2</v>
      </c>
      <c r="E463" s="276" t="s">
        <v>212</v>
      </c>
      <c r="F463" t="s">
        <v>1173</v>
      </c>
    </row>
    <row r="464" spans="1:6" ht="15.75" customHeight="1">
      <c r="A464" s="274">
        <v>46121</v>
      </c>
      <c r="B464" s="172" t="s">
        <v>238</v>
      </c>
      <c r="C464" s="173" t="s">
        <v>1229</v>
      </c>
      <c r="D464" s="261">
        <v>2430</v>
      </c>
      <c r="E464" s="276" t="s">
        <v>212</v>
      </c>
      <c r="F464" t="s">
        <v>1173</v>
      </c>
    </row>
    <row r="465" spans="1:6" ht="15.75" customHeight="1">
      <c r="A465" s="274">
        <v>46121</v>
      </c>
      <c r="B465" s="279" t="s">
        <v>1186</v>
      </c>
      <c r="C465" s="280" t="s">
        <v>1230</v>
      </c>
      <c r="D465" s="261">
        <v>1253.33</v>
      </c>
      <c r="E465" s="276" t="s">
        <v>212</v>
      </c>
      <c r="F465" t="s">
        <v>1173</v>
      </c>
    </row>
    <row r="466" spans="1:6" ht="15.75" customHeight="1">
      <c r="A466" s="274">
        <v>46121</v>
      </c>
      <c r="B466" s="172" t="s">
        <v>240</v>
      </c>
      <c r="C466" s="173" t="s">
        <v>1231</v>
      </c>
      <c r="D466" s="261">
        <v>555</v>
      </c>
      <c r="E466" s="276" t="s">
        <v>212</v>
      </c>
      <c r="F466" t="s">
        <v>1173</v>
      </c>
    </row>
    <row r="467" spans="1:6" ht="15.75" customHeight="1">
      <c r="A467" s="274">
        <v>46121</v>
      </c>
      <c r="B467" s="279" t="s">
        <v>234</v>
      </c>
      <c r="C467" s="280" t="s">
        <v>1232</v>
      </c>
      <c r="D467" s="261">
        <v>428.75</v>
      </c>
      <c r="E467" s="276" t="s">
        <v>212</v>
      </c>
      <c r="F467" t="s">
        <v>1173</v>
      </c>
    </row>
    <row r="468" spans="1:6" ht="15.75" customHeight="1">
      <c r="A468" s="274">
        <v>46121</v>
      </c>
      <c r="B468" s="172" t="s">
        <v>214</v>
      </c>
      <c r="C468" s="173" t="s">
        <v>1233</v>
      </c>
      <c r="D468" s="261">
        <v>540.5</v>
      </c>
      <c r="E468" s="276" t="s">
        <v>212</v>
      </c>
      <c r="F468" t="s">
        <v>1173</v>
      </c>
    </row>
    <row r="469" spans="1:6" ht="15.75" customHeight="1">
      <c r="A469" s="274">
        <v>46121</v>
      </c>
      <c r="B469" s="279" t="s">
        <v>308</v>
      </c>
      <c r="C469" s="280" t="s">
        <v>1234</v>
      </c>
      <c r="D469" s="261">
        <v>628.24</v>
      </c>
      <c r="E469" s="276" t="s">
        <v>212</v>
      </c>
      <c r="F469" t="s">
        <v>1173</v>
      </c>
    </row>
    <row r="470" spans="1:6" ht="15.75" customHeight="1">
      <c r="A470" s="274">
        <v>46121</v>
      </c>
      <c r="B470" s="172" t="s">
        <v>246</v>
      </c>
      <c r="C470" s="173" t="s">
        <v>1235</v>
      </c>
      <c r="D470" s="261">
        <v>397.3</v>
      </c>
      <c r="E470" s="276" t="s">
        <v>212</v>
      </c>
      <c r="F470" t="s">
        <v>1173</v>
      </c>
    </row>
    <row r="471" spans="1:6" ht="15.75" customHeight="1">
      <c r="A471" s="274">
        <v>46122</v>
      </c>
      <c r="B471" s="279" t="s">
        <v>1236</v>
      </c>
      <c r="C471" s="275" t="s">
        <v>1237</v>
      </c>
      <c r="D471" s="261">
        <v>200.42</v>
      </c>
      <c r="E471" s="276" t="s">
        <v>212</v>
      </c>
      <c r="F471" t="s">
        <v>1173</v>
      </c>
    </row>
    <row r="472" spans="1:6" ht="15.75" customHeight="1">
      <c r="A472" s="274">
        <v>46122</v>
      </c>
      <c r="B472" s="281" t="s">
        <v>331</v>
      </c>
      <c r="C472" s="278" t="s">
        <v>1238</v>
      </c>
      <c r="D472" s="261">
        <v>97</v>
      </c>
      <c r="E472" s="276" t="s">
        <v>212</v>
      </c>
      <c r="F472" t="s">
        <v>1173</v>
      </c>
    </row>
    <row r="473" spans="1:6" ht="15.75" customHeight="1">
      <c r="A473" s="274">
        <v>46122</v>
      </c>
      <c r="B473" s="258" t="s">
        <v>1239</v>
      </c>
      <c r="C473" s="275">
        <v>12491</v>
      </c>
      <c r="D473" s="261">
        <v>1090</v>
      </c>
      <c r="E473" s="276" t="s">
        <v>212</v>
      </c>
      <c r="F473" t="s">
        <v>1173</v>
      </c>
    </row>
    <row r="474" spans="1:6" ht="15.75" customHeight="1">
      <c r="A474" s="274">
        <v>46122</v>
      </c>
      <c r="B474" s="281" t="s">
        <v>1219</v>
      </c>
      <c r="C474" s="278">
        <v>12290</v>
      </c>
      <c r="D474" s="261">
        <v>240</v>
      </c>
      <c r="E474" s="276" t="s">
        <v>212</v>
      </c>
      <c r="F474" t="s">
        <v>1173</v>
      </c>
    </row>
    <row r="475" spans="1:6" ht="15.75" customHeight="1">
      <c r="A475" s="274">
        <v>46122</v>
      </c>
      <c r="B475" s="281" t="s">
        <v>234</v>
      </c>
      <c r="C475" s="278" t="s">
        <v>1240</v>
      </c>
      <c r="D475" s="261">
        <v>447.78</v>
      </c>
      <c r="E475" s="276" t="s">
        <v>212</v>
      </c>
      <c r="F475" t="s">
        <v>1173</v>
      </c>
    </row>
    <row r="476" spans="1:6" ht="15.75" customHeight="1">
      <c r="A476" s="274">
        <v>46122</v>
      </c>
      <c r="B476" s="279" t="s">
        <v>256</v>
      </c>
      <c r="C476" s="280" t="s">
        <v>1241</v>
      </c>
      <c r="D476" s="261">
        <v>1649.83</v>
      </c>
      <c r="E476" s="276" t="s">
        <v>212</v>
      </c>
      <c r="F476" t="s">
        <v>1173</v>
      </c>
    </row>
    <row r="477" spans="1:6" ht="15.75" customHeight="1">
      <c r="A477" s="274">
        <v>46122</v>
      </c>
      <c r="B477" s="281" t="s">
        <v>562</v>
      </c>
      <c r="C477" s="278" t="s">
        <v>1242</v>
      </c>
      <c r="D477" s="261">
        <v>1488</v>
      </c>
      <c r="E477" s="276" t="s">
        <v>212</v>
      </c>
      <c r="F477" t="s">
        <v>1173</v>
      </c>
    </row>
    <row r="478" spans="1:6" ht="15.75" customHeight="1">
      <c r="A478" s="274">
        <v>46122</v>
      </c>
      <c r="B478" s="279" t="s">
        <v>604</v>
      </c>
      <c r="C478" s="280" t="s">
        <v>1243</v>
      </c>
      <c r="D478" s="261">
        <v>385.04</v>
      </c>
      <c r="E478" s="276" t="s">
        <v>212</v>
      </c>
      <c r="F478" t="s">
        <v>1173</v>
      </c>
    </row>
    <row r="479" spans="1:6" ht="15.75" customHeight="1">
      <c r="A479" s="274">
        <v>46122</v>
      </c>
      <c r="B479" s="281" t="s">
        <v>105</v>
      </c>
      <c r="C479" s="278" t="s">
        <v>1244</v>
      </c>
      <c r="D479" s="261">
        <v>952</v>
      </c>
      <c r="E479" s="276" t="s">
        <v>212</v>
      </c>
      <c r="F479" t="s">
        <v>1173</v>
      </c>
    </row>
    <row r="480" spans="1:6" ht="15.75" customHeight="1">
      <c r="A480" s="274">
        <v>46122</v>
      </c>
      <c r="B480" s="279" t="s">
        <v>445</v>
      </c>
      <c r="C480" s="280" t="s">
        <v>1245</v>
      </c>
      <c r="D480" s="261">
        <v>835</v>
      </c>
      <c r="E480" s="276" t="s">
        <v>212</v>
      </c>
      <c r="F480" t="s">
        <v>1173</v>
      </c>
    </row>
    <row r="481" spans="1:6" ht="15.75" customHeight="1">
      <c r="A481" s="274">
        <v>46122</v>
      </c>
      <c r="B481" s="281" t="s">
        <v>223</v>
      </c>
      <c r="C481" s="278" t="s">
        <v>1246</v>
      </c>
      <c r="D481" s="261">
        <v>674.25</v>
      </c>
      <c r="E481" s="276" t="s">
        <v>212</v>
      </c>
      <c r="F481" t="s">
        <v>1173</v>
      </c>
    </row>
    <row r="482" spans="1:6" ht="15.75" customHeight="1">
      <c r="A482" s="274">
        <v>46122</v>
      </c>
      <c r="B482" s="281" t="s">
        <v>1247</v>
      </c>
      <c r="C482" s="278"/>
      <c r="D482" s="261">
        <v>67.5</v>
      </c>
      <c r="E482" s="276" t="s">
        <v>212</v>
      </c>
      <c r="F482" t="s">
        <v>1173</v>
      </c>
    </row>
    <row r="483" spans="1:6" ht="15.75" customHeight="1">
      <c r="A483" s="274">
        <v>46125</v>
      </c>
      <c r="B483" s="281" t="s">
        <v>1248</v>
      </c>
      <c r="C483" s="278">
        <v>12320</v>
      </c>
      <c r="D483" s="261">
        <v>516.85</v>
      </c>
      <c r="E483" s="276" t="s">
        <v>212</v>
      </c>
      <c r="F483" t="s">
        <v>1173</v>
      </c>
    </row>
    <row r="484" spans="1:6" ht="15.75" customHeight="1">
      <c r="A484" s="274">
        <v>46125</v>
      </c>
      <c r="B484" s="281" t="s">
        <v>448</v>
      </c>
      <c r="C484" s="278">
        <v>12100</v>
      </c>
      <c r="D484" s="261">
        <v>1235.0999999999999</v>
      </c>
      <c r="E484" s="276" t="s">
        <v>212</v>
      </c>
      <c r="F484" t="s">
        <v>1173</v>
      </c>
    </row>
    <row r="485" spans="1:6" ht="15.75" customHeight="1">
      <c r="A485" s="274">
        <v>46125</v>
      </c>
      <c r="B485" s="172" t="s">
        <v>228</v>
      </c>
      <c r="C485" s="173" t="s">
        <v>1249</v>
      </c>
      <c r="D485" s="261">
        <v>893.25</v>
      </c>
      <c r="E485" s="276" t="s">
        <v>212</v>
      </c>
      <c r="F485" t="s">
        <v>1173</v>
      </c>
    </row>
    <row r="486" spans="1:6" ht="15.75" customHeight="1">
      <c r="A486" s="274">
        <v>46125</v>
      </c>
      <c r="B486" s="279" t="s">
        <v>1250</v>
      </c>
      <c r="C486" s="280" t="s">
        <v>1251</v>
      </c>
      <c r="D486" s="261">
        <v>545.66999999999996</v>
      </c>
      <c r="E486" s="276" t="s">
        <v>212</v>
      </c>
      <c r="F486" t="s">
        <v>1173</v>
      </c>
    </row>
    <row r="487" spans="1:6" ht="15.75" customHeight="1">
      <c r="A487" s="274">
        <v>46125</v>
      </c>
      <c r="B487" s="279" t="s">
        <v>292</v>
      </c>
      <c r="C487" s="280" t="s">
        <v>1252</v>
      </c>
      <c r="D487" s="261">
        <v>1355.89</v>
      </c>
      <c r="E487" s="276" t="s">
        <v>212</v>
      </c>
      <c r="F487" t="s">
        <v>1173</v>
      </c>
    </row>
    <row r="488" spans="1:6" ht="15.75" customHeight="1">
      <c r="A488" s="274">
        <v>46125</v>
      </c>
      <c r="B488" s="279" t="s">
        <v>629</v>
      </c>
      <c r="C488" s="280" t="s">
        <v>1253</v>
      </c>
      <c r="D488" s="261">
        <v>475.5</v>
      </c>
      <c r="E488" s="276" t="s">
        <v>212</v>
      </c>
      <c r="F488" t="s">
        <v>1173</v>
      </c>
    </row>
    <row r="489" spans="1:6" ht="15.75" customHeight="1">
      <c r="A489" s="274">
        <v>46125</v>
      </c>
      <c r="B489" s="172" t="s">
        <v>382</v>
      </c>
      <c r="C489" s="173" t="s">
        <v>1254</v>
      </c>
      <c r="D489" s="261">
        <v>471.12</v>
      </c>
      <c r="E489" s="276" t="s">
        <v>212</v>
      </c>
      <c r="F489" t="s">
        <v>1173</v>
      </c>
    </row>
    <row r="490" spans="1:6" ht="15.75" customHeight="1">
      <c r="A490" s="274">
        <v>46125</v>
      </c>
      <c r="B490" s="172" t="s">
        <v>382</v>
      </c>
      <c r="C490" s="173" t="s">
        <v>1255</v>
      </c>
      <c r="D490" s="261">
        <v>543.63</v>
      </c>
      <c r="E490" s="276" t="s">
        <v>212</v>
      </c>
      <c r="F490" t="s">
        <v>1173</v>
      </c>
    </row>
    <row r="491" spans="1:6" ht="15.75" customHeight="1">
      <c r="A491" s="274">
        <v>46125</v>
      </c>
      <c r="B491" s="279" t="s">
        <v>300</v>
      </c>
      <c r="C491" s="280" t="s">
        <v>1256</v>
      </c>
      <c r="D491" s="261">
        <v>1547.67</v>
      </c>
      <c r="E491" s="276" t="s">
        <v>212</v>
      </c>
      <c r="F491" t="s">
        <v>1173</v>
      </c>
    </row>
    <row r="492" spans="1:6" ht="15.75" customHeight="1">
      <c r="A492" s="274">
        <v>46125</v>
      </c>
      <c r="B492" s="279" t="s">
        <v>1257</v>
      </c>
      <c r="C492" s="280" t="s">
        <v>1258</v>
      </c>
      <c r="D492" s="261">
        <v>441.66</v>
      </c>
      <c r="E492" s="276" t="s">
        <v>212</v>
      </c>
      <c r="F492" t="s">
        <v>1173</v>
      </c>
    </row>
    <row r="493" spans="1:6" ht="15.75" customHeight="1">
      <c r="A493" s="274">
        <v>46125</v>
      </c>
      <c r="B493" s="279" t="s">
        <v>366</v>
      </c>
      <c r="C493" s="280" t="s">
        <v>1259</v>
      </c>
      <c r="D493" s="261">
        <v>738.15</v>
      </c>
      <c r="E493" s="276" t="s">
        <v>212</v>
      </c>
      <c r="F493" t="s">
        <v>1173</v>
      </c>
    </row>
    <row r="494" spans="1:6" ht="15.75" customHeight="1">
      <c r="A494" s="274">
        <v>46126</v>
      </c>
      <c r="B494" s="281" t="s">
        <v>1219</v>
      </c>
      <c r="C494" s="278">
        <v>12345</v>
      </c>
      <c r="D494" s="261">
        <v>260</v>
      </c>
      <c r="E494" s="276" t="s">
        <v>212</v>
      </c>
      <c r="F494" t="s">
        <v>1173</v>
      </c>
    </row>
    <row r="495" spans="1:6" ht="15.75" customHeight="1">
      <c r="A495" s="274">
        <v>46126</v>
      </c>
      <c r="B495" s="279" t="s">
        <v>564</v>
      </c>
      <c r="C495" s="280">
        <v>12469</v>
      </c>
      <c r="D495" s="261">
        <v>210</v>
      </c>
      <c r="E495" s="276" t="s">
        <v>212</v>
      </c>
      <c r="F495" t="s">
        <v>1173</v>
      </c>
    </row>
    <row r="496" spans="1:6" ht="15.75" customHeight="1">
      <c r="A496" s="274">
        <v>46126</v>
      </c>
      <c r="B496" s="281" t="s">
        <v>331</v>
      </c>
      <c r="C496" s="278" t="s">
        <v>1260</v>
      </c>
      <c r="D496" s="261">
        <v>165</v>
      </c>
      <c r="E496" s="276" t="s">
        <v>212</v>
      </c>
      <c r="F496" t="s">
        <v>1173</v>
      </c>
    </row>
    <row r="497" spans="1:6" ht="15.75" customHeight="1">
      <c r="A497" s="274">
        <v>46126</v>
      </c>
      <c r="B497" s="172" t="s">
        <v>230</v>
      </c>
      <c r="C497" s="173" t="s">
        <v>1261</v>
      </c>
      <c r="D497" s="261">
        <v>358.53</v>
      </c>
      <c r="E497" s="276" t="s">
        <v>212</v>
      </c>
      <c r="F497" t="s">
        <v>1173</v>
      </c>
    </row>
    <row r="498" spans="1:6" ht="15.75" customHeight="1">
      <c r="A498" s="274">
        <v>46126</v>
      </c>
      <c r="B498" s="172" t="s">
        <v>1216</v>
      </c>
      <c r="C498" s="173" t="s">
        <v>1262</v>
      </c>
      <c r="D498" s="261">
        <v>797</v>
      </c>
      <c r="E498" s="276" t="s">
        <v>212</v>
      </c>
      <c r="F498" t="s">
        <v>1173</v>
      </c>
    </row>
    <row r="499" spans="1:6" ht="15.75" customHeight="1">
      <c r="A499" s="274">
        <v>46126</v>
      </c>
      <c r="B499" s="172" t="s">
        <v>1263</v>
      </c>
      <c r="C499" s="173" t="s">
        <v>1264</v>
      </c>
      <c r="D499" s="261">
        <v>343</v>
      </c>
      <c r="E499" s="276" t="s">
        <v>212</v>
      </c>
      <c r="F499" t="s">
        <v>1173</v>
      </c>
    </row>
    <row r="500" spans="1:6" ht="15.75" customHeight="1">
      <c r="A500" s="274">
        <v>46127</v>
      </c>
      <c r="B500" s="281" t="s">
        <v>234</v>
      </c>
      <c r="C500" s="278">
        <v>11967</v>
      </c>
      <c r="D500" s="261">
        <v>1444.07</v>
      </c>
      <c r="E500" s="276" t="s">
        <v>212</v>
      </c>
      <c r="F500" t="s">
        <v>1173</v>
      </c>
    </row>
    <row r="501" spans="1:6" ht="15.75" customHeight="1">
      <c r="A501" s="274">
        <v>46127</v>
      </c>
      <c r="B501" s="279" t="s">
        <v>448</v>
      </c>
      <c r="C501" s="280">
        <v>12227</v>
      </c>
      <c r="D501" s="261">
        <v>763.25</v>
      </c>
      <c r="E501" s="276" t="s">
        <v>212</v>
      </c>
      <c r="F501" t="s">
        <v>1173</v>
      </c>
    </row>
    <row r="502" spans="1:6" ht="15.75" customHeight="1">
      <c r="A502" s="274">
        <v>46127</v>
      </c>
      <c r="B502" s="172" t="s">
        <v>340</v>
      </c>
      <c r="C502" s="275">
        <v>12319</v>
      </c>
      <c r="D502" s="261">
        <v>7700</v>
      </c>
      <c r="E502" s="276" t="s">
        <v>212</v>
      </c>
      <c r="F502" t="s">
        <v>1173</v>
      </c>
    </row>
    <row r="503" spans="1:6" ht="15.75" customHeight="1">
      <c r="A503" s="274">
        <v>46127</v>
      </c>
      <c r="B503" s="281" t="s">
        <v>1265</v>
      </c>
      <c r="C503" s="278">
        <v>12319</v>
      </c>
      <c r="D503" s="261">
        <v>582.49</v>
      </c>
      <c r="E503" s="276" t="s">
        <v>212</v>
      </c>
      <c r="F503" t="s">
        <v>1173</v>
      </c>
    </row>
    <row r="504" spans="1:6" ht="15.75" customHeight="1">
      <c r="A504" s="274">
        <v>46127</v>
      </c>
      <c r="B504" s="279" t="s">
        <v>484</v>
      </c>
      <c r="C504" s="280">
        <v>12334</v>
      </c>
      <c r="D504" s="261">
        <v>1774.6</v>
      </c>
      <c r="E504" s="276" t="s">
        <v>212</v>
      </c>
      <c r="F504" t="s">
        <v>1173</v>
      </c>
    </row>
    <row r="505" spans="1:6" ht="15.75" customHeight="1">
      <c r="A505" s="274">
        <v>46128</v>
      </c>
      <c r="B505" s="281" t="s">
        <v>331</v>
      </c>
      <c r="C505" s="278" t="s">
        <v>1266</v>
      </c>
      <c r="D505" s="261">
        <v>180</v>
      </c>
      <c r="E505" s="276" t="s">
        <v>212</v>
      </c>
      <c r="F505" t="s">
        <v>1173</v>
      </c>
    </row>
    <row r="506" spans="1:6" ht="15.75" customHeight="1">
      <c r="A506" s="274">
        <v>46128</v>
      </c>
      <c r="B506" s="279" t="s">
        <v>1267</v>
      </c>
      <c r="C506" s="280">
        <v>12508</v>
      </c>
      <c r="D506" s="261">
        <v>144</v>
      </c>
      <c r="E506" s="276" t="s">
        <v>212</v>
      </c>
      <c r="F506" t="s">
        <v>1173</v>
      </c>
    </row>
    <row r="507" spans="1:6" ht="15.75" customHeight="1">
      <c r="A507" s="274">
        <v>46128</v>
      </c>
      <c r="B507" s="281" t="s">
        <v>1268</v>
      </c>
      <c r="C507" s="278">
        <v>11997</v>
      </c>
      <c r="D507" s="261">
        <v>595.1</v>
      </c>
      <c r="E507" s="276" t="s">
        <v>212</v>
      </c>
      <c r="F507" t="s">
        <v>1173</v>
      </c>
    </row>
    <row r="508" spans="1:6" ht="15.75" customHeight="1">
      <c r="A508" s="274">
        <v>46128</v>
      </c>
      <c r="B508" s="281" t="s">
        <v>1268</v>
      </c>
      <c r="C508" s="280">
        <v>11997</v>
      </c>
      <c r="D508" s="261">
        <v>553.4</v>
      </c>
      <c r="E508" s="276" t="s">
        <v>212</v>
      </c>
      <c r="F508" t="s">
        <v>1173</v>
      </c>
    </row>
    <row r="509" spans="1:6" ht="15.75" customHeight="1">
      <c r="A509" s="274">
        <v>46128</v>
      </c>
      <c r="B509" s="172" t="s">
        <v>234</v>
      </c>
      <c r="C509" s="173">
        <v>12248</v>
      </c>
      <c r="D509" s="261">
        <v>428.75</v>
      </c>
      <c r="E509" s="276" t="s">
        <v>212</v>
      </c>
      <c r="F509" t="s">
        <v>1173</v>
      </c>
    </row>
    <row r="510" spans="1:6" ht="15.75" customHeight="1">
      <c r="A510" s="274">
        <v>46128</v>
      </c>
      <c r="B510" s="279" t="s">
        <v>493</v>
      </c>
      <c r="C510" s="280">
        <v>12350</v>
      </c>
      <c r="D510" s="261">
        <v>438.75</v>
      </c>
      <c r="E510" s="276" t="s">
        <v>212</v>
      </c>
      <c r="F510" t="s">
        <v>1173</v>
      </c>
    </row>
    <row r="511" spans="1:6" ht="15.75" customHeight="1">
      <c r="A511" s="274">
        <v>46129</v>
      </c>
      <c r="B511" s="172" t="s">
        <v>1269</v>
      </c>
      <c r="C511" s="173" t="s">
        <v>110</v>
      </c>
      <c r="D511" s="261">
        <v>3200</v>
      </c>
      <c r="E511" s="276" t="s">
        <v>212</v>
      </c>
      <c r="F511" t="s">
        <v>1173</v>
      </c>
    </row>
    <row r="512" spans="1:6" ht="15.75" customHeight="1">
      <c r="A512" s="274">
        <v>46129</v>
      </c>
      <c r="B512" s="279" t="s">
        <v>1270</v>
      </c>
      <c r="C512" s="280">
        <v>12512</v>
      </c>
      <c r="D512" s="261">
        <v>375</v>
      </c>
      <c r="E512" s="276" t="s">
        <v>212</v>
      </c>
      <c r="F512" t="s">
        <v>1173</v>
      </c>
    </row>
    <row r="513" spans="1:6" ht="15.75" customHeight="1">
      <c r="A513" s="274">
        <v>46129</v>
      </c>
      <c r="B513" s="172" t="s">
        <v>1271</v>
      </c>
      <c r="C513" s="173">
        <v>12194</v>
      </c>
      <c r="D513" s="261">
        <v>2243.5</v>
      </c>
      <c r="E513" s="276" t="s">
        <v>212</v>
      </c>
      <c r="F513" t="s">
        <v>1173</v>
      </c>
    </row>
    <row r="514" spans="1:6" ht="15.75" customHeight="1">
      <c r="A514" s="274">
        <v>46129</v>
      </c>
      <c r="B514" s="281" t="s">
        <v>240</v>
      </c>
      <c r="C514" s="278" t="s">
        <v>1272</v>
      </c>
      <c r="D514" s="261">
        <v>567.92999999999995</v>
      </c>
      <c r="E514" s="276" t="s">
        <v>212</v>
      </c>
      <c r="F514" t="s">
        <v>1173</v>
      </c>
    </row>
    <row r="515" spans="1:6" ht="15.75" customHeight="1">
      <c r="A515" s="274">
        <v>46129</v>
      </c>
      <c r="B515" s="279" t="s">
        <v>445</v>
      </c>
      <c r="C515" s="280" t="s">
        <v>1273</v>
      </c>
      <c r="D515" s="261">
        <v>835</v>
      </c>
      <c r="E515" s="276" t="s">
        <v>212</v>
      </c>
      <c r="F515" t="s">
        <v>1173</v>
      </c>
    </row>
    <row r="516" spans="1:6" ht="15.75" customHeight="1">
      <c r="A516" s="274">
        <v>46129</v>
      </c>
      <c r="B516" s="281" t="s">
        <v>223</v>
      </c>
      <c r="C516" s="278" t="s">
        <v>1274</v>
      </c>
      <c r="D516" s="261">
        <v>674.25</v>
      </c>
      <c r="E516" s="276" t="s">
        <v>212</v>
      </c>
      <c r="F516" t="s">
        <v>1173</v>
      </c>
    </row>
    <row r="517" spans="1:6" ht="15.75" customHeight="1">
      <c r="A517" s="274">
        <v>46129</v>
      </c>
      <c r="B517" s="279" t="s">
        <v>1186</v>
      </c>
      <c r="C517" s="280" t="s">
        <v>1275</v>
      </c>
      <c r="D517" s="261">
        <v>1195.26</v>
      </c>
      <c r="E517" s="276" t="s">
        <v>212</v>
      </c>
      <c r="F517" t="s">
        <v>1173</v>
      </c>
    </row>
    <row r="518" spans="1:6" ht="15.75" customHeight="1">
      <c r="A518" s="274">
        <v>46129</v>
      </c>
      <c r="B518" s="281" t="s">
        <v>457</v>
      </c>
      <c r="C518" s="278" t="s">
        <v>1276</v>
      </c>
      <c r="D518" s="261">
        <v>842</v>
      </c>
      <c r="E518" s="276" t="s">
        <v>212</v>
      </c>
      <c r="F518" t="s">
        <v>1173</v>
      </c>
    </row>
    <row r="519" spans="1:6" ht="15.75" customHeight="1">
      <c r="A519" s="274">
        <v>46129</v>
      </c>
      <c r="B519" s="279" t="s">
        <v>323</v>
      </c>
      <c r="C519" s="280" t="s">
        <v>1277</v>
      </c>
      <c r="D519" s="261">
        <v>832</v>
      </c>
      <c r="E519" s="276" t="s">
        <v>212</v>
      </c>
      <c r="F519" t="s">
        <v>1173</v>
      </c>
    </row>
    <row r="520" spans="1:6" ht="15.75" customHeight="1">
      <c r="A520" s="274">
        <v>46129</v>
      </c>
      <c r="B520" s="281" t="s">
        <v>234</v>
      </c>
      <c r="C520" s="278" t="s">
        <v>1278</v>
      </c>
      <c r="D520" s="261">
        <v>953</v>
      </c>
      <c r="E520" s="276" t="s">
        <v>212</v>
      </c>
      <c r="F520" t="s">
        <v>1173</v>
      </c>
    </row>
    <row r="521" spans="1:6" ht="15.75" customHeight="1">
      <c r="A521" s="274">
        <v>46129</v>
      </c>
      <c r="B521" s="279" t="s">
        <v>281</v>
      </c>
      <c r="C521" s="280" t="s">
        <v>1279</v>
      </c>
      <c r="D521" s="261">
        <v>496.88</v>
      </c>
      <c r="E521" s="276" t="s">
        <v>212</v>
      </c>
      <c r="F521" t="s">
        <v>1173</v>
      </c>
    </row>
    <row r="522" spans="1:6" ht="15.75" customHeight="1">
      <c r="A522" s="274">
        <v>46132</v>
      </c>
      <c r="B522" s="281" t="s">
        <v>228</v>
      </c>
      <c r="C522" s="278" t="s">
        <v>1280</v>
      </c>
      <c r="D522" s="261">
        <v>677.5</v>
      </c>
      <c r="E522" s="276" t="s">
        <v>212</v>
      </c>
      <c r="F522" t="s">
        <v>1173</v>
      </c>
    </row>
    <row r="523" spans="1:6" ht="15.75" customHeight="1">
      <c r="A523" s="274">
        <v>46132</v>
      </c>
      <c r="B523" s="279" t="s">
        <v>300</v>
      </c>
      <c r="C523" s="280" t="s">
        <v>1281</v>
      </c>
      <c r="D523" s="261">
        <v>1547.67</v>
      </c>
      <c r="E523" s="276" t="s">
        <v>212</v>
      </c>
      <c r="F523" t="s">
        <v>1173</v>
      </c>
    </row>
    <row r="524" spans="1:6" ht="15.75" customHeight="1">
      <c r="A524" s="274">
        <v>46132</v>
      </c>
      <c r="B524" s="281" t="s">
        <v>1257</v>
      </c>
      <c r="C524" s="278" t="s">
        <v>1282</v>
      </c>
      <c r="D524" s="261">
        <v>441.67</v>
      </c>
      <c r="E524" s="276" t="s">
        <v>212</v>
      </c>
      <c r="F524" t="s">
        <v>1173</v>
      </c>
    </row>
    <row r="525" spans="1:6" ht="15.75" customHeight="1">
      <c r="A525" s="274">
        <v>46132</v>
      </c>
      <c r="B525" s="279" t="s">
        <v>218</v>
      </c>
      <c r="C525" s="280" t="s">
        <v>1283</v>
      </c>
      <c r="D525" s="261">
        <v>1205</v>
      </c>
      <c r="E525" s="276" t="s">
        <v>212</v>
      </c>
      <c r="F525" t="s">
        <v>1173</v>
      </c>
    </row>
    <row r="526" spans="1:6" ht="15.75" customHeight="1">
      <c r="A526" s="274">
        <v>46132</v>
      </c>
      <c r="B526" s="281" t="s">
        <v>214</v>
      </c>
      <c r="C526" s="278" t="s">
        <v>1284</v>
      </c>
      <c r="D526" s="261">
        <v>1861.84</v>
      </c>
      <c r="E526" s="276" t="s">
        <v>212</v>
      </c>
      <c r="F526" t="s">
        <v>1173</v>
      </c>
    </row>
    <row r="527" spans="1:6" ht="15.75" customHeight="1">
      <c r="A527" s="274">
        <v>46132</v>
      </c>
      <c r="B527" s="279" t="s">
        <v>96</v>
      </c>
      <c r="C527" s="280" t="s">
        <v>1285</v>
      </c>
      <c r="D527" s="261">
        <v>1161</v>
      </c>
      <c r="E527" s="276" t="s">
        <v>212</v>
      </c>
      <c r="F527" t="s">
        <v>1173</v>
      </c>
    </row>
    <row r="528" spans="1:6" ht="15.75" customHeight="1">
      <c r="A528" s="274">
        <v>46132</v>
      </c>
      <c r="B528" s="281" t="s">
        <v>1286</v>
      </c>
      <c r="C528" s="278">
        <v>12320</v>
      </c>
      <c r="D528" s="261">
        <v>516.85</v>
      </c>
      <c r="E528" s="276" t="s">
        <v>212</v>
      </c>
      <c r="F528" t="s">
        <v>1173</v>
      </c>
    </row>
    <row r="529" spans="1:6" ht="15.75" customHeight="1">
      <c r="A529" s="274">
        <v>46134</v>
      </c>
      <c r="B529" s="279" t="s">
        <v>480</v>
      </c>
      <c r="C529" s="280">
        <v>12382</v>
      </c>
      <c r="D529" s="261">
        <v>188.35</v>
      </c>
      <c r="E529" s="276" t="s">
        <v>212</v>
      </c>
      <c r="F529" t="s">
        <v>1173</v>
      </c>
    </row>
    <row r="530" spans="1:6" ht="15.75" customHeight="1">
      <c r="A530" s="274">
        <v>46134</v>
      </c>
      <c r="B530" s="281" t="s">
        <v>448</v>
      </c>
      <c r="C530" s="278" t="s">
        <v>1287</v>
      </c>
      <c r="D530" s="261">
        <v>763.25</v>
      </c>
      <c r="E530" s="276" t="s">
        <v>212</v>
      </c>
      <c r="F530" t="s">
        <v>1173</v>
      </c>
    </row>
    <row r="531" spans="1:6" ht="15.75" customHeight="1">
      <c r="A531" s="274">
        <v>46134</v>
      </c>
      <c r="B531" s="279" t="s">
        <v>281</v>
      </c>
      <c r="C531" s="280" t="s">
        <v>1288</v>
      </c>
      <c r="D531" s="261">
        <v>780.92</v>
      </c>
      <c r="E531" s="276" t="s">
        <v>212</v>
      </c>
      <c r="F531" t="s">
        <v>1173</v>
      </c>
    </row>
    <row r="532" spans="1:6" ht="15.75" customHeight="1">
      <c r="A532" s="274">
        <v>46134</v>
      </c>
      <c r="B532" s="281" t="s">
        <v>354</v>
      </c>
      <c r="C532" s="278" t="s">
        <v>1289</v>
      </c>
      <c r="D532" s="261">
        <v>600</v>
      </c>
      <c r="E532" s="276" t="s">
        <v>212</v>
      </c>
      <c r="F532" t="s">
        <v>1173</v>
      </c>
    </row>
    <row r="533" spans="1:6" ht="15.75" customHeight="1">
      <c r="A533" s="274">
        <v>46134</v>
      </c>
      <c r="B533" s="279" t="s">
        <v>214</v>
      </c>
      <c r="C533" s="280" t="s">
        <v>1290</v>
      </c>
      <c r="D533" s="261">
        <v>830</v>
      </c>
      <c r="E533" s="276" t="s">
        <v>212</v>
      </c>
      <c r="F533" t="s">
        <v>1173</v>
      </c>
    </row>
    <row r="534" spans="1:6" ht="15.75" customHeight="1">
      <c r="A534" s="274">
        <v>46134</v>
      </c>
      <c r="B534" s="281" t="s">
        <v>1291</v>
      </c>
      <c r="C534" s="278" t="s">
        <v>1292</v>
      </c>
      <c r="D534" s="261">
        <v>648</v>
      </c>
      <c r="E534" s="276" t="s">
        <v>212</v>
      </c>
      <c r="F534" t="s">
        <v>1173</v>
      </c>
    </row>
    <row r="535" spans="1:6" ht="15.75" customHeight="1">
      <c r="A535" s="274">
        <v>46134</v>
      </c>
      <c r="B535" s="279" t="s">
        <v>547</v>
      </c>
      <c r="C535" s="280" t="s">
        <v>1293</v>
      </c>
      <c r="D535" s="261">
        <v>524</v>
      </c>
      <c r="E535" s="276" t="s">
        <v>212</v>
      </c>
      <c r="F535" t="s">
        <v>1173</v>
      </c>
    </row>
    <row r="536" spans="1:6" ht="15.75" customHeight="1">
      <c r="A536" s="274">
        <v>46134</v>
      </c>
      <c r="B536" s="281" t="s">
        <v>1294</v>
      </c>
      <c r="C536" s="278" t="s">
        <v>1295</v>
      </c>
      <c r="D536" s="261">
        <v>1273.8499999999999</v>
      </c>
      <c r="E536" s="276" t="s">
        <v>212</v>
      </c>
      <c r="F536" t="s">
        <v>1173</v>
      </c>
    </row>
    <row r="537" spans="1:6" ht="15.75" customHeight="1">
      <c r="A537" s="274">
        <v>46135</v>
      </c>
      <c r="B537" s="279" t="s">
        <v>319</v>
      </c>
      <c r="C537" s="280" t="s">
        <v>1296</v>
      </c>
      <c r="D537" s="261">
        <v>694.75</v>
      </c>
      <c r="E537" s="276" t="s">
        <v>212</v>
      </c>
      <c r="F537" t="s">
        <v>1173</v>
      </c>
    </row>
    <row r="538" spans="1:6" ht="15.75" customHeight="1">
      <c r="A538" s="274">
        <v>46135</v>
      </c>
      <c r="B538" s="281" t="s">
        <v>319</v>
      </c>
      <c r="C538" s="278" t="s">
        <v>1297</v>
      </c>
      <c r="D538" s="261">
        <v>932.75</v>
      </c>
      <c r="E538" s="276" t="s">
        <v>212</v>
      </c>
      <c r="F538" t="s">
        <v>1173</v>
      </c>
    </row>
    <row r="539" spans="1:6" ht="15.75" customHeight="1">
      <c r="A539" s="274">
        <v>46135</v>
      </c>
      <c r="B539" s="279" t="s">
        <v>580</v>
      </c>
      <c r="C539" s="280" t="s">
        <v>1298</v>
      </c>
      <c r="D539" s="261">
        <v>438.75</v>
      </c>
      <c r="E539" s="276" t="s">
        <v>212</v>
      </c>
      <c r="F539" t="s">
        <v>1173</v>
      </c>
    </row>
    <row r="540" spans="1:6" ht="15.75" customHeight="1">
      <c r="A540" s="274">
        <v>46135</v>
      </c>
      <c r="B540" s="281" t="s">
        <v>445</v>
      </c>
      <c r="C540" s="278" t="s">
        <v>1299</v>
      </c>
      <c r="D540" s="261">
        <v>1843.18</v>
      </c>
      <c r="E540" s="276" t="s">
        <v>212</v>
      </c>
      <c r="F540" t="s">
        <v>1173</v>
      </c>
    </row>
    <row r="541" spans="1:6" ht="15.75" customHeight="1">
      <c r="A541" s="274">
        <v>46135</v>
      </c>
      <c r="B541" s="279" t="s">
        <v>298</v>
      </c>
      <c r="C541" s="280" t="s">
        <v>1300</v>
      </c>
      <c r="D541" s="261">
        <v>647.4</v>
      </c>
      <c r="E541" s="276" t="s">
        <v>212</v>
      </c>
      <c r="F541" t="s">
        <v>1173</v>
      </c>
    </row>
    <row r="542" spans="1:6" ht="15.75" customHeight="1">
      <c r="A542" s="274">
        <v>46135</v>
      </c>
      <c r="B542" s="281" t="s">
        <v>1301</v>
      </c>
      <c r="C542" s="278">
        <v>12525</v>
      </c>
      <c r="D542" s="261">
        <v>80</v>
      </c>
      <c r="E542" s="276" t="s">
        <v>212</v>
      </c>
      <c r="F542" t="s">
        <v>1173</v>
      </c>
    </row>
    <row r="543" spans="1:6" ht="15.75" customHeight="1">
      <c r="A543" s="274">
        <v>46135</v>
      </c>
      <c r="B543" s="279" t="s">
        <v>331</v>
      </c>
      <c r="C543" s="280" t="s">
        <v>1302</v>
      </c>
      <c r="D543" s="261">
        <v>337.5</v>
      </c>
      <c r="E543" s="276" t="s">
        <v>212</v>
      </c>
      <c r="F543" t="s">
        <v>1173</v>
      </c>
    </row>
    <row r="544" spans="1:6" ht="15.75" customHeight="1">
      <c r="A544" s="274">
        <v>46136</v>
      </c>
      <c r="B544" s="258" t="s">
        <v>362</v>
      </c>
      <c r="C544" s="275">
        <v>12342</v>
      </c>
      <c r="D544" s="261">
        <v>420</v>
      </c>
      <c r="E544" s="276" t="s">
        <v>212</v>
      </c>
      <c r="F544" t="s">
        <v>1173</v>
      </c>
    </row>
    <row r="545" spans="1:6" ht="15.75" customHeight="1">
      <c r="A545" s="274">
        <v>46136</v>
      </c>
      <c r="B545" s="279" t="s">
        <v>331</v>
      </c>
      <c r="C545" s="280" t="s">
        <v>1303</v>
      </c>
      <c r="D545" s="261">
        <v>160</v>
      </c>
      <c r="E545" s="276" t="s">
        <v>212</v>
      </c>
      <c r="F545" t="s">
        <v>1173</v>
      </c>
    </row>
    <row r="546" spans="1:6" ht="15.75" customHeight="1">
      <c r="A546" s="274">
        <v>46136</v>
      </c>
      <c r="B546" s="258" t="s">
        <v>754</v>
      </c>
      <c r="C546" s="275" t="s">
        <v>110</v>
      </c>
      <c r="D546" s="261">
        <v>31000</v>
      </c>
      <c r="E546" s="276" t="s">
        <v>212</v>
      </c>
      <c r="F546" t="s">
        <v>1173</v>
      </c>
    </row>
    <row r="547" spans="1:6" ht="15.75" customHeight="1">
      <c r="A547" s="274">
        <v>46136</v>
      </c>
      <c r="B547" s="281" t="s">
        <v>238</v>
      </c>
      <c r="C547" s="278" t="s">
        <v>1304</v>
      </c>
      <c r="D547" s="261">
        <v>2430</v>
      </c>
      <c r="E547" s="276" t="s">
        <v>212</v>
      </c>
      <c r="F547" t="s">
        <v>1173</v>
      </c>
    </row>
    <row r="548" spans="1:6" ht="15.75" customHeight="1">
      <c r="A548" s="274">
        <v>46136</v>
      </c>
      <c r="B548" s="279" t="s">
        <v>562</v>
      </c>
      <c r="C548" s="280" t="s">
        <v>1305</v>
      </c>
      <c r="D548" s="261">
        <v>545.75</v>
      </c>
      <c r="E548" s="276" t="s">
        <v>212</v>
      </c>
      <c r="F548" t="s">
        <v>1173</v>
      </c>
    </row>
    <row r="549" spans="1:6" ht="15.75" customHeight="1">
      <c r="A549" s="274">
        <v>46136</v>
      </c>
      <c r="B549" s="281" t="s">
        <v>98</v>
      </c>
      <c r="C549" s="278" t="s">
        <v>1306</v>
      </c>
      <c r="D549" s="261">
        <v>971.84</v>
      </c>
      <c r="E549" s="276" t="s">
        <v>212</v>
      </c>
      <c r="F549" t="s">
        <v>1173</v>
      </c>
    </row>
    <row r="550" spans="1:6" ht="15.75" customHeight="1">
      <c r="A550" s="274">
        <v>46136</v>
      </c>
      <c r="B550" s="279" t="s">
        <v>105</v>
      </c>
      <c r="C550" s="280" t="s">
        <v>1307</v>
      </c>
      <c r="D550" s="261">
        <v>375</v>
      </c>
      <c r="E550" s="276" t="s">
        <v>212</v>
      </c>
      <c r="F550" t="s">
        <v>1173</v>
      </c>
    </row>
    <row r="551" spans="1:6" ht="15.75" customHeight="1">
      <c r="A551" s="274">
        <v>46139</v>
      </c>
      <c r="B551" s="281" t="s">
        <v>228</v>
      </c>
      <c r="C551" s="278" t="s">
        <v>1308</v>
      </c>
      <c r="D551" s="261">
        <v>893.25</v>
      </c>
      <c r="E551" s="276" t="s">
        <v>212</v>
      </c>
      <c r="F551" t="s">
        <v>1173</v>
      </c>
    </row>
    <row r="552" spans="1:6" ht="15.75" customHeight="1">
      <c r="A552" s="274">
        <v>46139</v>
      </c>
      <c r="B552" s="279" t="s">
        <v>214</v>
      </c>
      <c r="C552" s="280" t="s">
        <v>1309</v>
      </c>
      <c r="D552" s="261">
        <v>4545.7700000000004</v>
      </c>
      <c r="E552" s="276" t="s">
        <v>212</v>
      </c>
      <c r="F552" t="s">
        <v>1173</v>
      </c>
    </row>
    <row r="553" spans="1:6" ht="15.75" customHeight="1">
      <c r="A553" s="274">
        <v>46139</v>
      </c>
      <c r="B553" s="281" t="s">
        <v>1250</v>
      </c>
      <c r="C553" s="278" t="s">
        <v>1310</v>
      </c>
      <c r="D553" s="261">
        <v>529.83000000000004</v>
      </c>
      <c r="E553" s="276" t="s">
        <v>212</v>
      </c>
      <c r="F553" t="s">
        <v>1173</v>
      </c>
    </row>
    <row r="554" spans="1:6" ht="15.75" customHeight="1">
      <c r="A554" s="274">
        <v>46139</v>
      </c>
      <c r="B554" s="279" t="s">
        <v>562</v>
      </c>
      <c r="C554" s="280" t="s">
        <v>1311</v>
      </c>
      <c r="D554" s="261">
        <v>1488</v>
      </c>
      <c r="E554" s="276" t="s">
        <v>212</v>
      </c>
      <c r="F554" t="s">
        <v>1173</v>
      </c>
    </row>
    <row r="555" spans="1:6" ht="15.75" customHeight="1">
      <c r="A555" s="274">
        <v>46139</v>
      </c>
      <c r="B555" s="281" t="s">
        <v>1257</v>
      </c>
      <c r="C555" s="278" t="s">
        <v>1312</v>
      </c>
      <c r="D555" s="261">
        <v>441.67</v>
      </c>
      <c r="E555" s="276" t="s">
        <v>212</v>
      </c>
      <c r="F555" t="s">
        <v>1173</v>
      </c>
    </row>
    <row r="556" spans="1:6" ht="15.75" customHeight="1">
      <c r="A556" s="274">
        <v>46139</v>
      </c>
      <c r="B556" s="279" t="s">
        <v>1313</v>
      </c>
      <c r="C556" s="280" t="s">
        <v>1314</v>
      </c>
      <c r="D556" s="261">
        <v>573.5</v>
      </c>
      <c r="E556" s="276" t="s">
        <v>212</v>
      </c>
      <c r="F556" t="s">
        <v>1173</v>
      </c>
    </row>
    <row r="557" spans="1:6" ht="15.75" customHeight="1">
      <c r="A557" s="274">
        <v>46139</v>
      </c>
      <c r="B557" s="281" t="s">
        <v>300</v>
      </c>
      <c r="C557" s="278" t="s">
        <v>1315</v>
      </c>
      <c r="D557" s="261">
        <v>4732.78</v>
      </c>
      <c r="E557" s="276" t="s">
        <v>212</v>
      </c>
      <c r="F557" t="s">
        <v>1173</v>
      </c>
    </row>
    <row r="558" spans="1:6" ht="15.75" customHeight="1">
      <c r="A558" s="274">
        <v>46139</v>
      </c>
      <c r="B558" s="279" t="s">
        <v>380</v>
      </c>
      <c r="C558" s="280" t="s">
        <v>1316</v>
      </c>
      <c r="D558" s="261">
        <v>2571.6999999999998</v>
      </c>
      <c r="E558" s="276" t="s">
        <v>212</v>
      </c>
      <c r="F558" t="s">
        <v>1173</v>
      </c>
    </row>
    <row r="559" spans="1:6" ht="15.75" customHeight="1">
      <c r="A559" s="274">
        <v>46139</v>
      </c>
      <c r="B559" s="281" t="s">
        <v>1317</v>
      </c>
      <c r="C559" s="278" t="s">
        <v>1318</v>
      </c>
      <c r="D559" s="261">
        <v>1596.5</v>
      </c>
      <c r="E559" s="276" t="s">
        <v>212</v>
      </c>
      <c r="F559" t="s">
        <v>1173</v>
      </c>
    </row>
    <row r="560" spans="1:6" ht="15.75" customHeight="1">
      <c r="A560" s="274">
        <v>46140</v>
      </c>
      <c r="B560" s="172" t="s">
        <v>380</v>
      </c>
      <c r="C560" s="173" t="s">
        <v>1319</v>
      </c>
      <c r="D560" s="261">
        <v>4279.4399999999996</v>
      </c>
      <c r="E560" s="276" t="s">
        <v>212</v>
      </c>
      <c r="F560" t="s">
        <v>1173</v>
      </c>
    </row>
    <row r="561" spans="1:6" ht="15.75" customHeight="1">
      <c r="A561" s="274">
        <v>46140</v>
      </c>
      <c r="B561" s="279" t="s">
        <v>382</v>
      </c>
      <c r="C561" s="280" t="s">
        <v>1320</v>
      </c>
      <c r="D561" s="261">
        <v>543.63</v>
      </c>
      <c r="E561" s="276" t="s">
        <v>212</v>
      </c>
      <c r="F561" t="s">
        <v>1173</v>
      </c>
    </row>
    <row r="562" spans="1:6" ht="15.75" customHeight="1">
      <c r="A562" s="274">
        <v>46140</v>
      </c>
      <c r="B562" s="172" t="s">
        <v>240</v>
      </c>
      <c r="C562" s="173" t="s">
        <v>1321</v>
      </c>
      <c r="D562" s="261">
        <v>575.25</v>
      </c>
      <c r="E562" s="276" t="s">
        <v>212</v>
      </c>
      <c r="F562" t="s">
        <v>1173</v>
      </c>
    </row>
    <row r="563" spans="1:6" ht="15.75" customHeight="1">
      <c r="A563" s="274">
        <v>46140</v>
      </c>
      <c r="B563" s="279" t="s">
        <v>369</v>
      </c>
      <c r="C563" s="280" t="s">
        <v>1322</v>
      </c>
      <c r="D563" s="261">
        <v>254.7</v>
      </c>
      <c r="E563" s="276" t="s">
        <v>212</v>
      </c>
      <c r="F563" t="s">
        <v>1173</v>
      </c>
    </row>
    <row r="564" spans="1:6" ht="15.75" customHeight="1">
      <c r="A564" s="274">
        <v>46140</v>
      </c>
      <c r="B564" s="172" t="s">
        <v>223</v>
      </c>
      <c r="C564" s="173" t="s">
        <v>1323</v>
      </c>
      <c r="D564" s="261">
        <v>1377.9</v>
      </c>
      <c r="E564" s="276" t="s">
        <v>212</v>
      </c>
      <c r="F564" t="s">
        <v>1173</v>
      </c>
    </row>
    <row r="565" spans="1:6" ht="15.75" customHeight="1">
      <c r="A565" s="274">
        <v>46140</v>
      </c>
      <c r="B565" s="279" t="s">
        <v>1324</v>
      </c>
      <c r="C565" s="275">
        <v>12544</v>
      </c>
      <c r="D565" s="261">
        <v>160</v>
      </c>
      <c r="E565" s="276" t="s">
        <v>212</v>
      </c>
      <c r="F565" t="s">
        <v>1173</v>
      </c>
    </row>
    <row r="566" spans="1:6" ht="15.75" customHeight="1">
      <c r="A566" s="274">
        <v>46141</v>
      </c>
      <c r="B566" s="172" t="s">
        <v>234</v>
      </c>
      <c r="C566" s="275">
        <v>12422</v>
      </c>
      <c r="D566" s="261">
        <v>1021.65</v>
      </c>
      <c r="E566" s="276" t="s">
        <v>212</v>
      </c>
      <c r="F566" t="s">
        <v>1173</v>
      </c>
    </row>
    <row r="567" spans="1:6" ht="15.75" customHeight="1">
      <c r="A567" s="274">
        <v>46141</v>
      </c>
      <c r="B567" s="279" t="s">
        <v>1325</v>
      </c>
      <c r="C567" s="275">
        <v>12407</v>
      </c>
      <c r="D567" s="261">
        <v>736</v>
      </c>
      <c r="E567" s="276" t="s">
        <v>212</v>
      </c>
      <c r="F567" t="s">
        <v>1173</v>
      </c>
    </row>
    <row r="568" spans="1:6" ht="15.75" customHeight="1">
      <c r="A568" s="274">
        <v>46141</v>
      </c>
      <c r="B568" s="172" t="s">
        <v>394</v>
      </c>
      <c r="C568" s="275">
        <v>12405</v>
      </c>
      <c r="D568" s="261">
        <v>4419.8999999999996</v>
      </c>
      <c r="E568" s="276" t="s">
        <v>212</v>
      </c>
      <c r="F568" t="s">
        <v>1173</v>
      </c>
    </row>
    <row r="569" spans="1:6" ht="15.75" customHeight="1">
      <c r="A569" s="274">
        <v>46141</v>
      </c>
      <c r="B569" s="279" t="s">
        <v>562</v>
      </c>
      <c r="C569" s="275">
        <v>12397</v>
      </c>
      <c r="D569" s="261">
        <v>545.75</v>
      </c>
      <c r="E569" s="276" t="s">
        <v>212</v>
      </c>
      <c r="F569" t="s">
        <v>1173</v>
      </c>
    </row>
    <row r="570" spans="1:6" ht="15.75" customHeight="1">
      <c r="A570" s="274">
        <v>46141</v>
      </c>
      <c r="B570" s="172" t="s">
        <v>1326</v>
      </c>
      <c r="C570" s="275">
        <v>12423</v>
      </c>
      <c r="D570" s="261">
        <v>650</v>
      </c>
      <c r="E570" s="276" t="s">
        <v>212</v>
      </c>
      <c r="F570" t="s">
        <v>1173</v>
      </c>
    </row>
    <row r="571" spans="1:6" ht="15.75" customHeight="1">
      <c r="A571" s="274">
        <v>46142</v>
      </c>
      <c r="B571" s="279" t="s">
        <v>1327</v>
      </c>
      <c r="C571" s="275"/>
      <c r="D571" s="261">
        <v>225</v>
      </c>
      <c r="E571" s="276" t="s">
        <v>212</v>
      </c>
      <c r="F571" t="s">
        <v>1173</v>
      </c>
    </row>
    <row r="572" spans="1:6" ht="15.75" customHeight="1">
      <c r="A572" s="274">
        <v>46142</v>
      </c>
      <c r="B572" s="282" t="s">
        <v>1328</v>
      </c>
      <c r="C572" s="283" t="s">
        <v>1329</v>
      </c>
      <c r="D572" s="261">
        <v>190</v>
      </c>
      <c r="E572" s="276" t="s">
        <v>212</v>
      </c>
      <c r="F572" t="s">
        <v>1173</v>
      </c>
    </row>
    <row r="573" spans="1:6" ht="15.75" customHeight="1">
      <c r="A573" s="274">
        <v>46142</v>
      </c>
      <c r="B573" s="282" t="s">
        <v>1330</v>
      </c>
      <c r="C573" s="283" t="s">
        <v>1331</v>
      </c>
      <c r="D573" s="261">
        <v>628.5</v>
      </c>
      <c r="E573" s="276" t="s">
        <v>212</v>
      </c>
      <c r="F573" t="s">
        <v>1173</v>
      </c>
    </row>
    <row r="574" spans="1:6" ht="15.75" customHeight="1">
      <c r="A574" s="274">
        <v>46142</v>
      </c>
      <c r="B574" s="282" t="s">
        <v>1332</v>
      </c>
      <c r="C574" s="283" t="s">
        <v>1333</v>
      </c>
      <c r="D574" s="261">
        <v>1307.6400000000001</v>
      </c>
      <c r="E574" s="276" t="s">
        <v>212</v>
      </c>
      <c r="F574" t="s">
        <v>1173</v>
      </c>
    </row>
    <row r="575" spans="1:6" ht="15.75" customHeight="1">
      <c r="A575" s="274">
        <v>46142</v>
      </c>
      <c r="B575" s="282" t="s">
        <v>1334</v>
      </c>
      <c r="C575" s="283" t="s">
        <v>1335</v>
      </c>
      <c r="D575" s="261">
        <v>466.7</v>
      </c>
      <c r="E575" s="276" t="s">
        <v>212</v>
      </c>
      <c r="F575" t="s">
        <v>1173</v>
      </c>
    </row>
    <row r="576" spans="1:6" ht="15.75" customHeight="1">
      <c r="A576" s="274">
        <v>46142</v>
      </c>
      <c r="B576" s="282" t="s">
        <v>1336</v>
      </c>
      <c r="C576" s="283" t="s">
        <v>1337</v>
      </c>
      <c r="D576" s="261">
        <v>347.74</v>
      </c>
      <c r="E576" s="276" t="s">
        <v>212</v>
      </c>
      <c r="F576" t="s">
        <v>1173</v>
      </c>
    </row>
    <row r="577" spans="1:6" ht="15.75" customHeight="1">
      <c r="A577" s="274">
        <v>46142</v>
      </c>
      <c r="B577" s="282" t="s">
        <v>1330</v>
      </c>
      <c r="C577" s="283" t="s">
        <v>1338</v>
      </c>
      <c r="D577" s="261">
        <v>5545.98</v>
      </c>
      <c r="E577" s="276" t="s">
        <v>212</v>
      </c>
      <c r="F577" t="s">
        <v>1173</v>
      </c>
    </row>
    <row r="578" spans="1:6" ht="15.75" customHeight="1">
      <c r="A578" s="274">
        <v>46142</v>
      </c>
      <c r="B578" s="282" t="s">
        <v>1334</v>
      </c>
      <c r="C578" s="283" t="s">
        <v>1339</v>
      </c>
      <c r="D578" s="261">
        <v>1843.2</v>
      </c>
      <c r="E578" s="276" t="s">
        <v>212</v>
      </c>
      <c r="F578" t="s">
        <v>1173</v>
      </c>
    </row>
    <row r="579" spans="1:6" ht="15.75" customHeight="1">
      <c r="A579" s="274">
        <v>46142</v>
      </c>
      <c r="B579" s="282" t="s">
        <v>1340</v>
      </c>
      <c r="C579" s="283" t="s">
        <v>1341</v>
      </c>
      <c r="D579" s="261">
        <v>1774.6</v>
      </c>
      <c r="E579" s="276" t="s">
        <v>212</v>
      </c>
      <c r="F579" t="s">
        <v>1173</v>
      </c>
    </row>
    <row r="580" spans="1:6" ht="15.75" customHeight="1">
      <c r="A580" s="274">
        <v>46142</v>
      </c>
      <c r="B580" s="282" t="s">
        <v>1342</v>
      </c>
      <c r="C580" s="283" t="s">
        <v>1343</v>
      </c>
      <c r="D580" s="261">
        <v>582.48</v>
      </c>
      <c r="E580" s="276" t="s">
        <v>212</v>
      </c>
      <c r="F580" t="s">
        <v>1173</v>
      </c>
    </row>
    <row r="581" spans="1:6" ht="15.75" customHeight="1">
      <c r="A581" s="274">
        <v>46142</v>
      </c>
      <c r="B581" s="282" t="s">
        <v>1344</v>
      </c>
      <c r="C581" s="283" t="s">
        <v>1345</v>
      </c>
      <c r="D581" s="261">
        <v>1927.12</v>
      </c>
      <c r="E581" s="276" t="s">
        <v>212</v>
      </c>
      <c r="F581" t="s">
        <v>1173</v>
      </c>
    </row>
    <row r="582" spans="1:6" ht="15.75" customHeight="1">
      <c r="A582" s="274">
        <v>46119</v>
      </c>
      <c r="B582" s="284" t="s">
        <v>110</v>
      </c>
      <c r="C582" s="425" t="s">
        <v>110</v>
      </c>
      <c r="D582" s="273">
        <v>7000</v>
      </c>
      <c r="E582" s="276" t="s">
        <v>341</v>
      </c>
      <c r="F582" t="s">
        <v>1173</v>
      </c>
    </row>
    <row r="583" spans="1:6" ht="15.75" customHeight="1">
      <c r="A583" s="274">
        <v>46125</v>
      </c>
      <c r="B583" s="264" t="s">
        <v>1346</v>
      </c>
      <c r="C583" s="277">
        <v>12210</v>
      </c>
      <c r="D583" s="287">
        <v>102</v>
      </c>
      <c r="E583" s="276" t="s">
        <v>341</v>
      </c>
      <c r="F583" t="s">
        <v>1173</v>
      </c>
    </row>
    <row r="584" spans="1:6" ht="15.75" customHeight="1">
      <c r="A584" s="274">
        <v>46126</v>
      </c>
      <c r="B584" s="62" t="s">
        <v>1347</v>
      </c>
      <c r="C584" s="82" t="s">
        <v>141</v>
      </c>
      <c r="D584" s="64">
        <v>90.88</v>
      </c>
      <c r="E584" s="276" t="s">
        <v>341</v>
      </c>
      <c r="F584" t="s">
        <v>1173</v>
      </c>
    </row>
    <row r="585" spans="1:6" ht="15.75" customHeight="1">
      <c r="A585" s="274">
        <v>46146</v>
      </c>
      <c r="B585" s="394" t="s">
        <v>1643</v>
      </c>
      <c r="C585" s="395" t="s">
        <v>1644</v>
      </c>
      <c r="D585" s="261">
        <v>733.8</v>
      </c>
      <c r="E585" s="276" t="s">
        <v>212</v>
      </c>
      <c r="F585" t="s">
        <v>1482</v>
      </c>
    </row>
    <row r="586" spans="1:6" ht="15.75" customHeight="1">
      <c r="A586" s="274">
        <v>46146</v>
      </c>
      <c r="B586" s="394" t="s">
        <v>382</v>
      </c>
      <c r="C586" s="395" t="s">
        <v>1645</v>
      </c>
      <c r="D586" s="261">
        <v>253.5</v>
      </c>
      <c r="E586" s="276" t="s">
        <v>212</v>
      </c>
      <c r="F586" t="s">
        <v>1482</v>
      </c>
    </row>
    <row r="587" spans="1:6" ht="15.75" customHeight="1">
      <c r="A587" s="274">
        <v>46146</v>
      </c>
      <c r="B587" s="394" t="s">
        <v>1646</v>
      </c>
      <c r="C587" s="395" t="s">
        <v>1647</v>
      </c>
      <c r="D587" s="261">
        <v>484.19</v>
      </c>
      <c r="E587" s="276" t="s">
        <v>212</v>
      </c>
      <c r="F587" t="s">
        <v>1482</v>
      </c>
    </row>
    <row r="588" spans="1:6" ht="15.75" customHeight="1">
      <c r="A588" s="274">
        <v>46146</v>
      </c>
      <c r="B588" s="394" t="s">
        <v>1257</v>
      </c>
      <c r="C588" s="395" t="s">
        <v>1648</v>
      </c>
      <c r="D588" s="261">
        <v>1044.25</v>
      </c>
      <c r="E588" s="276" t="s">
        <v>212</v>
      </c>
      <c r="F588" t="s">
        <v>1482</v>
      </c>
    </row>
    <row r="589" spans="1:6" ht="15.75" customHeight="1">
      <c r="A589" s="274">
        <v>46146</v>
      </c>
      <c r="B589" s="394" t="s">
        <v>1317</v>
      </c>
      <c r="C589" s="395" t="s">
        <v>1649</v>
      </c>
      <c r="D589" s="261">
        <v>1643.75</v>
      </c>
      <c r="E589" s="276" t="s">
        <v>212</v>
      </c>
      <c r="F589" t="s">
        <v>1482</v>
      </c>
    </row>
    <row r="590" spans="1:6" ht="15.75" customHeight="1">
      <c r="A590" s="274">
        <v>46146</v>
      </c>
      <c r="B590" s="394" t="s">
        <v>1650</v>
      </c>
      <c r="C590" s="395" t="s">
        <v>1651</v>
      </c>
      <c r="D590" s="261">
        <v>1515.2</v>
      </c>
      <c r="E590" s="276" t="s">
        <v>212</v>
      </c>
      <c r="F590" t="s">
        <v>1482</v>
      </c>
    </row>
    <row r="591" spans="1:6" ht="15.75" customHeight="1">
      <c r="A591" s="274">
        <v>46146</v>
      </c>
      <c r="B591" s="394" t="s">
        <v>98</v>
      </c>
      <c r="C591" s="395" t="s">
        <v>1652</v>
      </c>
      <c r="D591" s="261">
        <v>971.83</v>
      </c>
      <c r="E591" s="276" t="s">
        <v>212</v>
      </c>
      <c r="F591" t="s">
        <v>1482</v>
      </c>
    </row>
    <row r="592" spans="1:6" ht="15.75" customHeight="1">
      <c r="A592" s="274">
        <v>46146</v>
      </c>
      <c r="B592" s="394" t="s">
        <v>214</v>
      </c>
      <c r="C592" s="395" t="s">
        <v>1653</v>
      </c>
      <c r="D592" s="261">
        <v>1861.83</v>
      </c>
      <c r="E592" s="276" t="s">
        <v>212</v>
      </c>
      <c r="F592" t="s">
        <v>1482</v>
      </c>
    </row>
    <row r="593" spans="1:6" ht="15.75" customHeight="1">
      <c r="A593" s="274">
        <v>46146</v>
      </c>
      <c r="B593" s="394" t="s">
        <v>218</v>
      </c>
      <c r="C593" s="395" t="s">
        <v>1654</v>
      </c>
      <c r="D593" s="261">
        <v>1205</v>
      </c>
      <c r="E593" s="276" t="s">
        <v>212</v>
      </c>
      <c r="F593" t="s">
        <v>1482</v>
      </c>
    </row>
    <row r="594" spans="1:6" ht="15.75" customHeight="1">
      <c r="A594" s="274">
        <v>46146</v>
      </c>
      <c r="B594" s="394" t="s">
        <v>1186</v>
      </c>
      <c r="C594" s="395" t="s">
        <v>1655</v>
      </c>
      <c r="D594" s="261">
        <v>1195.26</v>
      </c>
      <c r="E594" s="276" t="s">
        <v>212</v>
      </c>
      <c r="F594" t="s">
        <v>1482</v>
      </c>
    </row>
    <row r="595" spans="1:6" ht="15.75" customHeight="1">
      <c r="A595" s="274">
        <v>46146</v>
      </c>
      <c r="B595" s="258" t="s">
        <v>1656</v>
      </c>
      <c r="C595" s="277">
        <v>12215</v>
      </c>
      <c r="D595" s="261">
        <v>1444</v>
      </c>
      <c r="E595" s="276" t="s">
        <v>212</v>
      </c>
      <c r="F595" t="s">
        <v>1482</v>
      </c>
    </row>
    <row r="596" spans="1:6" ht="15.75" customHeight="1">
      <c r="A596" s="274">
        <v>46146</v>
      </c>
      <c r="B596" s="258" t="s">
        <v>78</v>
      </c>
      <c r="C596" s="277">
        <v>12231</v>
      </c>
      <c r="D596" s="261">
        <v>2428.6</v>
      </c>
      <c r="E596" s="276" t="s">
        <v>212</v>
      </c>
      <c r="F596" t="s">
        <v>1482</v>
      </c>
    </row>
    <row r="597" spans="1:6" ht="15.75" customHeight="1">
      <c r="A597" s="274">
        <v>46147</v>
      </c>
      <c r="B597" s="258" t="s">
        <v>83</v>
      </c>
      <c r="C597" s="277">
        <v>12563</v>
      </c>
      <c r="D597" s="261">
        <v>4699.97</v>
      </c>
      <c r="E597" s="276" t="s">
        <v>212</v>
      </c>
      <c r="F597" t="s">
        <v>1482</v>
      </c>
    </row>
    <row r="598" spans="1:6" ht="15.75" customHeight="1">
      <c r="A598" s="274">
        <v>46147</v>
      </c>
      <c r="B598" s="394" t="s">
        <v>228</v>
      </c>
      <c r="C598" s="395" t="s">
        <v>1657</v>
      </c>
      <c r="D598" s="261">
        <v>677.5</v>
      </c>
      <c r="E598" s="276" t="s">
        <v>212</v>
      </c>
      <c r="F598" t="s">
        <v>1482</v>
      </c>
    </row>
    <row r="599" spans="1:6" ht="15.75" customHeight="1">
      <c r="A599" s="274">
        <v>46147</v>
      </c>
      <c r="B599" s="394" t="s">
        <v>508</v>
      </c>
      <c r="C599" s="395" t="s">
        <v>1658</v>
      </c>
      <c r="D599" s="261">
        <v>515.66</v>
      </c>
      <c r="E599" s="276" t="s">
        <v>212</v>
      </c>
      <c r="F599" t="s">
        <v>1482</v>
      </c>
    </row>
    <row r="600" spans="1:6" ht="15.75" customHeight="1">
      <c r="A600" s="274">
        <v>46147</v>
      </c>
      <c r="B600" s="394" t="s">
        <v>438</v>
      </c>
      <c r="C600" s="395" t="s">
        <v>1659</v>
      </c>
      <c r="D600" s="261">
        <v>728</v>
      </c>
      <c r="E600" s="276" t="s">
        <v>212</v>
      </c>
      <c r="F600" t="s">
        <v>1482</v>
      </c>
    </row>
    <row r="601" spans="1:6" ht="15.75" customHeight="1">
      <c r="A601" s="274">
        <v>46147</v>
      </c>
      <c r="B601" s="394" t="s">
        <v>223</v>
      </c>
      <c r="C601" s="395" t="s">
        <v>1660</v>
      </c>
      <c r="D601" s="261">
        <v>1377.9</v>
      </c>
      <c r="E601" s="276" t="s">
        <v>212</v>
      </c>
      <c r="F601" t="s">
        <v>1482</v>
      </c>
    </row>
    <row r="602" spans="1:6" ht="15.75" customHeight="1">
      <c r="A602" s="274">
        <v>46147</v>
      </c>
      <c r="B602" s="394" t="s">
        <v>284</v>
      </c>
      <c r="C602" s="395" t="s">
        <v>1661</v>
      </c>
      <c r="D602" s="261">
        <v>272.5</v>
      </c>
      <c r="E602" s="276" t="s">
        <v>212</v>
      </c>
      <c r="F602" t="s">
        <v>1482</v>
      </c>
    </row>
    <row r="603" spans="1:6" ht="15.75" customHeight="1">
      <c r="A603" s="274">
        <v>46147</v>
      </c>
      <c r="B603" s="394" t="s">
        <v>254</v>
      </c>
      <c r="C603" s="395" t="s">
        <v>1662</v>
      </c>
      <c r="D603" s="261">
        <v>215</v>
      </c>
      <c r="E603" s="276" t="s">
        <v>212</v>
      </c>
      <c r="F603" t="s">
        <v>1482</v>
      </c>
    </row>
    <row r="604" spans="1:6" ht="15.75" customHeight="1">
      <c r="A604" s="274">
        <v>46147</v>
      </c>
      <c r="B604" s="394" t="s">
        <v>254</v>
      </c>
      <c r="C604" s="395" t="s">
        <v>1663</v>
      </c>
      <c r="D604" s="261">
        <v>179.2</v>
      </c>
      <c r="E604" s="276" t="s">
        <v>212</v>
      </c>
      <c r="F604" t="s">
        <v>1482</v>
      </c>
    </row>
    <row r="605" spans="1:6" ht="15.75" customHeight="1">
      <c r="A605" s="274">
        <v>46147</v>
      </c>
      <c r="B605" s="394" t="s">
        <v>319</v>
      </c>
      <c r="C605" s="395" t="s">
        <v>1664</v>
      </c>
      <c r="D605" s="261">
        <v>598.58000000000004</v>
      </c>
      <c r="E605" s="276" t="s">
        <v>212</v>
      </c>
      <c r="F605" t="s">
        <v>1482</v>
      </c>
    </row>
    <row r="606" spans="1:6" ht="15.75" customHeight="1">
      <c r="A606" s="274">
        <v>46147</v>
      </c>
      <c r="B606" s="394" t="s">
        <v>319</v>
      </c>
      <c r="C606" s="395" t="s">
        <v>1665</v>
      </c>
      <c r="D606" s="261">
        <v>598.57000000000005</v>
      </c>
      <c r="E606" s="276" t="s">
        <v>212</v>
      </c>
      <c r="F606" t="s">
        <v>1482</v>
      </c>
    </row>
    <row r="607" spans="1:6" ht="15.75" customHeight="1">
      <c r="A607" s="274">
        <v>46147</v>
      </c>
      <c r="B607" s="394" t="s">
        <v>319</v>
      </c>
      <c r="C607" s="395" t="s">
        <v>1666</v>
      </c>
      <c r="D607" s="261">
        <v>851.8</v>
      </c>
      <c r="E607" s="276" t="s">
        <v>212</v>
      </c>
      <c r="F607" t="s">
        <v>1482</v>
      </c>
    </row>
    <row r="608" spans="1:6" ht="15.75" customHeight="1">
      <c r="A608" s="274">
        <v>46148</v>
      </c>
      <c r="B608" s="394" t="s">
        <v>1646</v>
      </c>
      <c r="C608" s="395" t="s">
        <v>1667</v>
      </c>
      <c r="D608" s="261">
        <v>468.63</v>
      </c>
      <c r="E608" s="276" t="s">
        <v>212</v>
      </c>
      <c r="F608" t="s">
        <v>1482</v>
      </c>
    </row>
    <row r="609" spans="1:6" ht="15.75" customHeight="1">
      <c r="A609" s="274">
        <v>46148</v>
      </c>
      <c r="B609" s="394" t="s">
        <v>234</v>
      </c>
      <c r="C609" s="395" t="s">
        <v>1668</v>
      </c>
      <c r="D609" s="261">
        <v>755.2</v>
      </c>
      <c r="E609" s="276" t="s">
        <v>212</v>
      </c>
      <c r="F609" t="s">
        <v>1482</v>
      </c>
    </row>
    <row r="610" spans="1:6" ht="15.75" customHeight="1">
      <c r="A610" s="274">
        <v>46148</v>
      </c>
      <c r="B610" s="394" t="s">
        <v>547</v>
      </c>
      <c r="C610" s="395" t="s">
        <v>1669</v>
      </c>
      <c r="D610" s="261">
        <v>430.14</v>
      </c>
      <c r="E610" s="276" t="s">
        <v>212</v>
      </c>
      <c r="F610" t="s">
        <v>1482</v>
      </c>
    </row>
    <row r="611" spans="1:6" ht="15.75" customHeight="1">
      <c r="A611" s="274">
        <v>46148</v>
      </c>
      <c r="B611" s="394" t="s">
        <v>1670</v>
      </c>
      <c r="C611" s="395">
        <v>12580</v>
      </c>
      <c r="D611" s="261">
        <v>98.5</v>
      </c>
      <c r="E611" s="276" t="s">
        <v>212</v>
      </c>
      <c r="F611" t="s">
        <v>1482</v>
      </c>
    </row>
    <row r="612" spans="1:6" ht="15.75" customHeight="1">
      <c r="A612" s="274">
        <v>46149</v>
      </c>
      <c r="B612" s="279" t="s">
        <v>1671</v>
      </c>
      <c r="C612" s="280">
        <v>831</v>
      </c>
      <c r="D612" s="261">
        <v>46.8</v>
      </c>
      <c r="E612" s="276" t="s">
        <v>212</v>
      </c>
      <c r="F612" t="s">
        <v>1482</v>
      </c>
    </row>
    <row r="613" spans="1:6" ht="15.75" customHeight="1">
      <c r="A613" s="274">
        <v>46149</v>
      </c>
      <c r="B613" s="281" t="s">
        <v>76</v>
      </c>
      <c r="C613" s="278" t="s">
        <v>1672</v>
      </c>
      <c r="D613" s="261">
        <v>1540</v>
      </c>
      <c r="E613" s="276" t="s">
        <v>212</v>
      </c>
      <c r="F613" t="s">
        <v>1482</v>
      </c>
    </row>
    <row r="614" spans="1:6" ht="15.75" customHeight="1">
      <c r="A614" s="274">
        <v>46149</v>
      </c>
      <c r="B614" s="279" t="s">
        <v>1673</v>
      </c>
      <c r="C614" s="280" t="s">
        <v>1674</v>
      </c>
      <c r="D614" s="261">
        <v>230</v>
      </c>
      <c r="E614" s="276" t="s">
        <v>212</v>
      </c>
      <c r="F614" t="s">
        <v>1482</v>
      </c>
    </row>
    <row r="615" spans="1:6" ht="15.75" customHeight="1">
      <c r="A615" s="274">
        <v>46149</v>
      </c>
      <c r="B615" s="281" t="s">
        <v>1675</v>
      </c>
      <c r="C615" s="278">
        <v>12566</v>
      </c>
      <c r="D615" s="261">
        <v>66.7</v>
      </c>
      <c r="E615" s="276" t="s">
        <v>212</v>
      </c>
      <c r="F615" t="s">
        <v>1482</v>
      </c>
    </row>
    <row r="616" spans="1:6" ht="15.75" customHeight="1">
      <c r="A616" s="274">
        <v>46149</v>
      </c>
      <c r="B616" s="279" t="s">
        <v>344</v>
      </c>
      <c r="C616" s="280" t="s">
        <v>1676</v>
      </c>
      <c r="D616" s="261">
        <v>255</v>
      </c>
      <c r="E616" s="276" t="s">
        <v>212</v>
      </c>
      <c r="F616" t="s">
        <v>1482</v>
      </c>
    </row>
    <row r="617" spans="1:6" ht="15.75" customHeight="1">
      <c r="A617" s="274">
        <v>46149</v>
      </c>
      <c r="B617" s="396" t="s">
        <v>234</v>
      </c>
      <c r="C617" s="397" t="s">
        <v>1677</v>
      </c>
      <c r="D617" s="261">
        <v>285.39999999999998</v>
      </c>
      <c r="E617" s="276" t="s">
        <v>212</v>
      </c>
      <c r="F617" t="s">
        <v>1482</v>
      </c>
    </row>
    <row r="618" spans="1:6" ht="15.75" customHeight="1">
      <c r="A618" s="274">
        <v>46149</v>
      </c>
      <c r="B618" s="396" t="s">
        <v>491</v>
      </c>
      <c r="C618" s="397" t="s">
        <v>1678</v>
      </c>
      <c r="D618" s="261">
        <v>1058</v>
      </c>
      <c r="E618" s="276" t="s">
        <v>212</v>
      </c>
      <c r="F618" t="s">
        <v>1482</v>
      </c>
    </row>
    <row r="619" spans="1:6" ht="15.75" customHeight="1">
      <c r="A619" s="274">
        <v>46149</v>
      </c>
      <c r="B619" s="396" t="s">
        <v>445</v>
      </c>
      <c r="C619" s="397" t="s">
        <v>1679</v>
      </c>
      <c r="D619" s="261">
        <v>466.7</v>
      </c>
      <c r="E619" s="276" t="s">
        <v>212</v>
      </c>
      <c r="F619" t="s">
        <v>1482</v>
      </c>
    </row>
    <row r="620" spans="1:6" ht="15.75" customHeight="1">
      <c r="A620" s="274">
        <v>46149</v>
      </c>
      <c r="B620" s="396" t="s">
        <v>218</v>
      </c>
      <c r="C620" s="397" t="s">
        <v>1680</v>
      </c>
      <c r="D620" s="261">
        <v>347.73</v>
      </c>
      <c r="E620" s="276" t="s">
        <v>212</v>
      </c>
      <c r="F620" t="s">
        <v>1482</v>
      </c>
    </row>
    <row r="621" spans="1:6" ht="15.75" customHeight="1">
      <c r="A621" s="274">
        <v>46149</v>
      </c>
      <c r="B621" s="396" t="s">
        <v>445</v>
      </c>
      <c r="C621" s="397" t="s">
        <v>1681</v>
      </c>
      <c r="D621" s="261">
        <v>1843.2</v>
      </c>
      <c r="E621" s="276" t="s">
        <v>212</v>
      </c>
      <c r="F621" t="s">
        <v>1482</v>
      </c>
    </row>
    <row r="622" spans="1:6" ht="15.75" customHeight="1">
      <c r="A622" s="274">
        <v>46149</v>
      </c>
      <c r="B622" s="396" t="s">
        <v>310</v>
      </c>
      <c r="C622" s="397" t="s">
        <v>1682</v>
      </c>
      <c r="D622" s="261">
        <v>1880.23</v>
      </c>
      <c r="E622" s="276" t="s">
        <v>212</v>
      </c>
      <c r="F622" t="s">
        <v>1482</v>
      </c>
    </row>
    <row r="623" spans="1:6" ht="15.75" customHeight="1">
      <c r="A623" s="274">
        <v>46149</v>
      </c>
      <c r="B623" s="396" t="s">
        <v>1683</v>
      </c>
      <c r="C623" s="397">
        <v>12459</v>
      </c>
      <c r="D623" s="261">
        <v>665.74</v>
      </c>
      <c r="E623" s="276" t="s">
        <v>212</v>
      </c>
      <c r="F623" t="s">
        <v>1482</v>
      </c>
    </row>
    <row r="624" spans="1:6" ht="15.75" customHeight="1">
      <c r="A624" s="274">
        <v>46150</v>
      </c>
      <c r="B624" s="394" t="s">
        <v>281</v>
      </c>
      <c r="C624" s="395" t="s">
        <v>1684</v>
      </c>
      <c r="D624" s="261">
        <v>775.99</v>
      </c>
      <c r="E624" s="276" t="s">
        <v>212</v>
      </c>
      <c r="F624" t="s">
        <v>1482</v>
      </c>
    </row>
    <row r="625" spans="1:6" ht="15.75" customHeight="1">
      <c r="A625" s="274">
        <v>46150</v>
      </c>
      <c r="B625" s="394" t="s">
        <v>98</v>
      </c>
      <c r="C625" s="395" t="s">
        <v>1685</v>
      </c>
      <c r="D625" s="261">
        <v>860.83</v>
      </c>
      <c r="E625" s="276" t="s">
        <v>212</v>
      </c>
      <c r="F625" t="s">
        <v>1482</v>
      </c>
    </row>
    <row r="626" spans="1:6" ht="15.75" customHeight="1">
      <c r="A626" s="274">
        <v>46150</v>
      </c>
      <c r="B626" s="394" t="s">
        <v>288</v>
      </c>
      <c r="C626" s="395" t="s">
        <v>1686</v>
      </c>
      <c r="D626" s="261">
        <v>559.13</v>
      </c>
      <c r="E626" s="276" t="s">
        <v>212</v>
      </c>
      <c r="F626" t="s">
        <v>1482</v>
      </c>
    </row>
    <row r="627" spans="1:6" ht="15.75" customHeight="1">
      <c r="A627" s="274">
        <v>46150</v>
      </c>
      <c r="B627" s="394" t="s">
        <v>380</v>
      </c>
      <c r="C627" s="395" t="s">
        <v>1687</v>
      </c>
      <c r="D627" s="261">
        <v>3909.78</v>
      </c>
      <c r="E627" s="276" t="s">
        <v>212</v>
      </c>
      <c r="F627" t="s">
        <v>1482</v>
      </c>
    </row>
    <row r="628" spans="1:6" ht="15.75" customHeight="1">
      <c r="A628" s="274">
        <v>46150</v>
      </c>
      <c r="B628" s="394" t="s">
        <v>1688</v>
      </c>
      <c r="C628" s="395" t="s">
        <v>1689</v>
      </c>
      <c r="D628" s="261">
        <v>671.67</v>
      </c>
      <c r="E628" s="276" t="s">
        <v>212</v>
      </c>
      <c r="F628" t="s">
        <v>1482</v>
      </c>
    </row>
    <row r="629" spans="1:6" ht="15.75" customHeight="1">
      <c r="A629" s="274">
        <v>46150</v>
      </c>
      <c r="B629" s="394" t="s">
        <v>380</v>
      </c>
      <c r="C629" s="395" t="s">
        <v>1690</v>
      </c>
      <c r="D629" s="261">
        <v>408</v>
      </c>
      <c r="E629" s="276" t="s">
        <v>212</v>
      </c>
      <c r="F629" t="s">
        <v>1482</v>
      </c>
    </row>
    <row r="630" spans="1:6" ht="15.75" customHeight="1">
      <c r="A630" s="274">
        <v>46150</v>
      </c>
      <c r="B630" s="394" t="s">
        <v>234</v>
      </c>
      <c r="C630" s="395" t="s">
        <v>1691</v>
      </c>
      <c r="D630" s="261">
        <v>237</v>
      </c>
      <c r="E630" s="276" t="s">
        <v>212</v>
      </c>
      <c r="F630" t="s">
        <v>1482</v>
      </c>
    </row>
    <row r="631" spans="1:6" ht="15.75" customHeight="1">
      <c r="A631" s="274">
        <v>46153</v>
      </c>
      <c r="B631" s="394" t="s">
        <v>310</v>
      </c>
      <c r="C631" s="395" t="s">
        <v>1692</v>
      </c>
      <c r="D631" s="261">
        <v>1774.43</v>
      </c>
      <c r="E631" s="276" t="s">
        <v>212</v>
      </c>
      <c r="F631" t="s">
        <v>1482</v>
      </c>
    </row>
    <row r="632" spans="1:6" ht="15.75" customHeight="1">
      <c r="A632" s="274">
        <v>46153</v>
      </c>
      <c r="B632" s="394" t="s">
        <v>1313</v>
      </c>
      <c r="C632" s="395" t="s">
        <v>1693</v>
      </c>
      <c r="D632" s="261">
        <v>573.5</v>
      </c>
      <c r="E632" s="276" t="s">
        <v>212</v>
      </c>
      <c r="F632" t="s">
        <v>1482</v>
      </c>
    </row>
    <row r="633" spans="1:6" ht="15.75" customHeight="1">
      <c r="A633" s="274">
        <v>46153</v>
      </c>
      <c r="B633" s="394" t="s">
        <v>300</v>
      </c>
      <c r="C633" s="395" t="s">
        <v>1694</v>
      </c>
      <c r="D633" s="261">
        <v>4732.7700000000004</v>
      </c>
      <c r="E633" s="276" t="s">
        <v>212</v>
      </c>
      <c r="F633" t="s">
        <v>1482</v>
      </c>
    </row>
    <row r="634" spans="1:6" ht="15.75" customHeight="1">
      <c r="A634" s="274">
        <v>46153</v>
      </c>
      <c r="B634" s="394" t="s">
        <v>1317</v>
      </c>
      <c r="C634" s="395" t="s">
        <v>1695</v>
      </c>
      <c r="D634" s="261">
        <v>1596.5</v>
      </c>
      <c r="E634" s="276" t="s">
        <v>212</v>
      </c>
      <c r="F634" t="s">
        <v>1482</v>
      </c>
    </row>
    <row r="635" spans="1:6" ht="15.75" customHeight="1">
      <c r="A635" s="274">
        <v>46153</v>
      </c>
      <c r="B635" s="394" t="s">
        <v>214</v>
      </c>
      <c r="C635" s="395" t="s">
        <v>1696</v>
      </c>
      <c r="D635" s="261">
        <v>1163.75</v>
      </c>
      <c r="E635" s="276" t="s">
        <v>212</v>
      </c>
      <c r="F635" t="s">
        <v>1482</v>
      </c>
    </row>
    <row r="636" spans="1:6" ht="15.75" customHeight="1">
      <c r="A636" s="274">
        <v>46153</v>
      </c>
      <c r="B636" s="394" t="s">
        <v>1197</v>
      </c>
      <c r="C636" s="395" t="s">
        <v>1697</v>
      </c>
      <c r="D636" s="261">
        <v>296.5</v>
      </c>
      <c r="E636" s="276" t="s">
        <v>212</v>
      </c>
      <c r="F636" t="s">
        <v>1482</v>
      </c>
    </row>
    <row r="637" spans="1:6" ht="15.75" customHeight="1">
      <c r="A637" s="274">
        <v>46153</v>
      </c>
      <c r="B637" s="178" t="s">
        <v>348</v>
      </c>
      <c r="C637" s="179">
        <v>12598</v>
      </c>
      <c r="D637" s="261">
        <v>267.14999999999998</v>
      </c>
      <c r="E637" s="276" t="s">
        <v>212</v>
      </c>
      <c r="F637" t="s">
        <v>1482</v>
      </c>
    </row>
    <row r="638" spans="1:6" ht="15.75" customHeight="1">
      <c r="A638" s="274">
        <v>46154</v>
      </c>
      <c r="B638" s="394" t="s">
        <v>1698</v>
      </c>
      <c r="C638" s="395" t="s">
        <v>1699</v>
      </c>
      <c r="D638" s="261">
        <v>725</v>
      </c>
      <c r="E638" s="276" t="s">
        <v>212</v>
      </c>
      <c r="F638" t="s">
        <v>1482</v>
      </c>
    </row>
    <row r="639" spans="1:6" ht="15.75" customHeight="1">
      <c r="A639" s="274">
        <v>46154</v>
      </c>
      <c r="B639" s="394" t="s">
        <v>1700</v>
      </c>
      <c r="C639" s="395" t="s">
        <v>1701</v>
      </c>
      <c r="D639" s="261">
        <v>390</v>
      </c>
      <c r="E639" s="276" t="s">
        <v>212</v>
      </c>
      <c r="F639" t="s">
        <v>1482</v>
      </c>
    </row>
    <row r="640" spans="1:6" ht="15.75" customHeight="1">
      <c r="A640" s="274">
        <v>46154</v>
      </c>
      <c r="B640" s="394" t="s">
        <v>1702</v>
      </c>
      <c r="C640" s="395" t="s">
        <v>1703</v>
      </c>
      <c r="D640" s="261">
        <v>1437.24</v>
      </c>
      <c r="E640" s="276" t="s">
        <v>212</v>
      </c>
      <c r="F640" t="s">
        <v>1482</v>
      </c>
    </row>
    <row r="641" spans="1:6" ht="15.75" customHeight="1">
      <c r="A641" s="274">
        <v>46154</v>
      </c>
      <c r="B641" s="394" t="s">
        <v>1704</v>
      </c>
      <c r="C641" s="395" t="s">
        <v>1705</v>
      </c>
      <c r="D641" s="261">
        <v>515.66999999999996</v>
      </c>
      <c r="E641" s="276" t="s">
        <v>212</v>
      </c>
      <c r="F641" t="s">
        <v>1482</v>
      </c>
    </row>
    <row r="642" spans="1:6" ht="15.75" customHeight="1">
      <c r="A642" s="274">
        <v>46154</v>
      </c>
      <c r="B642" s="394" t="s">
        <v>1706</v>
      </c>
      <c r="C642" s="395" t="s">
        <v>1707</v>
      </c>
      <c r="D642" s="261">
        <v>471.13</v>
      </c>
      <c r="E642" s="276" t="s">
        <v>212</v>
      </c>
      <c r="F642" t="s">
        <v>1482</v>
      </c>
    </row>
    <row r="643" spans="1:6" ht="15.75" customHeight="1">
      <c r="A643" s="274">
        <v>46154</v>
      </c>
      <c r="B643" s="396" t="s">
        <v>555</v>
      </c>
      <c r="C643" s="397" t="s">
        <v>1708</v>
      </c>
      <c r="D643" s="261">
        <v>324.2</v>
      </c>
      <c r="E643" s="276" t="s">
        <v>212</v>
      </c>
      <c r="F643" t="s">
        <v>1482</v>
      </c>
    </row>
    <row r="644" spans="1:6" ht="15.75" customHeight="1">
      <c r="A644" s="274">
        <v>46154</v>
      </c>
      <c r="B644" s="396" t="s">
        <v>300</v>
      </c>
      <c r="C644" s="397" t="s">
        <v>1709</v>
      </c>
      <c r="D644" s="261">
        <v>1165.5</v>
      </c>
      <c r="E644" s="276" t="s">
        <v>212</v>
      </c>
      <c r="F644" t="s">
        <v>1482</v>
      </c>
    </row>
    <row r="645" spans="1:6" ht="15.75" customHeight="1">
      <c r="A645" s="274">
        <v>46154</v>
      </c>
      <c r="B645" s="396" t="s">
        <v>629</v>
      </c>
      <c r="C645" s="397" t="s">
        <v>1710</v>
      </c>
      <c r="D645" s="261">
        <v>270</v>
      </c>
      <c r="E645" s="276" t="s">
        <v>212</v>
      </c>
      <c r="F645" t="s">
        <v>1482</v>
      </c>
    </row>
    <row r="646" spans="1:6" ht="15.75" customHeight="1">
      <c r="A646" s="274">
        <v>46154</v>
      </c>
      <c r="B646" s="262" t="s">
        <v>1711</v>
      </c>
      <c r="C646" s="398">
        <v>12520</v>
      </c>
      <c r="D646" s="261">
        <v>354.5</v>
      </c>
      <c r="E646" s="276" t="s">
        <v>212</v>
      </c>
      <c r="F646" t="s">
        <v>1482</v>
      </c>
    </row>
    <row r="647" spans="1:6" ht="15.75" customHeight="1">
      <c r="A647" s="274">
        <v>46155</v>
      </c>
      <c r="B647" s="394" t="s">
        <v>218</v>
      </c>
      <c r="C647" s="395" t="s">
        <v>1712</v>
      </c>
      <c r="D647" s="379">
        <v>255.4</v>
      </c>
      <c r="E647" s="276" t="s">
        <v>212</v>
      </c>
      <c r="F647" t="s">
        <v>1482</v>
      </c>
    </row>
    <row r="648" spans="1:6" ht="15.75" customHeight="1">
      <c r="A648" s="274">
        <v>46155</v>
      </c>
      <c r="B648" s="394" t="s">
        <v>314</v>
      </c>
      <c r="C648" s="395" t="s">
        <v>1713</v>
      </c>
      <c r="D648" s="379">
        <v>1214.55</v>
      </c>
      <c r="E648" s="276" t="s">
        <v>212</v>
      </c>
      <c r="F648" t="s">
        <v>1482</v>
      </c>
    </row>
    <row r="649" spans="1:6" ht="15.75" customHeight="1">
      <c r="A649" s="274">
        <v>46155</v>
      </c>
      <c r="B649" s="394" t="s">
        <v>314</v>
      </c>
      <c r="C649" s="395" t="s">
        <v>1714</v>
      </c>
      <c r="D649" s="379">
        <v>1643.87</v>
      </c>
      <c r="E649" s="276" t="s">
        <v>212</v>
      </c>
      <c r="F649" t="s">
        <v>1482</v>
      </c>
    </row>
    <row r="650" spans="1:6" ht="15.75" customHeight="1">
      <c r="A650" s="274">
        <v>46155</v>
      </c>
      <c r="B650" s="394" t="s">
        <v>547</v>
      </c>
      <c r="C650" s="395" t="s">
        <v>1715</v>
      </c>
      <c r="D650" s="379">
        <v>430.13</v>
      </c>
      <c r="E650" s="276" t="s">
        <v>212</v>
      </c>
      <c r="F650" t="s">
        <v>1482</v>
      </c>
    </row>
    <row r="651" spans="1:6" ht="15.75" customHeight="1">
      <c r="A651" s="274">
        <v>46155</v>
      </c>
      <c r="B651" s="394" t="s">
        <v>214</v>
      </c>
      <c r="C651" s="395" t="s">
        <v>1716</v>
      </c>
      <c r="D651" s="379">
        <v>3500</v>
      </c>
      <c r="E651" s="276" t="s">
        <v>212</v>
      </c>
      <c r="F651" t="s">
        <v>1482</v>
      </c>
    </row>
    <row r="652" spans="1:6" ht="15.75" customHeight="1">
      <c r="A652" s="274">
        <v>46155</v>
      </c>
      <c r="B652" s="394" t="s">
        <v>277</v>
      </c>
      <c r="C652" s="395" t="s">
        <v>1717</v>
      </c>
      <c r="D652" s="379">
        <v>360</v>
      </c>
      <c r="E652" s="276" t="s">
        <v>212</v>
      </c>
      <c r="F652" t="s">
        <v>1482</v>
      </c>
    </row>
    <row r="653" spans="1:6" ht="15.75" customHeight="1">
      <c r="A653" s="274">
        <v>46155</v>
      </c>
      <c r="B653" s="394" t="s">
        <v>319</v>
      </c>
      <c r="C653" s="395" t="s">
        <v>1718</v>
      </c>
      <c r="D653" s="379">
        <v>598.57000000000005</v>
      </c>
      <c r="E653" s="276" t="s">
        <v>212</v>
      </c>
      <c r="F653" t="s">
        <v>1482</v>
      </c>
    </row>
    <row r="654" spans="1:6" ht="15.75" customHeight="1">
      <c r="A654" s="274">
        <v>46155</v>
      </c>
      <c r="B654" s="394" t="s">
        <v>214</v>
      </c>
      <c r="C654" s="395" t="s">
        <v>1719</v>
      </c>
      <c r="D654" s="379">
        <v>551.76</v>
      </c>
      <c r="E654" s="276" t="s">
        <v>212</v>
      </c>
      <c r="F654" t="s">
        <v>1482</v>
      </c>
    </row>
    <row r="655" spans="1:6" ht="15.75" customHeight="1">
      <c r="A655" s="274">
        <v>46155</v>
      </c>
      <c r="B655" s="394" t="s">
        <v>214</v>
      </c>
      <c r="C655" s="395" t="s">
        <v>1720</v>
      </c>
      <c r="D655" s="379">
        <v>733.34</v>
      </c>
      <c r="E655" s="276" t="s">
        <v>212</v>
      </c>
      <c r="F655" t="s">
        <v>1482</v>
      </c>
    </row>
    <row r="656" spans="1:6" ht="15.75" customHeight="1">
      <c r="A656" s="274">
        <v>46155</v>
      </c>
      <c r="B656" s="394" t="s">
        <v>225</v>
      </c>
      <c r="C656" s="395" t="s">
        <v>1721</v>
      </c>
      <c r="D656" s="379">
        <v>145.673</v>
      </c>
      <c r="E656" s="276" t="s">
        <v>212</v>
      </c>
      <c r="F656" t="s">
        <v>1482</v>
      </c>
    </row>
    <row r="657" spans="1:6" ht="15.75" customHeight="1">
      <c r="A657" s="274">
        <v>46155</v>
      </c>
      <c r="B657" s="394" t="s">
        <v>323</v>
      </c>
      <c r="C657" s="395" t="s">
        <v>1722</v>
      </c>
      <c r="D657" s="379">
        <v>260</v>
      </c>
      <c r="E657" s="276" t="s">
        <v>212</v>
      </c>
      <c r="F657" t="s">
        <v>1482</v>
      </c>
    </row>
    <row r="658" spans="1:6" ht="15.75" customHeight="1">
      <c r="A658" s="274">
        <v>46156</v>
      </c>
      <c r="B658" s="259" t="s">
        <v>76</v>
      </c>
      <c r="C658" s="399">
        <v>12451</v>
      </c>
      <c r="D658" s="261">
        <v>500</v>
      </c>
      <c r="E658" s="276" t="s">
        <v>212</v>
      </c>
      <c r="F658" t="s">
        <v>1482</v>
      </c>
    </row>
    <row r="659" spans="1:6" ht="15.75" customHeight="1">
      <c r="A659" s="274">
        <v>46156</v>
      </c>
      <c r="B659" s="394" t="s">
        <v>445</v>
      </c>
      <c r="C659" s="395" t="s">
        <v>1723</v>
      </c>
      <c r="D659" s="379">
        <v>1843.2</v>
      </c>
      <c r="E659" s="276" t="s">
        <v>212</v>
      </c>
      <c r="F659" t="s">
        <v>1482</v>
      </c>
    </row>
    <row r="660" spans="1:6" ht="15.75" customHeight="1">
      <c r="A660" s="274">
        <v>46156</v>
      </c>
      <c r="B660" s="394" t="s">
        <v>1724</v>
      </c>
      <c r="C660" s="395" t="s">
        <v>1725</v>
      </c>
      <c r="D660" s="379">
        <v>736</v>
      </c>
      <c r="E660" s="276" t="s">
        <v>212</v>
      </c>
      <c r="F660" t="s">
        <v>1482</v>
      </c>
    </row>
    <row r="661" spans="1:6" ht="15.75" customHeight="1">
      <c r="A661" s="274">
        <v>46156</v>
      </c>
      <c r="B661" s="394" t="s">
        <v>218</v>
      </c>
      <c r="C661" s="395" t="s">
        <v>1726</v>
      </c>
      <c r="D661" s="379">
        <v>347.73</v>
      </c>
      <c r="E661" s="276" t="s">
        <v>212</v>
      </c>
      <c r="F661" t="s">
        <v>1482</v>
      </c>
    </row>
    <row r="662" spans="1:6" ht="15.75" customHeight="1">
      <c r="A662" s="274">
        <v>46156</v>
      </c>
      <c r="B662" s="394" t="s">
        <v>1727</v>
      </c>
      <c r="C662" s="395" t="s">
        <v>1728</v>
      </c>
      <c r="D662" s="379">
        <v>528.20000000000005</v>
      </c>
      <c r="E662" s="276" t="s">
        <v>212</v>
      </c>
      <c r="F662" t="s">
        <v>1482</v>
      </c>
    </row>
    <row r="663" spans="1:6" ht="15.75" customHeight="1">
      <c r="A663" s="274">
        <v>46156</v>
      </c>
      <c r="B663" s="394" t="s">
        <v>277</v>
      </c>
      <c r="C663" s="395" t="s">
        <v>1729</v>
      </c>
      <c r="D663" s="379">
        <v>708.75</v>
      </c>
      <c r="E663" s="276" t="s">
        <v>212</v>
      </c>
      <c r="F663" t="s">
        <v>1482</v>
      </c>
    </row>
    <row r="664" spans="1:6" ht="15.75" customHeight="1">
      <c r="A664" s="274">
        <v>46156</v>
      </c>
      <c r="B664" s="394" t="s">
        <v>230</v>
      </c>
      <c r="C664" s="395" t="s">
        <v>1730</v>
      </c>
      <c r="D664" s="379">
        <v>844.26</v>
      </c>
      <c r="E664" s="276" t="s">
        <v>212</v>
      </c>
      <c r="F664" t="s">
        <v>1482</v>
      </c>
    </row>
    <row r="665" spans="1:6" ht="15.75" customHeight="1">
      <c r="A665" s="274">
        <v>46156</v>
      </c>
      <c r="B665" s="394" t="s">
        <v>394</v>
      </c>
      <c r="C665" s="395" t="s">
        <v>1731</v>
      </c>
      <c r="D665" s="379">
        <v>1017</v>
      </c>
      <c r="E665" s="276" t="s">
        <v>212</v>
      </c>
      <c r="F665" t="s">
        <v>1482</v>
      </c>
    </row>
    <row r="666" spans="1:6" ht="15.75" customHeight="1">
      <c r="A666" s="274">
        <v>46156</v>
      </c>
      <c r="B666" s="394" t="s">
        <v>234</v>
      </c>
      <c r="C666" s="395" t="s">
        <v>1732</v>
      </c>
      <c r="D666" s="379">
        <v>95</v>
      </c>
      <c r="E666" s="276" t="s">
        <v>212</v>
      </c>
      <c r="F666" t="s">
        <v>1482</v>
      </c>
    </row>
    <row r="667" spans="1:6" ht="15.75" customHeight="1">
      <c r="A667" s="274">
        <v>46157</v>
      </c>
      <c r="B667" s="394" t="s">
        <v>298</v>
      </c>
      <c r="C667" s="395" t="s">
        <v>1733</v>
      </c>
      <c r="D667" s="379">
        <v>582.48</v>
      </c>
      <c r="E667" s="276" t="s">
        <v>212</v>
      </c>
      <c r="F667" t="s">
        <v>1482</v>
      </c>
    </row>
    <row r="668" spans="1:6" ht="15.75" customHeight="1">
      <c r="A668" s="274">
        <v>46157</v>
      </c>
      <c r="B668" s="394" t="s">
        <v>512</v>
      </c>
      <c r="C668" s="395" t="s">
        <v>1734</v>
      </c>
      <c r="D668" s="379">
        <v>1774.6</v>
      </c>
      <c r="E668" s="276" t="s">
        <v>212</v>
      </c>
      <c r="F668" t="s">
        <v>1482</v>
      </c>
    </row>
    <row r="669" spans="1:6" ht="15.75" customHeight="1">
      <c r="A669" s="274">
        <v>46157</v>
      </c>
      <c r="B669" s="394" t="s">
        <v>1735</v>
      </c>
      <c r="C669" s="395" t="s">
        <v>1736</v>
      </c>
      <c r="D669" s="379">
        <v>1307.6300000000001</v>
      </c>
      <c r="E669" s="276" t="s">
        <v>212</v>
      </c>
      <c r="F669" t="s">
        <v>1482</v>
      </c>
    </row>
    <row r="670" spans="1:6" ht="15.75" customHeight="1">
      <c r="A670" s="274">
        <v>46157</v>
      </c>
      <c r="B670" s="394" t="s">
        <v>1688</v>
      </c>
      <c r="C670" s="395" t="s">
        <v>1737</v>
      </c>
      <c r="D670" s="379">
        <v>671.68</v>
      </c>
      <c r="E670" s="276" t="s">
        <v>212</v>
      </c>
      <c r="F670" t="s">
        <v>1482</v>
      </c>
    </row>
    <row r="671" spans="1:6" ht="15.75" customHeight="1">
      <c r="A671" s="274">
        <v>46157</v>
      </c>
      <c r="B671" s="394" t="s">
        <v>1738</v>
      </c>
      <c r="C671" s="395" t="s">
        <v>1739</v>
      </c>
      <c r="D671" s="379">
        <v>586</v>
      </c>
      <c r="E671" s="276" t="s">
        <v>212</v>
      </c>
      <c r="F671" t="s">
        <v>1482</v>
      </c>
    </row>
    <row r="672" spans="1:6" ht="15.75" customHeight="1">
      <c r="A672" s="274">
        <v>46157</v>
      </c>
      <c r="B672" s="394" t="s">
        <v>1740</v>
      </c>
      <c r="C672" s="395" t="s">
        <v>1741</v>
      </c>
      <c r="D672" s="261">
        <v>509.2</v>
      </c>
      <c r="E672" s="276" t="s">
        <v>212</v>
      </c>
      <c r="F672" t="s">
        <v>1482</v>
      </c>
    </row>
    <row r="673" spans="1:6" ht="15.75" customHeight="1">
      <c r="A673" s="274">
        <v>46157</v>
      </c>
      <c r="B673" s="394" t="s">
        <v>234</v>
      </c>
      <c r="C673" s="395" t="s">
        <v>1742</v>
      </c>
      <c r="D673" s="261">
        <v>5545.98</v>
      </c>
      <c r="E673" s="276" t="s">
        <v>212</v>
      </c>
      <c r="F673" t="s">
        <v>1482</v>
      </c>
    </row>
    <row r="674" spans="1:6" ht="15.75" customHeight="1">
      <c r="A674" s="274">
        <v>46160</v>
      </c>
      <c r="B674" s="394" t="s">
        <v>1743</v>
      </c>
      <c r="C674" s="395">
        <v>12645</v>
      </c>
      <c r="D674" s="261">
        <v>77.2</v>
      </c>
      <c r="E674" s="276" t="s">
        <v>212</v>
      </c>
      <c r="F674" t="s">
        <v>1482</v>
      </c>
    </row>
    <row r="675" spans="1:6" ht="15.75" customHeight="1">
      <c r="A675" s="274">
        <v>46160</v>
      </c>
      <c r="B675" s="396" t="s">
        <v>547</v>
      </c>
      <c r="C675" s="397" t="s">
        <v>1744</v>
      </c>
      <c r="D675" s="261">
        <v>1080.02</v>
      </c>
      <c r="E675" s="276" t="s">
        <v>212</v>
      </c>
      <c r="F675" t="s">
        <v>1482</v>
      </c>
    </row>
    <row r="676" spans="1:6" ht="15.75" customHeight="1">
      <c r="A676" s="274">
        <v>46160</v>
      </c>
      <c r="B676" s="396" t="s">
        <v>1317</v>
      </c>
      <c r="C676" s="397" t="s">
        <v>1745</v>
      </c>
      <c r="D676" s="261">
        <v>3729</v>
      </c>
      <c r="E676" s="276" t="s">
        <v>212</v>
      </c>
      <c r="F676" t="s">
        <v>1482</v>
      </c>
    </row>
    <row r="677" spans="1:6" ht="15.75" customHeight="1">
      <c r="A677" s="274">
        <v>46160</v>
      </c>
      <c r="B677" s="396" t="s">
        <v>1257</v>
      </c>
      <c r="C677" s="397" t="s">
        <v>1746</v>
      </c>
      <c r="D677" s="261">
        <v>1044.25</v>
      </c>
      <c r="E677" s="276" t="s">
        <v>212</v>
      </c>
      <c r="F677" t="s">
        <v>1482</v>
      </c>
    </row>
    <row r="678" spans="1:6" ht="15.75" customHeight="1">
      <c r="A678" s="274">
        <v>46160</v>
      </c>
      <c r="B678" s="396" t="s">
        <v>1317</v>
      </c>
      <c r="C678" s="397" t="s">
        <v>1747</v>
      </c>
      <c r="D678" s="261">
        <v>1643.75</v>
      </c>
      <c r="E678" s="276" t="s">
        <v>212</v>
      </c>
      <c r="F678" t="s">
        <v>1482</v>
      </c>
    </row>
    <row r="679" spans="1:6" ht="15.75" customHeight="1">
      <c r="A679" s="274">
        <v>46160</v>
      </c>
      <c r="B679" s="396" t="s">
        <v>281</v>
      </c>
      <c r="C679" s="397" t="s">
        <v>1748</v>
      </c>
      <c r="D679" s="261">
        <v>815.51</v>
      </c>
      <c r="E679" s="276" t="s">
        <v>212</v>
      </c>
      <c r="F679" t="s">
        <v>1482</v>
      </c>
    </row>
    <row r="680" spans="1:6" ht="15.75" customHeight="1">
      <c r="A680" s="274">
        <v>46160</v>
      </c>
      <c r="B680" s="396" t="s">
        <v>281</v>
      </c>
      <c r="C680" s="397" t="s">
        <v>1749</v>
      </c>
      <c r="D680" s="261">
        <v>679.74</v>
      </c>
      <c r="E680" s="276" t="s">
        <v>212</v>
      </c>
      <c r="F680" t="s">
        <v>1482</v>
      </c>
    </row>
    <row r="681" spans="1:6" ht="15.75" customHeight="1">
      <c r="A681" s="274">
        <v>46160</v>
      </c>
      <c r="B681" s="396" t="s">
        <v>281</v>
      </c>
      <c r="C681" s="397" t="s">
        <v>1750</v>
      </c>
      <c r="D681" s="261">
        <v>771.05</v>
      </c>
      <c r="E681" s="276" t="s">
        <v>212</v>
      </c>
      <c r="F681" t="s">
        <v>1482</v>
      </c>
    </row>
    <row r="682" spans="1:6" ht="15.75" customHeight="1">
      <c r="A682" s="274">
        <v>46160</v>
      </c>
      <c r="B682" s="396" t="s">
        <v>218</v>
      </c>
      <c r="C682" s="397" t="s">
        <v>1751</v>
      </c>
      <c r="D682" s="261">
        <v>1205</v>
      </c>
      <c r="E682" s="276" t="s">
        <v>212</v>
      </c>
      <c r="F682" t="s">
        <v>1482</v>
      </c>
    </row>
    <row r="683" spans="1:6" ht="15.75" customHeight="1">
      <c r="A683" s="274">
        <v>46161</v>
      </c>
      <c r="B683" s="396" t="s">
        <v>214</v>
      </c>
      <c r="C683" s="397" t="s">
        <v>1752</v>
      </c>
      <c r="D683" s="261">
        <v>1861.83</v>
      </c>
      <c r="E683" s="276" t="s">
        <v>212</v>
      </c>
      <c r="F683" t="s">
        <v>1482</v>
      </c>
    </row>
    <row r="684" spans="1:6" ht="15.75" customHeight="1">
      <c r="A684" s="274">
        <v>46161</v>
      </c>
      <c r="B684" s="396" t="s">
        <v>508</v>
      </c>
      <c r="C684" s="397" t="s">
        <v>1753</v>
      </c>
      <c r="D684" s="261">
        <v>515.66999999999996</v>
      </c>
      <c r="E684" s="276" t="s">
        <v>212</v>
      </c>
      <c r="F684" t="s">
        <v>1482</v>
      </c>
    </row>
    <row r="685" spans="1:6" ht="15.75" customHeight="1">
      <c r="A685" s="274">
        <v>46161</v>
      </c>
      <c r="B685" s="396" t="s">
        <v>438</v>
      </c>
      <c r="C685" s="397" t="s">
        <v>1754</v>
      </c>
      <c r="D685" s="261">
        <v>371</v>
      </c>
      <c r="E685" s="276" t="s">
        <v>212</v>
      </c>
      <c r="F685" t="s">
        <v>1482</v>
      </c>
    </row>
    <row r="686" spans="1:6" ht="15.75" customHeight="1">
      <c r="A686" s="274">
        <v>46161</v>
      </c>
      <c r="B686" s="262" t="s">
        <v>1755</v>
      </c>
      <c r="C686" s="398">
        <v>12626</v>
      </c>
      <c r="D686" s="261">
        <v>129.5</v>
      </c>
      <c r="E686" s="276" t="s">
        <v>212</v>
      </c>
      <c r="F686" t="s">
        <v>1482</v>
      </c>
    </row>
    <row r="687" spans="1:6" ht="15.75" customHeight="1">
      <c r="A687" s="274">
        <v>46161</v>
      </c>
      <c r="B687" s="259" t="s">
        <v>83</v>
      </c>
      <c r="C687" s="399">
        <v>12643</v>
      </c>
      <c r="D687" s="261">
        <v>2021</v>
      </c>
      <c r="E687" s="276" t="s">
        <v>212</v>
      </c>
      <c r="F687" t="s">
        <v>1482</v>
      </c>
    </row>
    <row r="688" spans="1:6" ht="15.75" customHeight="1">
      <c r="A688" s="274">
        <v>46161</v>
      </c>
      <c r="B688" s="262" t="s">
        <v>331</v>
      </c>
      <c r="C688" s="398">
        <v>12569</v>
      </c>
      <c r="D688" s="261">
        <v>488</v>
      </c>
      <c r="E688" s="276" t="s">
        <v>212</v>
      </c>
      <c r="F688" t="s">
        <v>1482</v>
      </c>
    </row>
    <row r="689" spans="1:6" ht="15.75" customHeight="1">
      <c r="A689" s="274">
        <v>46162</v>
      </c>
      <c r="B689" s="396" t="s">
        <v>228</v>
      </c>
      <c r="C689" s="397" t="s">
        <v>1756</v>
      </c>
      <c r="D689" s="261">
        <v>677.5</v>
      </c>
      <c r="E689" s="276" t="s">
        <v>212</v>
      </c>
      <c r="F689" t="s">
        <v>1482</v>
      </c>
    </row>
    <row r="690" spans="1:6" ht="15.75" customHeight="1">
      <c r="A690" s="274">
        <v>46162</v>
      </c>
      <c r="B690" s="396" t="s">
        <v>214</v>
      </c>
      <c r="C690" s="397" t="s">
        <v>1757</v>
      </c>
      <c r="D690" s="261">
        <v>551.77</v>
      </c>
      <c r="E690" s="276" t="s">
        <v>212</v>
      </c>
      <c r="F690" t="s">
        <v>1482</v>
      </c>
    </row>
    <row r="691" spans="1:6" ht="15.75" customHeight="1">
      <c r="A691" s="274">
        <v>46162</v>
      </c>
      <c r="B691" s="396" t="s">
        <v>214</v>
      </c>
      <c r="C691" s="397" t="s">
        <v>1758</v>
      </c>
      <c r="D691" s="261">
        <v>733.33</v>
      </c>
      <c r="E691" s="276" t="s">
        <v>212</v>
      </c>
      <c r="F691" t="s">
        <v>1482</v>
      </c>
    </row>
    <row r="692" spans="1:6" ht="15.75" customHeight="1">
      <c r="A692" s="274">
        <v>46162</v>
      </c>
      <c r="B692" s="259" t="s">
        <v>547</v>
      </c>
      <c r="C692" s="399">
        <v>12460</v>
      </c>
      <c r="D692" s="261">
        <v>430.13</v>
      </c>
      <c r="E692" s="276" t="s">
        <v>212</v>
      </c>
      <c r="F692" t="s">
        <v>1482</v>
      </c>
    </row>
    <row r="693" spans="1:6" ht="15.75" customHeight="1">
      <c r="A693" s="274">
        <v>46163</v>
      </c>
      <c r="B693" s="262" t="s">
        <v>225</v>
      </c>
      <c r="C693" s="398">
        <v>12526</v>
      </c>
      <c r="D693" s="261">
        <v>95</v>
      </c>
      <c r="E693" s="276" t="s">
        <v>212</v>
      </c>
      <c r="F693" t="s">
        <v>1482</v>
      </c>
    </row>
    <row r="694" spans="1:6" ht="15.75" customHeight="1">
      <c r="A694" s="274">
        <v>46163</v>
      </c>
      <c r="B694" s="259" t="s">
        <v>438</v>
      </c>
      <c r="C694" s="399">
        <v>12523</v>
      </c>
      <c r="D694" s="261">
        <v>371</v>
      </c>
      <c r="E694" s="276" t="s">
        <v>212</v>
      </c>
      <c r="F694" t="s">
        <v>1482</v>
      </c>
    </row>
    <row r="695" spans="1:6" ht="15.75" customHeight="1">
      <c r="A695" s="274">
        <v>46163</v>
      </c>
      <c r="B695" s="258" t="s">
        <v>1759</v>
      </c>
      <c r="C695" s="275">
        <v>12521</v>
      </c>
      <c r="D695" s="261">
        <v>443</v>
      </c>
      <c r="E695" s="276" t="s">
        <v>212</v>
      </c>
      <c r="F695" t="s">
        <v>1482</v>
      </c>
    </row>
    <row r="696" spans="1:6" ht="15.75" customHeight="1">
      <c r="A696" s="274">
        <v>46163</v>
      </c>
      <c r="B696" s="258" t="s">
        <v>230</v>
      </c>
      <c r="C696" s="275">
        <v>12506</v>
      </c>
      <c r="D696" s="261">
        <v>844.27</v>
      </c>
      <c r="E696" s="276" t="s">
        <v>212</v>
      </c>
      <c r="F696" t="s">
        <v>1482</v>
      </c>
    </row>
    <row r="697" spans="1:6" ht="15.75" customHeight="1">
      <c r="A697" s="274">
        <v>46163</v>
      </c>
      <c r="B697" s="258" t="s">
        <v>277</v>
      </c>
      <c r="C697" s="275">
        <v>12503</v>
      </c>
      <c r="D697" s="261">
        <v>708.75</v>
      </c>
      <c r="E697" s="276" t="s">
        <v>212</v>
      </c>
      <c r="F697" t="s">
        <v>1482</v>
      </c>
    </row>
    <row r="698" spans="1:6" ht="15.75" customHeight="1">
      <c r="A698" s="274">
        <v>46163</v>
      </c>
      <c r="B698" s="259" t="s">
        <v>445</v>
      </c>
      <c r="C698" s="399">
        <v>12385</v>
      </c>
      <c r="D698" s="261">
        <v>1843.2</v>
      </c>
      <c r="E698" s="276" t="s">
        <v>212</v>
      </c>
      <c r="F698" t="s">
        <v>1482</v>
      </c>
    </row>
    <row r="699" spans="1:6" ht="15.75" customHeight="1">
      <c r="A699" s="274">
        <v>46164</v>
      </c>
      <c r="B699" s="262" t="s">
        <v>331</v>
      </c>
      <c r="C699" s="398">
        <v>12570</v>
      </c>
      <c r="D699" s="261">
        <v>160</v>
      </c>
      <c r="E699" s="276" t="s">
        <v>212</v>
      </c>
      <c r="F699" t="s">
        <v>1482</v>
      </c>
    </row>
    <row r="700" spans="1:6" ht="15.75" customHeight="1">
      <c r="A700" s="274">
        <v>46164</v>
      </c>
      <c r="B700" s="259" t="s">
        <v>1740</v>
      </c>
      <c r="C700" s="399">
        <v>12653</v>
      </c>
      <c r="D700" s="261">
        <v>56</v>
      </c>
      <c r="E700" s="276" t="s">
        <v>212</v>
      </c>
      <c r="F700" t="s">
        <v>1482</v>
      </c>
    </row>
    <row r="701" spans="1:6" ht="15.75" customHeight="1">
      <c r="A701" s="274">
        <v>46164</v>
      </c>
      <c r="B701" s="262" t="s">
        <v>1760</v>
      </c>
      <c r="C701" s="398">
        <v>12681</v>
      </c>
      <c r="D701" s="261">
        <v>70</v>
      </c>
      <c r="E701" s="276" t="s">
        <v>212</v>
      </c>
      <c r="F701" t="s">
        <v>1482</v>
      </c>
    </row>
    <row r="702" spans="1:6" ht="15.75" customHeight="1">
      <c r="A702" s="274">
        <v>46164</v>
      </c>
      <c r="B702" s="259" t="s">
        <v>1761</v>
      </c>
      <c r="C702" s="399">
        <v>12533</v>
      </c>
      <c r="D702" s="261">
        <v>803.5</v>
      </c>
      <c r="E702" s="276" t="s">
        <v>212</v>
      </c>
      <c r="F702" t="s">
        <v>1482</v>
      </c>
    </row>
    <row r="703" spans="1:6" ht="15.75" customHeight="1">
      <c r="A703" s="274">
        <v>46164</v>
      </c>
      <c r="B703" s="281" t="s">
        <v>337</v>
      </c>
      <c r="C703" s="278">
        <v>12532</v>
      </c>
      <c r="D703" s="261">
        <v>416.34</v>
      </c>
      <c r="E703" s="276" t="s">
        <v>212</v>
      </c>
      <c r="F703" t="s">
        <v>1482</v>
      </c>
    </row>
    <row r="704" spans="1:6" ht="15.75" customHeight="1">
      <c r="A704" s="274">
        <v>46164</v>
      </c>
      <c r="B704" s="279" t="s">
        <v>1186</v>
      </c>
      <c r="C704" s="280">
        <v>12531</v>
      </c>
      <c r="D704" s="261">
        <v>557</v>
      </c>
      <c r="E704" s="276" t="s">
        <v>212</v>
      </c>
      <c r="F704" t="s">
        <v>1482</v>
      </c>
    </row>
    <row r="705" spans="1:6" ht="15.75" customHeight="1">
      <c r="A705" s="274">
        <v>46164</v>
      </c>
      <c r="B705" s="258" t="s">
        <v>491</v>
      </c>
      <c r="C705" s="275">
        <v>12530</v>
      </c>
      <c r="D705" s="261">
        <v>295.60000000000002</v>
      </c>
      <c r="E705" s="276" t="s">
        <v>212</v>
      </c>
      <c r="F705" t="s">
        <v>1482</v>
      </c>
    </row>
    <row r="706" spans="1:6" ht="15.75" customHeight="1">
      <c r="A706" s="274">
        <v>46164</v>
      </c>
      <c r="B706" s="279" t="s">
        <v>214</v>
      </c>
      <c r="C706" s="280">
        <v>12529</v>
      </c>
      <c r="D706" s="261">
        <v>584</v>
      </c>
      <c r="E706" s="276" t="s">
        <v>212</v>
      </c>
      <c r="F706" t="s">
        <v>1482</v>
      </c>
    </row>
    <row r="707" spans="1:6" ht="15.75" customHeight="1">
      <c r="A707" s="274">
        <v>46164</v>
      </c>
      <c r="B707" s="258" t="s">
        <v>445</v>
      </c>
      <c r="C707" s="275">
        <v>12527</v>
      </c>
      <c r="D707" s="261">
        <v>844.92</v>
      </c>
      <c r="E707" s="276" t="s">
        <v>212</v>
      </c>
      <c r="F707" t="s">
        <v>1482</v>
      </c>
    </row>
    <row r="708" spans="1:6" ht="15.75" customHeight="1">
      <c r="A708" s="274">
        <v>46167</v>
      </c>
      <c r="B708" s="262" t="s">
        <v>314</v>
      </c>
      <c r="C708" s="398">
        <v>12452</v>
      </c>
      <c r="D708" s="261">
        <v>1171.78</v>
      </c>
      <c r="E708" s="276" t="s">
        <v>212</v>
      </c>
      <c r="F708" t="s">
        <v>1482</v>
      </c>
    </row>
    <row r="709" spans="1:6" ht="15.75" customHeight="1">
      <c r="A709" s="274">
        <v>46167</v>
      </c>
      <c r="B709" s="259" t="s">
        <v>348</v>
      </c>
      <c r="C709" s="399">
        <v>12664</v>
      </c>
      <c r="D709" s="261">
        <v>214.8</v>
      </c>
      <c r="E709" s="276" t="s">
        <v>212</v>
      </c>
      <c r="F709" t="s">
        <v>1482</v>
      </c>
    </row>
    <row r="710" spans="1:6" ht="15.75" customHeight="1">
      <c r="A710" s="274">
        <v>46167</v>
      </c>
      <c r="B710" s="262" t="s">
        <v>1172</v>
      </c>
      <c r="C710" s="398">
        <v>12694</v>
      </c>
      <c r="D710" s="261">
        <v>1418</v>
      </c>
      <c r="E710" s="276" t="s">
        <v>212</v>
      </c>
      <c r="F710" t="s">
        <v>1482</v>
      </c>
    </row>
    <row r="711" spans="1:6" ht="15.75" customHeight="1">
      <c r="A711" s="274">
        <v>46167</v>
      </c>
      <c r="B711" s="259" t="s">
        <v>1268</v>
      </c>
      <c r="C711" s="399">
        <v>12686</v>
      </c>
      <c r="D711" s="261">
        <v>170</v>
      </c>
      <c r="E711" s="276" t="s">
        <v>212</v>
      </c>
      <c r="F711" t="s">
        <v>1482</v>
      </c>
    </row>
    <row r="712" spans="1:6" ht="15.75" customHeight="1">
      <c r="A712" s="274">
        <v>46167</v>
      </c>
      <c r="B712" s="396" t="s">
        <v>234</v>
      </c>
      <c r="C712" s="397" t="s">
        <v>1762</v>
      </c>
      <c r="D712" s="261">
        <v>316.43</v>
      </c>
      <c r="E712" s="276" t="s">
        <v>212</v>
      </c>
      <c r="F712" t="s">
        <v>1482</v>
      </c>
    </row>
    <row r="713" spans="1:6" ht="15.75" customHeight="1">
      <c r="A713" s="274">
        <v>46167</v>
      </c>
      <c r="B713" s="396" t="s">
        <v>234</v>
      </c>
      <c r="C713" s="397" t="s">
        <v>1763</v>
      </c>
      <c r="D713" s="261">
        <v>502</v>
      </c>
      <c r="E713" s="276" t="s">
        <v>212</v>
      </c>
      <c r="F713" t="s">
        <v>1482</v>
      </c>
    </row>
    <row r="714" spans="1:6" ht="15.75" customHeight="1">
      <c r="A714" s="274">
        <v>46167</v>
      </c>
      <c r="B714" s="396" t="s">
        <v>300</v>
      </c>
      <c r="C714" s="397" t="s">
        <v>1764</v>
      </c>
      <c r="D714" s="261">
        <v>1211.9100000000001</v>
      </c>
      <c r="E714" s="276" t="s">
        <v>212</v>
      </c>
      <c r="F714" t="s">
        <v>1482</v>
      </c>
    </row>
    <row r="715" spans="1:6" ht="15.75" customHeight="1">
      <c r="A715" s="274">
        <v>46167</v>
      </c>
      <c r="B715" s="396" t="s">
        <v>214</v>
      </c>
      <c r="C715" s="397" t="s">
        <v>1765</v>
      </c>
      <c r="D715" s="261">
        <v>1163.75</v>
      </c>
      <c r="E715" s="276" t="s">
        <v>212</v>
      </c>
      <c r="F715" t="s">
        <v>1482</v>
      </c>
    </row>
    <row r="716" spans="1:6" ht="15.75" customHeight="1">
      <c r="A716" s="274">
        <v>46168</v>
      </c>
      <c r="B716" s="262" t="s">
        <v>548</v>
      </c>
      <c r="C716" s="398">
        <v>12692</v>
      </c>
      <c r="D716" s="261">
        <v>438</v>
      </c>
      <c r="E716" s="276" t="s">
        <v>212</v>
      </c>
      <c r="F716" t="s">
        <v>1482</v>
      </c>
    </row>
    <row r="717" spans="1:6" ht="15.75" customHeight="1">
      <c r="A717" s="274">
        <v>46168</v>
      </c>
      <c r="B717" s="259" t="s">
        <v>1766</v>
      </c>
      <c r="C717" s="399">
        <v>12677</v>
      </c>
      <c r="D717" s="261">
        <v>165.15</v>
      </c>
      <c r="E717" s="276" t="s">
        <v>212</v>
      </c>
      <c r="F717" t="s">
        <v>1482</v>
      </c>
    </row>
    <row r="718" spans="1:6" ht="15.75" customHeight="1">
      <c r="A718" s="274">
        <v>46168</v>
      </c>
      <c r="B718" s="394" t="s">
        <v>1317</v>
      </c>
      <c r="C718" s="395" t="s">
        <v>1767</v>
      </c>
      <c r="D718" s="261">
        <v>280</v>
      </c>
      <c r="E718" s="276" t="s">
        <v>212</v>
      </c>
      <c r="F718" t="s">
        <v>1482</v>
      </c>
    </row>
    <row r="719" spans="1:6" ht="15.75" customHeight="1">
      <c r="A719" s="274">
        <v>46168</v>
      </c>
      <c r="B719" s="394" t="s">
        <v>96</v>
      </c>
      <c r="C719" s="395" t="s">
        <v>1768</v>
      </c>
      <c r="D719" s="261">
        <v>336</v>
      </c>
      <c r="E719" s="276" t="s">
        <v>212</v>
      </c>
      <c r="F719" t="s">
        <v>1482</v>
      </c>
    </row>
    <row r="720" spans="1:6" ht="15.75" customHeight="1">
      <c r="A720" s="274">
        <v>46168</v>
      </c>
      <c r="B720" s="394" t="s">
        <v>300</v>
      </c>
      <c r="C720" s="395" t="s">
        <v>1769</v>
      </c>
      <c r="D720" s="261">
        <v>1165.5</v>
      </c>
      <c r="E720" s="276" t="s">
        <v>212</v>
      </c>
      <c r="F720" t="s">
        <v>1482</v>
      </c>
    </row>
    <row r="721" spans="1:6" ht="15.75" customHeight="1">
      <c r="A721" s="274">
        <v>46168</v>
      </c>
      <c r="B721" s="394" t="s">
        <v>281</v>
      </c>
      <c r="C721" s="395" t="s">
        <v>1770</v>
      </c>
      <c r="D721" s="261">
        <v>301.10000000000002</v>
      </c>
      <c r="E721" s="276" t="s">
        <v>212</v>
      </c>
      <c r="F721" t="s">
        <v>1482</v>
      </c>
    </row>
    <row r="722" spans="1:6" ht="15.75" customHeight="1">
      <c r="A722" s="274">
        <v>46168</v>
      </c>
      <c r="B722" s="394" t="s">
        <v>281</v>
      </c>
      <c r="C722" s="395" t="s">
        <v>1771</v>
      </c>
      <c r="D722" s="261">
        <v>810.29</v>
      </c>
      <c r="E722" s="276" t="s">
        <v>212</v>
      </c>
      <c r="F722" t="s">
        <v>1482</v>
      </c>
    </row>
    <row r="723" spans="1:6" ht="15.75" customHeight="1">
      <c r="A723" s="274">
        <v>46168</v>
      </c>
      <c r="B723" s="394" t="s">
        <v>300</v>
      </c>
      <c r="C723" s="395" t="s">
        <v>1772</v>
      </c>
      <c r="D723" s="261">
        <v>4732.7700000000004</v>
      </c>
      <c r="E723" s="276" t="s">
        <v>212</v>
      </c>
      <c r="F723" t="s">
        <v>1482</v>
      </c>
    </row>
    <row r="724" spans="1:6" ht="15.75" customHeight="1">
      <c r="A724" s="274">
        <v>46168</v>
      </c>
      <c r="B724" s="394" t="s">
        <v>214</v>
      </c>
      <c r="C724" s="395" t="s">
        <v>1773</v>
      </c>
      <c r="D724" s="261">
        <v>4545.7700000000004</v>
      </c>
      <c r="E724" s="276" t="s">
        <v>212</v>
      </c>
      <c r="F724" t="s">
        <v>1482</v>
      </c>
    </row>
    <row r="725" spans="1:6" ht="15.75" customHeight="1">
      <c r="A725" s="274">
        <v>46169</v>
      </c>
      <c r="B725" s="394" t="s">
        <v>508</v>
      </c>
      <c r="C725" s="395" t="s">
        <v>1774</v>
      </c>
      <c r="D725" s="261">
        <v>797</v>
      </c>
      <c r="E725" s="276" t="s">
        <v>212</v>
      </c>
      <c r="F725" t="s">
        <v>1482</v>
      </c>
    </row>
    <row r="726" spans="1:6" ht="15.75" customHeight="1">
      <c r="A726" s="274">
        <v>46169</v>
      </c>
      <c r="B726" s="394" t="s">
        <v>234</v>
      </c>
      <c r="C726" s="395" t="s">
        <v>1775</v>
      </c>
      <c r="D726" s="261">
        <v>1032.8</v>
      </c>
      <c r="E726" s="276" t="s">
        <v>212</v>
      </c>
      <c r="F726" t="s">
        <v>1482</v>
      </c>
    </row>
    <row r="727" spans="1:6" ht="15.75" customHeight="1">
      <c r="A727" s="274">
        <v>46169</v>
      </c>
      <c r="B727" s="394" t="s">
        <v>382</v>
      </c>
      <c r="C727" s="395" t="s">
        <v>1776</v>
      </c>
      <c r="D727" s="261">
        <v>943.6</v>
      </c>
      <c r="E727" s="276" t="s">
        <v>212</v>
      </c>
      <c r="F727" t="s">
        <v>1482</v>
      </c>
    </row>
    <row r="728" spans="1:6" ht="15.75" customHeight="1">
      <c r="A728" s="274">
        <v>46169</v>
      </c>
      <c r="B728" s="394" t="s">
        <v>562</v>
      </c>
      <c r="C728" s="395" t="s">
        <v>1777</v>
      </c>
      <c r="D728" s="261">
        <v>384</v>
      </c>
      <c r="E728" s="276" t="s">
        <v>212</v>
      </c>
      <c r="F728" t="s">
        <v>1482</v>
      </c>
    </row>
    <row r="729" spans="1:6" ht="15.75" customHeight="1">
      <c r="A729" s="274">
        <v>46169</v>
      </c>
      <c r="B729" s="394" t="s">
        <v>234</v>
      </c>
      <c r="C729" s="395" t="s">
        <v>1778</v>
      </c>
      <c r="D729" s="261">
        <v>1197.8399999999999</v>
      </c>
      <c r="E729" s="276" t="s">
        <v>212</v>
      </c>
      <c r="F729" t="s">
        <v>1482</v>
      </c>
    </row>
    <row r="730" spans="1:6" ht="15.75" customHeight="1">
      <c r="A730" s="274">
        <v>46169</v>
      </c>
      <c r="B730" s="394" t="s">
        <v>214</v>
      </c>
      <c r="C730" s="395" t="s">
        <v>1779</v>
      </c>
      <c r="D730" s="261">
        <v>733.33</v>
      </c>
      <c r="E730" s="276" t="s">
        <v>212</v>
      </c>
      <c r="F730" t="s">
        <v>1482</v>
      </c>
    </row>
    <row r="731" spans="1:6" ht="15.75" customHeight="1">
      <c r="A731" s="274">
        <v>46169</v>
      </c>
      <c r="B731" s="394" t="s">
        <v>214</v>
      </c>
      <c r="C731" s="395" t="s">
        <v>1780</v>
      </c>
      <c r="D731" s="261">
        <v>551.77</v>
      </c>
      <c r="E731" s="276" t="s">
        <v>212</v>
      </c>
      <c r="F731" t="s">
        <v>1482</v>
      </c>
    </row>
    <row r="732" spans="1:6" ht="15.75" customHeight="1">
      <c r="A732" s="274">
        <v>46170</v>
      </c>
      <c r="B732" s="259" t="s">
        <v>588</v>
      </c>
      <c r="C732" s="275" t="s">
        <v>589</v>
      </c>
      <c r="D732" s="261">
        <v>352.5</v>
      </c>
      <c r="E732" s="276" t="s">
        <v>212</v>
      </c>
      <c r="F732" t="s">
        <v>1482</v>
      </c>
    </row>
    <row r="733" spans="1:6" ht="15.75" customHeight="1">
      <c r="A733" s="274">
        <v>46170</v>
      </c>
      <c r="B733" s="396" t="s">
        <v>214</v>
      </c>
      <c r="C733" s="397" t="s">
        <v>1781</v>
      </c>
      <c r="D733" s="261">
        <v>943.78</v>
      </c>
      <c r="E733" s="276" t="s">
        <v>212</v>
      </c>
      <c r="F733" t="s">
        <v>1482</v>
      </c>
    </row>
    <row r="734" spans="1:6" ht="15.75" customHeight="1">
      <c r="A734" s="274">
        <v>46170</v>
      </c>
      <c r="B734" s="396" t="s">
        <v>396</v>
      </c>
      <c r="C734" s="397" t="s">
        <v>1782</v>
      </c>
      <c r="D734" s="261">
        <v>655.5</v>
      </c>
      <c r="E734" s="276" t="s">
        <v>212</v>
      </c>
      <c r="F734" t="s">
        <v>1482</v>
      </c>
    </row>
    <row r="735" spans="1:6" ht="15.75" customHeight="1">
      <c r="A735" s="274">
        <v>46170</v>
      </c>
      <c r="B735" s="396" t="s">
        <v>100</v>
      </c>
      <c r="C735" s="397" t="s">
        <v>1783</v>
      </c>
      <c r="D735" s="261">
        <v>1554.5</v>
      </c>
      <c r="E735" s="276" t="s">
        <v>212</v>
      </c>
      <c r="F735" t="s">
        <v>1482</v>
      </c>
    </row>
    <row r="736" spans="1:6" ht="15.75" customHeight="1">
      <c r="A736" s="274">
        <v>46170</v>
      </c>
      <c r="B736" s="396" t="s">
        <v>234</v>
      </c>
      <c r="C736" s="397" t="s">
        <v>1784</v>
      </c>
      <c r="D736" s="261">
        <v>728.8</v>
      </c>
      <c r="E736" s="276" t="s">
        <v>212</v>
      </c>
      <c r="F736" t="s">
        <v>1482</v>
      </c>
    </row>
    <row r="737" spans="1:6" ht="15.75" customHeight="1">
      <c r="A737" s="274">
        <v>46170</v>
      </c>
      <c r="B737" s="396" t="s">
        <v>105</v>
      </c>
      <c r="C737" s="397" t="s">
        <v>1785</v>
      </c>
      <c r="D737" s="261">
        <v>570</v>
      </c>
      <c r="E737" s="276" t="s">
        <v>212</v>
      </c>
      <c r="F737" t="s">
        <v>1482</v>
      </c>
    </row>
    <row r="738" spans="1:6" ht="15.75" customHeight="1">
      <c r="A738" s="274">
        <v>46170</v>
      </c>
      <c r="B738" s="396" t="s">
        <v>1313</v>
      </c>
      <c r="C738" s="397" t="s">
        <v>1786</v>
      </c>
      <c r="D738" s="261">
        <v>393.2</v>
      </c>
      <c r="E738" s="276" t="s">
        <v>212</v>
      </c>
      <c r="F738" t="s">
        <v>1482</v>
      </c>
    </row>
    <row r="739" spans="1:6" ht="15.75" customHeight="1">
      <c r="A739" s="274">
        <v>46170</v>
      </c>
      <c r="B739" s="396" t="s">
        <v>230</v>
      </c>
      <c r="C739" s="397" t="s">
        <v>1787</v>
      </c>
      <c r="D739" s="261">
        <v>844.27</v>
      </c>
      <c r="E739" s="276" t="s">
        <v>212</v>
      </c>
      <c r="F739" t="s">
        <v>1482</v>
      </c>
    </row>
    <row r="740" spans="1:6" ht="15.75" customHeight="1">
      <c r="A740" s="274">
        <v>46170</v>
      </c>
      <c r="B740" s="396" t="s">
        <v>1788</v>
      </c>
      <c r="C740" s="397">
        <v>12632</v>
      </c>
      <c r="D740" s="261">
        <v>118.5</v>
      </c>
      <c r="E740" s="276" t="s">
        <v>212</v>
      </c>
      <c r="F740" t="s">
        <v>1482</v>
      </c>
    </row>
    <row r="741" spans="1:6" ht="15.75" customHeight="1">
      <c r="A741" s="274">
        <v>46171</v>
      </c>
      <c r="B741" s="400" t="s">
        <v>1789</v>
      </c>
      <c r="C741" s="397">
        <v>12690</v>
      </c>
      <c r="D741" s="261">
        <v>127.5</v>
      </c>
      <c r="E741" s="276" t="s">
        <v>212</v>
      </c>
      <c r="F741" t="s">
        <v>1482</v>
      </c>
    </row>
    <row r="742" spans="1:6" ht="15.75" customHeight="1">
      <c r="A742" s="274">
        <v>46171</v>
      </c>
      <c r="B742" s="400" t="s">
        <v>337</v>
      </c>
      <c r="C742" s="397">
        <v>12532</v>
      </c>
      <c r="D742" s="261">
        <v>416.33</v>
      </c>
      <c r="E742" s="276" t="s">
        <v>212</v>
      </c>
      <c r="F742" t="s">
        <v>1482</v>
      </c>
    </row>
    <row r="743" spans="1:6" ht="15.75" customHeight="1">
      <c r="A743" s="274">
        <v>46171</v>
      </c>
      <c r="B743" s="396" t="s">
        <v>1186</v>
      </c>
      <c r="C743" s="397">
        <v>12531</v>
      </c>
      <c r="D743" s="261">
        <v>557</v>
      </c>
      <c r="E743" s="276" t="s">
        <v>212</v>
      </c>
      <c r="F743" t="s">
        <v>1482</v>
      </c>
    </row>
    <row r="744" spans="1:6" ht="15.75" customHeight="1">
      <c r="A744" s="274">
        <v>46171</v>
      </c>
      <c r="B744" s="396" t="s">
        <v>445</v>
      </c>
      <c r="C744" s="275">
        <v>12527</v>
      </c>
      <c r="D744" s="429">
        <v>844.92</v>
      </c>
      <c r="E744" s="276" t="s">
        <v>212</v>
      </c>
      <c r="F744" t="s">
        <v>1482</v>
      </c>
    </row>
    <row r="745" spans="1:6" ht="15.75" customHeight="1">
      <c r="A745" s="274">
        <v>46147</v>
      </c>
      <c r="B745" s="284" t="s">
        <v>1790</v>
      </c>
      <c r="C745" s="285">
        <v>12435</v>
      </c>
      <c r="D745" s="273">
        <v>216</v>
      </c>
      <c r="E745" s="276" t="s">
        <v>341</v>
      </c>
      <c r="F745" t="s">
        <v>1482</v>
      </c>
    </row>
    <row r="746" spans="1:6" ht="15.75" customHeight="1">
      <c r="A746" s="274">
        <v>46154</v>
      </c>
      <c r="B746" s="264" t="s">
        <v>1791</v>
      </c>
      <c r="C746" s="286" t="s">
        <v>267</v>
      </c>
      <c r="D746" s="287">
        <v>624.6</v>
      </c>
      <c r="E746" s="276" t="s">
        <v>341</v>
      </c>
      <c r="F746" t="s">
        <v>1482</v>
      </c>
    </row>
    <row r="747" spans="1:6" ht="15.75" customHeight="1">
      <c r="A747" s="274">
        <v>46154</v>
      </c>
      <c r="B747" s="62" t="s">
        <v>754</v>
      </c>
      <c r="C747" s="63" t="s">
        <v>110</v>
      </c>
      <c r="D747" s="64">
        <v>4855</v>
      </c>
      <c r="E747" s="276" t="s">
        <v>341</v>
      </c>
      <c r="F747" t="s">
        <v>1482</v>
      </c>
    </row>
    <row r="748" spans="1:6" ht="15.75" customHeight="1">
      <c r="A748" s="274">
        <v>46156</v>
      </c>
      <c r="B748" s="426" t="s">
        <v>485</v>
      </c>
      <c r="C748" s="427" t="s">
        <v>1792</v>
      </c>
      <c r="D748" s="428">
        <v>740.06</v>
      </c>
      <c r="E748" s="276" t="s">
        <v>341</v>
      </c>
      <c r="F748" t="s">
        <v>1482</v>
      </c>
    </row>
    <row r="749" spans="1:6" ht="15.75" customHeight="1">
      <c r="A749" s="274">
        <v>46161</v>
      </c>
      <c r="B749" s="264" t="s">
        <v>1791</v>
      </c>
      <c r="C749" s="286" t="s">
        <v>267</v>
      </c>
      <c r="D749" s="287">
        <v>624.6</v>
      </c>
      <c r="E749" s="276" t="s">
        <v>341</v>
      </c>
      <c r="F749" t="s">
        <v>1482</v>
      </c>
    </row>
    <row r="750" spans="1:6" ht="15.75" customHeight="1">
      <c r="A750" s="274">
        <v>46171</v>
      </c>
      <c r="B750" s="264" t="s">
        <v>1791</v>
      </c>
      <c r="C750" s="286" t="s">
        <v>267</v>
      </c>
      <c r="D750" s="287">
        <v>624.6</v>
      </c>
      <c r="E750" s="276" t="s">
        <v>341</v>
      </c>
      <c r="F750" t="s">
        <v>1482</v>
      </c>
    </row>
    <row r="751" spans="1:6" ht="15.75" customHeight="1">
      <c r="A751" s="274">
        <v>46175</v>
      </c>
      <c r="B751" s="264" t="s">
        <v>1791</v>
      </c>
      <c r="C751" s="286" t="s">
        <v>267</v>
      </c>
      <c r="D751" s="287">
        <v>624.6</v>
      </c>
      <c r="E751" s="276" t="s">
        <v>341</v>
      </c>
      <c r="F751" t="s">
        <v>1565</v>
      </c>
    </row>
    <row r="752" spans="1:6" ht="15.75" customHeight="1">
      <c r="A752" s="274">
        <v>46189</v>
      </c>
      <c r="B752" s="264" t="s">
        <v>1793</v>
      </c>
      <c r="C752" s="286" t="s">
        <v>1794</v>
      </c>
      <c r="D752" s="287">
        <v>5000</v>
      </c>
      <c r="E752" s="276" t="s">
        <v>341</v>
      </c>
      <c r="F752" t="s">
        <v>1565</v>
      </c>
    </row>
    <row r="753" spans="1:6" ht="15.75" customHeight="1">
      <c r="A753" s="274">
        <v>46174</v>
      </c>
      <c r="B753" s="274" t="s">
        <v>331</v>
      </c>
      <c r="C753" s="405">
        <v>12573</v>
      </c>
      <c r="D753" s="261">
        <v>321.45</v>
      </c>
      <c r="E753" s="276" t="s">
        <v>212</v>
      </c>
      <c r="F753" t="s">
        <v>1565</v>
      </c>
    </row>
    <row r="754" spans="1:6" ht="15.75" customHeight="1">
      <c r="A754" s="274">
        <v>46174</v>
      </c>
      <c r="B754" s="394" t="s">
        <v>76</v>
      </c>
      <c r="C754" s="405">
        <v>12451</v>
      </c>
      <c r="D754" s="261">
        <v>500</v>
      </c>
      <c r="E754" s="276" t="s">
        <v>212</v>
      </c>
      <c r="F754" t="s">
        <v>1565</v>
      </c>
    </row>
    <row r="755" spans="1:6" ht="15.75" customHeight="1">
      <c r="A755" s="274">
        <v>46174</v>
      </c>
      <c r="B755" s="258" t="s">
        <v>1257</v>
      </c>
      <c r="C755" s="264" t="s">
        <v>1795</v>
      </c>
      <c r="D755" s="261">
        <v>695.25</v>
      </c>
      <c r="E755" s="276" t="s">
        <v>212</v>
      </c>
      <c r="F755" t="s">
        <v>1565</v>
      </c>
    </row>
    <row r="756" spans="1:6" ht="15.75" customHeight="1">
      <c r="A756" s="274">
        <v>46174</v>
      </c>
      <c r="B756" s="258" t="s">
        <v>394</v>
      </c>
      <c r="C756" s="264" t="s">
        <v>1796</v>
      </c>
      <c r="D756" s="261">
        <v>2911.3</v>
      </c>
      <c r="E756" s="276" t="s">
        <v>212</v>
      </c>
      <c r="F756" t="s">
        <v>1565</v>
      </c>
    </row>
    <row r="757" spans="1:6" ht="15.75" customHeight="1">
      <c r="A757" s="274">
        <v>46174</v>
      </c>
      <c r="B757" s="258" t="s">
        <v>214</v>
      </c>
      <c r="C757" s="264" t="s">
        <v>1797</v>
      </c>
      <c r="D757" s="261">
        <v>316</v>
      </c>
      <c r="E757" s="276" t="s">
        <v>212</v>
      </c>
      <c r="F757" t="s">
        <v>1565</v>
      </c>
    </row>
    <row r="758" spans="1:6" ht="15.75" customHeight="1">
      <c r="A758" s="274">
        <v>46174</v>
      </c>
      <c r="B758" s="258" t="s">
        <v>234</v>
      </c>
      <c r="C758" s="264" t="s">
        <v>1798</v>
      </c>
      <c r="D758" s="261">
        <v>5545.98</v>
      </c>
      <c r="E758" s="276" t="s">
        <v>212</v>
      </c>
      <c r="F758" t="s">
        <v>1565</v>
      </c>
    </row>
    <row r="759" spans="1:6" ht="15.75" customHeight="1">
      <c r="A759" s="274">
        <v>46174</v>
      </c>
      <c r="B759" s="258" t="s">
        <v>1317</v>
      </c>
      <c r="C759" s="264" t="s">
        <v>1799</v>
      </c>
      <c r="D759" s="261">
        <v>3729</v>
      </c>
      <c r="E759" s="276" t="s">
        <v>212</v>
      </c>
      <c r="F759" t="s">
        <v>1565</v>
      </c>
    </row>
    <row r="760" spans="1:6" ht="15.75" customHeight="1">
      <c r="A760" s="274">
        <v>46174</v>
      </c>
      <c r="B760" s="258" t="s">
        <v>1317</v>
      </c>
      <c r="C760" s="264" t="s">
        <v>1800</v>
      </c>
      <c r="D760" s="261">
        <v>1643.75</v>
      </c>
      <c r="E760" s="276" t="s">
        <v>212</v>
      </c>
      <c r="F760" t="s">
        <v>1565</v>
      </c>
    </row>
    <row r="761" spans="1:6" ht="15.75" customHeight="1">
      <c r="A761" s="274">
        <v>46175</v>
      </c>
      <c r="B761" s="258" t="s">
        <v>1735</v>
      </c>
      <c r="C761" s="264" t="s">
        <v>1801</v>
      </c>
      <c r="D761" s="261">
        <v>1307.6300000000001</v>
      </c>
      <c r="E761" s="276" t="s">
        <v>212</v>
      </c>
      <c r="F761" t="s">
        <v>1565</v>
      </c>
    </row>
    <row r="762" spans="1:6" ht="15.75" customHeight="1">
      <c r="A762" s="274">
        <v>46174</v>
      </c>
      <c r="B762" s="258" t="s">
        <v>319</v>
      </c>
      <c r="C762" s="264" t="s">
        <v>1802</v>
      </c>
      <c r="D762" s="261">
        <v>851.8</v>
      </c>
      <c r="E762" s="276" t="s">
        <v>212</v>
      </c>
      <c r="F762" t="s">
        <v>1565</v>
      </c>
    </row>
    <row r="763" spans="1:6" ht="15.75" customHeight="1">
      <c r="A763" s="274">
        <v>46175</v>
      </c>
      <c r="B763" s="258" t="s">
        <v>331</v>
      </c>
      <c r="C763" s="402" t="s">
        <v>1803</v>
      </c>
      <c r="D763" s="261">
        <v>175</v>
      </c>
      <c r="E763" s="276" t="s">
        <v>212</v>
      </c>
      <c r="F763" t="s">
        <v>1565</v>
      </c>
    </row>
    <row r="764" spans="1:6" ht="15.75" customHeight="1">
      <c r="A764" s="274">
        <v>46175</v>
      </c>
      <c r="B764" s="258" t="s">
        <v>380</v>
      </c>
      <c r="C764" s="264" t="s">
        <v>1804</v>
      </c>
      <c r="D764" s="261">
        <v>2428.6</v>
      </c>
      <c r="E764" s="276" t="s">
        <v>212</v>
      </c>
      <c r="F764" t="s">
        <v>1565</v>
      </c>
    </row>
    <row r="765" spans="1:6" ht="15.75" customHeight="1">
      <c r="A765" s="274">
        <v>46175</v>
      </c>
      <c r="B765" s="258" t="s">
        <v>491</v>
      </c>
      <c r="C765" s="264" t="s">
        <v>1805</v>
      </c>
      <c r="D765" s="261">
        <v>338</v>
      </c>
      <c r="E765" s="276" t="s">
        <v>212</v>
      </c>
      <c r="F765" t="s">
        <v>1565</v>
      </c>
    </row>
    <row r="766" spans="1:6" ht="15.75" customHeight="1">
      <c r="A766" s="274">
        <v>46175</v>
      </c>
      <c r="B766" s="258" t="s">
        <v>1806</v>
      </c>
      <c r="C766" s="264" t="s">
        <v>1807</v>
      </c>
      <c r="D766" s="261">
        <v>1878.09</v>
      </c>
      <c r="E766" s="276" t="s">
        <v>212</v>
      </c>
      <c r="F766" t="s">
        <v>1565</v>
      </c>
    </row>
    <row r="767" spans="1:6" ht="15.75" customHeight="1">
      <c r="A767" s="274">
        <v>46175</v>
      </c>
      <c r="B767" s="258" t="s">
        <v>1806</v>
      </c>
      <c r="C767" s="264" t="s">
        <v>1808</v>
      </c>
      <c r="D767" s="261">
        <v>912.54</v>
      </c>
      <c r="E767" s="276" t="s">
        <v>212</v>
      </c>
      <c r="F767" t="s">
        <v>1565</v>
      </c>
    </row>
    <row r="768" spans="1:6" ht="15.75" customHeight="1">
      <c r="A768" s="274">
        <v>46175</v>
      </c>
      <c r="B768" s="258" t="s">
        <v>1806</v>
      </c>
      <c r="C768" s="264" t="s">
        <v>1809</v>
      </c>
      <c r="D768" s="261">
        <v>894.27</v>
      </c>
      <c r="E768" s="276" t="s">
        <v>212</v>
      </c>
      <c r="F768" t="s">
        <v>1565</v>
      </c>
    </row>
    <row r="769" spans="1:6" ht="15.75" customHeight="1">
      <c r="A769" s="274">
        <v>46176</v>
      </c>
      <c r="B769" s="258" t="s">
        <v>331</v>
      </c>
      <c r="C769" s="402">
        <v>12575</v>
      </c>
      <c r="D769" s="261">
        <v>361.8</v>
      </c>
      <c r="E769" s="276" t="s">
        <v>212</v>
      </c>
      <c r="F769" t="s">
        <v>1565</v>
      </c>
    </row>
    <row r="770" spans="1:6" ht="15.75" customHeight="1">
      <c r="A770" s="274">
        <v>46176</v>
      </c>
      <c r="B770" s="258" t="s">
        <v>281</v>
      </c>
      <c r="C770" s="264" t="s">
        <v>1810</v>
      </c>
      <c r="D770" s="261">
        <v>301.27</v>
      </c>
      <c r="E770" s="276" t="s">
        <v>212</v>
      </c>
      <c r="F770" t="s">
        <v>1565</v>
      </c>
    </row>
    <row r="771" spans="1:6" ht="15.75" customHeight="1">
      <c r="A771" s="274">
        <v>46176</v>
      </c>
      <c r="B771" s="258" t="s">
        <v>105</v>
      </c>
      <c r="C771" s="264" t="s">
        <v>1811</v>
      </c>
      <c r="D771" s="261">
        <v>1319</v>
      </c>
      <c r="E771" s="276" t="s">
        <v>212</v>
      </c>
      <c r="F771" t="s">
        <v>1565</v>
      </c>
    </row>
    <row r="772" spans="1:6" ht="15.75" customHeight="1">
      <c r="A772" s="274">
        <v>46176</v>
      </c>
      <c r="B772" s="258" t="s">
        <v>300</v>
      </c>
      <c r="C772" s="264" t="s">
        <v>1812</v>
      </c>
      <c r="D772" s="261">
        <v>1192.6600000000001</v>
      </c>
      <c r="E772" s="276" t="s">
        <v>212</v>
      </c>
      <c r="F772" t="s">
        <v>1565</v>
      </c>
    </row>
    <row r="773" spans="1:6" ht="15.75" customHeight="1">
      <c r="A773" s="274">
        <v>46178</v>
      </c>
      <c r="B773" s="258" t="s">
        <v>314</v>
      </c>
      <c r="C773" s="264" t="s">
        <v>1813</v>
      </c>
      <c r="D773" s="261">
        <v>1171.78</v>
      </c>
      <c r="E773" s="276" t="s">
        <v>212</v>
      </c>
      <c r="F773" t="s">
        <v>1565</v>
      </c>
    </row>
    <row r="774" spans="1:6" ht="15.75" customHeight="1">
      <c r="A774" s="274">
        <v>46178</v>
      </c>
      <c r="B774" s="258" t="s">
        <v>314</v>
      </c>
      <c r="C774" s="264" t="s">
        <v>1814</v>
      </c>
      <c r="D774" s="261">
        <v>1586</v>
      </c>
      <c r="E774" s="276" t="s">
        <v>212</v>
      </c>
      <c r="F774" t="s">
        <v>1565</v>
      </c>
    </row>
    <row r="775" spans="1:6" ht="15.75" customHeight="1">
      <c r="A775" s="274">
        <v>46178</v>
      </c>
      <c r="B775" s="258" t="s">
        <v>1735</v>
      </c>
      <c r="C775" s="264" t="s">
        <v>1815</v>
      </c>
      <c r="D775" s="261">
        <v>1318</v>
      </c>
      <c r="E775" s="276" t="s">
        <v>212</v>
      </c>
      <c r="F775" t="s">
        <v>1565</v>
      </c>
    </row>
    <row r="776" spans="1:6" ht="15.75" customHeight="1">
      <c r="A776" s="274">
        <v>46178</v>
      </c>
      <c r="B776" s="258" t="s">
        <v>1313</v>
      </c>
      <c r="C776" s="264" t="s">
        <v>1816</v>
      </c>
      <c r="D776" s="261">
        <v>375</v>
      </c>
      <c r="E776" s="276" t="s">
        <v>212</v>
      </c>
      <c r="F776" t="s">
        <v>1565</v>
      </c>
    </row>
    <row r="777" spans="1:6" ht="15.75" customHeight="1">
      <c r="A777" s="274">
        <v>46178</v>
      </c>
      <c r="B777" s="258" t="s">
        <v>214</v>
      </c>
      <c r="C777" s="264" t="s">
        <v>1817</v>
      </c>
      <c r="D777" s="261">
        <v>943.77</v>
      </c>
      <c r="E777" s="276" t="s">
        <v>212</v>
      </c>
      <c r="F777" t="s">
        <v>1565</v>
      </c>
    </row>
    <row r="778" spans="1:6" ht="15.75" customHeight="1">
      <c r="A778" s="274">
        <v>46178</v>
      </c>
      <c r="B778" s="258" t="s">
        <v>1818</v>
      </c>
      <c r="C778" s="264" t="s">
        <v>1819</v>
      </c>
      <c r="D778" s="261">
        <v>908</v>
      </c>
      <c r="E778" s="276" t="s">
        <v>212</v>
      </c>
      <c r="F778" t="s">
        <v>1565</v>
      </c>
    </row>
    <row r="779" spans="1:6" ht="15.75" customHeight="1">
      <c r="A779" s="274">
        <v>46178</v>
      </c>
      <c r="B779" s="258" t="s">
        <v>380</v>
      </c>
      <c r="C779" s="264" t="s">
        <v>1820</v>
      </c>
      <c r="D779" s="261">
        <v>3883.54</v>
      </c>
      <c r="E779" s="276" t="s">
        <v>212</v>
      </c>
      <c r="F779" t="s">
        <v>1565</v>
      </c>
    </row>
    <row r="780" spans="1:6" ht="15.75" customHeight="1">
      <c r="A780" s="274">
        <v>46178</v>
      </c>
      <c r="B780" s="258" t="s">
        <v>366</v>
      </c>
      <c r="C780" s="264" t="s">
        <v>1821</v>
      </c>
      <c r="D780" s="261">
        <v>131.85</v>
      </c>
      <c r="E780" s="276" t="s">
        <v>212</v>
      </c>
      <c r="F780" t="s">
        <v>1565</v>
      </c>
    </row>
    <row r="781" spans="1:6" ht="15.75" customHeight="1">
      <c r="A781" s="274">
        <v>46178</v>
      </c>
      <c r="B781" s="258" t="s">
        <v>240</v>
      </c>
      <c r="C781" s="264" t="s">
        <v>1822</v>
      </c>
      <c r="D781" s="261">
        <v>839.96</v>
      </c>
      <c r="E781" s="276" t="s">
        <v>212</v>
      </c>
      <c r="F781" t="s">
        <v>1565</v>
      </c>
    </row>
    <row r="782" spans="1:6" ht="15.75" customHeight="1">
      <c r="A782" s="274">
        <v>46178</v>
      </c>
      <c r="B782" s="258" t="s">
        <v>445</v>
      </c>
      <c r="C782" s="264" t="s">
        <v>1823</v>
      </c>
      <c r="D782" s="261">
        <v>844.92</v>
      </c>
      <c r="E782" s="276" t="s">
        <v>212</v>
      </c>
      <c r="F782" t="s">
        <v>1565</v>
      </c>
    </row>
    <row r="783" spans="1:6" ht="15.75" customHeight="1">
      <c r="A783" s="274">
        <v>46178</v>
      </c>
      <c r="B783" s="258" t="s">
        <v>218</v>
      </c>
      <c r="C783" s="264" t="s">
        <v>1824</v>
      </c>
      <c r="D783" s="261">
        <v>700</v>
      </c>
      <c r="E783" s="276" t="s">
        <v>212</v>
      </c>
      <c r="F783" t="s">
        <v>1565</v>
      </c>
    </row>
    <row r="784" spans="1:6" ht="15.75" customHeight="1">
      <c r="A784" s="274">
        <v>46178</v>
      </c>
      <c r="B784" s="258" t="s">
        <v>1825</v>
      </c>
      <c r="C784" s="264" t="s">
        <v>1826</v>
      </c>
      <c r="D784" s="261">
        <v>689</v>
      </c>
      <c r="E784" s="276" t="s">
        <v>212</v>
      </c>
      <c r="F784" t="s">
        <v>1565</v>
      </c>
    </row>
    <row r="785" spans="1:6" ht="15.75" customHeight="1">
      <c r="A785" s="274">
        <v>46178</v>
      </c>
      <c r="B785" s="258" t="s">
        <v>214</v>
      </c>
      <c r="C785" s="264" t="s">
        <v>1827</v>
      </c>
      <c r="D785" s="261">
        <v>1013</v>
      </c>
      <c r="E785" s="276" t="s">
        <v>212</v>
      </c>
      <c r="F785" t="s">
        <v>1565</v>
      </c>
    </row>
    <row r="786" spans="1:6" ht="15.75" customHeight="1">
      <c r="A786" s="274">
        <v>46178</v>
      </c>
      <c r="B786" s="258" t="s">
        <v>457</v>
      </c>
      <c r="C786" s="264" t="s">
        <v>1828</v>
      </c>
      <c r="D786" s="261">
        <v>416.33</v>
      </c>
      <c r="E786" s="276" t="s">
        <v>212</v>
      </c>
      <c r="F786" t="s">
        <v>1565</v>
      </c>
    </row>
    <row r="787" spans="1:6" ht="15.75" customHeight="1">
      <c r="A787" s="274">
        <v>46178</v>
      </c>
      <c r="B787" s="258" t="s">
        <v>234</v>
      </c>
      <c r="C787" s="264" t="s">
        <v>1829</v>
      </c>
      <c r="D787" s="261">
        <v>540.70000000000005</v>
      </c>
      <c r="E787" s="276" t="s">
        <v>212</v>
      </c>
      <c r="F787" t="s">
        <v>1565</v>
      </c>
    </row>
    <row r="788" spans="1:6" ht="15.75" customHeight="1">
      <c r="A788" s="274">
        <v>46178</v>
      </c>
      <c r="B788" s="258" t="s">
        <v>1257</v>
      </c>
      <c r="C788" s="264" t="s">
        <v>1830</v>
      </c>
      <c r="D788" s="261">
        <v>326</v>
      </c>
      <c r="E788" s="276" t="s">
        <v>212</v>
      </c>
      <c r="F788" t="s">
        <v>1565</v>
      </c>
    </row>
    <row r="789" spans="1:6" ht="15.75" customHeight="1">
      <c r="A789" s="274">
        <v>46181</v>
      </c>
      <c r="B789" s="258" t="s">
        <v>1236</v>
      </c>
      <c r="C789" s="264">
        <v>12578</v>
      </c>
      <c r="D789" s="261">
        <v>892.5</v>
      </c>
      <c r="E789" s="276" t="s">
        <v>212</v>
      </c>
      <c r="F789" t="s">
        <v>1565</v>
      </c>
    </row>
    <row r="790" spans="1:6" ht="15.75" customHeight="1">
      <c r="A790" s="274">
        <v>46181</v>
      </c>
      <c r="B790" s="258" t="s">
        <v>1831</v>
      </c>
      <c r="C790" s="264">
        <v>12701</v>
      </c>
      <c r="D790" s="261">
        <v>85</v>
      </c>
      <c r="E790" s="276" t="s">
        <v>212</v>
      </c>
      <c r="F790" t="s">
        <v>1565</v>
      </c>
    </row>
    <row r="791" spans="1:6" ht="15.75" customHeight="1">
      <c r="A791" s="274">
        <v>46181</v>
      </c>
      <c r="B791" s="258" t="s">
        <v>448</v>
      </c>
      <c r="C791" s="264" t="s">
        <v>1832</v>
      </c>
      <c r="D791" s="261">
        <v>2398.84</v>
      </c>
      <c r="E791" s="276" t="s">
        <v>212</v>
      </c>
      <c r="F791" t="s">
        <v>1565</v>
      </c>
    </row>
    <row r="792" spans="1:6" ht="15.75" customHeight="1">
      <c r="A792" s="274">
        <v>46181</v>
      </c>
      <c r="B792" s="258" t="s">
        <v>1833</v>
      </c>
      <c r="C792" s="264" t="s">
        <v>1834</v>
      </c>
      <c r="D792" s="261">
        <v>682.38</v>
      </c>
      <c r="E792" s="276" t="s">
        <v>212</v>
      </c>
      <c r="F792" t="s">
        <v>1565</v>
      </c>
    </row>
    <row r="793" spans="1:6" ht="15.75" customHeight="1">
      <c r="A793" s="274">
        <v>46181</v>
      </c>
      <c r="B793" s="258" t="s">
        <v>394</v>
      </c>
      <c r="C793" s="264" t="s">
        <v>1835</v>
      </c>
      <c r="D793" s="261">
        <v>1279</v>
      </c>
      <c r="E793" s="276" t="s">
        <v>212</v>
      </c>
      <c r="F793" t="s">
        <v>1565</v>
      </c>
    </row>
    <row r="794" spans="1:6" ht="15.75" customHeight="1">
      <c r="A794" s="274">
        <v>46181</v>
      </c>
      <c r="B794" s="258" t="s">
        <v>435</v>
      </c>
      <c r="C794" s="264" t="s">
        <v>1836</v>
      </c>
      <c r="D794" s="261">
        <v>803.5</v>
      </c>
      <c r="E794" s="276" t="s">
        <v>212</v>
      </c>
      <c r="F794" t="s">
        <v>1565</v>
      </c>
    </row>
    <row r="795" spans="1:6" ht="15.75" customHeight="1">
      <c r="A795" s="274">
        <v>46181</v>
      </c>
      <c r="B795" s="258" t="s">
        <v>1837</v>
      </c>
      <c r="C795" s="264" t="s">
        <v>1838</v>
      </c>
      <c r="D795" s="261">
        <v>306</v>
      </c>
      <c r="E795" s="276" t="s">
        <v>212</v>
      </c>
      <c r="F795" t="s">
        <v>1565</v>
      </c>
    </row>
    <row r="796" spans="1:6" ht="15.75" customHeight="1">
      <c r="A796" s="274">
        <v>46181</v>
      </c>
      <c r="B796" s="258" t="s">
        <v>580</v>
      </c>
      <c r="C796" s="264" t="s">
        <v>1839</v>
      </c>
      <c r="D796" s="261">
        <v>173.75</v>
      </c>
      <c r="E796" s="276" t="s">
        <v>212</v>
      </c>
      <c r="F796" t="s">
        <v>1565</v>
      </c>
    </row>
    <row r="797" spans="1:6" ht="15.75" customHeight="1">
      <c r="A797" s="274">
        <v>46181</v>
      </c>
      <c r="B797" s="396" t="s">
        <v>281</v>
      </c>
      <c r="C797" s="406" t="s">
        <v>1840</v>
      </c>
      <c r="D797" s="261">
        <v>730.75</v>
      </c>
      <c r="E797" s="276" t="s">
        <v>212</v>
      </c>
      <c r="F797" t="s">
        <v>1565</v>
      </c>
    </row>
    <row r="798" spans="1:6" ht="15.75" customHeight="1">
      <c r="A798" s="274">
        <v>46181</v>
      </c>
      <c r="B798" s="396" t="s">
        <v>1841</v>
      </c>
      <c r="C798" s="406" t="s">
        <v>1842</v>
      </c>
      <c r="D798" s="261">
        <v>325.25</v>
      </c>
      <c r="E798" s="276" t="s">
        <v>212</v>
      </c>
      <c r="F798" t="s">
        <v>1565</v>
      </c>
    </row>
    <row r="799" spans="1:6" ht="15.75" customHeight="1">
      <c r="A799" s="274">
        <v>46181</v>
      </c>
      <c r="B799" s="396" t="s">
        <v>288</v>
      </c>
      <c r="C799" s="406" t="s">
        <v>1843</v>
      </c>
      <c r="D799" s="261">
        <v>1039.29</v>
      </c>
      <c r="E799" s="276" t="s">
        <v>212</v>
      </c>
      <c r="F799" t="s">
        <v>1565</v>
      </c>
    </row>
    <row r="800" spans="1:6" ht="15.75" customHeight="1">
      <c r="A800" s="274">
        <v>46181</v>
      </c>
      <c r="B800" s="396" t="s">
        <v>380</v>
      </c>
      <c r="C800" s="406" t="s">
        <v>1844</v>
      </c>
      <c r="D800" s="261">
        <v>3909.79</v>
      </c>
      <c r="E800" s="276" t="s">
        <v>212</v>
      </c>
      <c r="F800" t="s">
        <v>1565</v>
      </c>
    </row>
    <row r="801" spans="1:6" ht="15.75" customHeight="1">
      <c r="A801" s="274">
        <v>46181</v>
      </c>
      <c r="B801" s="396" t="s">
        <v>288</v>
      </c>
      <c r="C801" s="406" t="s">
        <v>1845</v>
      </c>
      <c r="D801" s="261">
        <v>587.94000000000005</v>
      </c>
      <c r="E801" s="276" t="s">
        <v>212</v>
      </c>
      <c r="F801" t="s">
        <v>1565</v>
      </c>
    </row>
    <row r="802" spans="1:6" ht="15.75" customHeight="1">
      <c r="A802" s="274">
        <v>46182</v>
      </c>
      <c r="B802" s="394" t="s">
        <v>331</v>
      </c>
      <c r="C802" s="405">
        <v>12577</v>
      </c>
      <c r="D802" s="261">
        <v>256</v>
      </c>
      <c r="E802" s="276" t="s">
        <v>212</v>
      </c>
      <c r="F802" t="s">
        <v>1565</v>
      </c>
    </row>
    <row r="803" spans="1:6" ht="15.75" customHeight="1">
      <c r="A803" s="274">
        <v>46182</v>
      </c>
      <c r="B803" s="394" t="s">
        <v>1846</v>
      </c>
      <c r="C803" s="405" t="s">
        <v>1847</v>
      </c>
      <c r="D803" s="261">
        <v>1121.2</v>
      </c>
      <c r="E803" s="276" t="s">
        <v>212</v>
      </c>
      <c r="F803" t="s">
        <v>1565</v>
      </c>
    </row>
    <row r="804" spans="1:6" ht="15.75" customHeight="1">
      <c r="A804" s="274">
        <v>46182</v>
      </c>
      <c r="B804" s="394" t="s">
        <v>313</v>
      </c>
      <c r="C804" s="405">
        <v>12748</v>
      </c>
      <c r="D804" s="261">
        <v>618.5</v>
      </c>
      <c r="E804" s="276" t="s">
        <v>212</v>
      </c>
      <c r="F804" t="s">
        <v>1565</v>
      </c>
    </row>
    <row r="805" spans="1:6" ht="15.75" customHeight="1">
      <c r="A805" s="274">
        <v>46182</v>
      </c>
      <c r="B805" s="396" t="s">
        <v>1848</v>
      </c>
      <c r="C805" s="406">
        <v>12732</v>
      </c>
      <c r="D805" s="261">
        <v>580.79999999999995</v>
      </c>
      <c r="E805" s="276" t="s">
        <v>212</v>
      </c>
      <c r="F805" t="s">
        <v>1565</v>
      </c>
    </row>
    <row r="806" spans="1:6" ht="15.75" customHeight="1">
      <c r="A806" s="274">
        <v>46182</v>
      </c>
      <c r="B806" s="396" t="s">
        <v>308</v>
      </c>
      <c r="C806" s="406" t="s">
        <v>1849</v>
      </c>
      <c r="D806" s="261">
        <v>928.14</v>
      </c>
      <c r="E806" s="276" t="s">
        <v>212</v>
      </c>
      <c r="F806" t="s">
        <v>1565</v>
      </c>
    </row>
    <row r="807" spans="1:6" ht="15.75" customHeight="1">
      <c r="A807" s="274">
        <v>46182</v>
      </c>
      <c r="B807" s="396" t="s">
        <v>238</v>
      </c>
      <c r="C807" s="406" t="s">
        <v>1850</v>
      </c>
      <c r="D807" s="261">
        <v>610</v>
      </c>
      <c r="E807" s="276" t="s">
        <v>212</v>
      </c>
      <c r="F807" t="s">
        <v>1565</v>
      </c>
    </row>
    <row r="808" spans="1:6" ht="15.75" customHeight="1">
      <c r="A808" s="274">
        <v>46182</v>
      </c>
      <c r="B808" s="396" t="s">
        <v>96</v>
      </c>
      <c r="C808" s="406" t="s">
        <v>1851</v>
      </c>
      <c r="D808" s="261">
        <v>478</v>
      </c>
      <c r="E808" s="276" t="s">
        <v>212</v>
      </c>
      <c r="F808" t="s">
        <v>1565</v>
      </c>
    </row>
    <row r="809" spans="1:6" ht="15.75" customHeight="1">
      <c r="A809" s="274">
        <v>46182</v>
      </c>
      <c r="B809" s="396" t="s">
        <v>234</v>
      </c>
      <c r="C809" s="406" t="s">
        <v>1852</v>
      </c>
      <c r="D809" s="261">
        <v>438.48</v>
      </c>
      <c r="E809" s="276" t="s">
        <v>212</v>
      </c>
      <c r="F809" t="s">
        <v>1565</v>
      </c>
    </row>
    <row r="810" spans="1:6" ht="15.75" customHeight="1">
      <c r="A810" s="274">
        <v>46182</v>
      </c>
      <c r="B810" s="396" t="s">
        <v>214</v>
      </c>
      <c r="C810" s="406" t="s">
        <v>1853</v>
      </c>
      <c r="D810" s="261">
        <v>1163.75</v>
      </c>
      <c r="E810" s="276" t="s">
        <v>212</v>
      </c>
      <c r="F810" t="s">
        <v>1565</v>
      </c>
    </row>
    <row r="811" spans="1:6" ht="15.75" customHeight="1">
      <c r="A811" s="274">
        <v>46183</v>
      </c>
      <c r="B811" s="396" t="s">
        <v>331</v>
      </c>
      <c r="C811" s="406"/>
      <c r="D811" s="379">
        <v>160</v>
      </c>
      <c r="E811" s="276" t="s">
        <v>212</v>
      </c>
      <c r="F811" t="s">
        <v>1565</v>
      </c>
    </row>
    <row r="812" spans="1:6" ht="15.75" customHeight="1">
      <c r="A812" s="274">
        <v>46183</v>
      </c>
      <c r="B812" s="396" t="s">
        <v>83</v>
      </c>
      <c r="C812" s="406">
        <v>12749</v>
      </c>
      <c r="D812" s="379">
        <v>740.8</v>
      </c>
      <c r="E812" s="276" t="s">
        <v>212</v>
      </c>
      <c r="F812" t="s">
        <v>1565</v>
      </c>
    </row>
    <row r="813" spans="1:6" ht="15.75" customHeight="1">
      <c r="A813" s="274">
        <v>46183</v>
      </c>
      <c r="B813" s="396" t="s">
        <v>300</v>
      </c>
      <c r="C813" s="406">
        <v>12390</v>
      </c>
      <c r="D813" s="379">
        <v>4732.7700000000004</v>
      </c>
      <c r="E813" s="276" t="s">
        <v>212</v>
      </c>
      <c r="F813" t="s">
        <v>1565</v>
      </c>
    </row>
    <row r="814" spans="1:6" ht="15.75" customHeight="1">
      <c r="A814" s="274">
        <v>46183</v>
      </c>
      <c r="B814" s="396" t="s">
        <v>234</v>
      </c>
      <c r="C814" s="406">
        <v>12616</v>
      </c>
      <c r="D814" s="379">
        <v>2548.6999999999998</v>
      </c>
      <c r="E814" s="276" t="s">
        <v>212</v>
      </c>
      <c r="F814" t="s">
        <v>1565</v>
      </c>
    </row>
    <row r="815" spans="1:6" ht="15.75" customHeight="1">
      <c r="A815" s="274">
        <v>46183</v>
      </c>
      <c r="B815" s="396" t="s">
        <v>1317</v>
      </c>
      <c r="C815" s="406">
        <v>12618</v>
      </c>
      <c r="D815" s="379">
        <v>979.5</v>
      </c>
      <c r="E815" s="276" t="s">
        <v>212</v>
      </c>
      <c r="F815" t="s">
        <v>1565</v>
      </c>
    </row>
    <row r="816" spans="1:6" ht="15.75" customHeight="1">
      <c r="A816" s="274">
        <v>46184</v>
      </c>
      <c r="B816" s="430" t="s">
        <v>300</v>
      </c>
      <c r="C816" s="431" t="s">
        <v>1854</v>
      </c>
      <c r="D816" s="273">
        <v>3033.06</v>
      </c>
      <c r="E816" s="276" t="s">
        <v>212</v>
      </c>
      <c r="F816" t="s">
        <v>1565</v>
      </c>
    </row>
    <row r="817" spans="1:6" ht="15.75" customHeight="1">
      <c r="A817" s="274">
        <v>46184</v>
      </c>
      <c r="B817" s="430" t="s">
        <v>105</v>
      </c>
      <c r="C817" s="431" t="s">
        <v>1855</v>
      </c>
      <c r="D817" s="273">
        <v>1800</v>
      </c>
      <c r="E817" s="276" t="s">
        <v>212</v>
      </c>
      <c r="F817" t="s">
        <v>1565</v>
      </c>
    </row>
    <row r="818" spans="1:6" ht="15.75" customHeight="1">
      <c r="A818" s="274">
        <v>46184</v>
      </c>
      <c r="B818" s="430" t="s">
        <v>380</v>
      </c>
      <c r="C818" s="431" t="s">
        <v>1856</v>
      </c>
      <c r="D818" s="273">
        <v>638.62</v>
      </c>
      <c r="E818" s="276" t="s">
        <v>212</v>
      </c>
      <c r="F818" t="s">
        <v>1565</v>
      </c>
    </row>
    <row r="819" spans="1:6" ht="15.75" customHeight="1">
      <c r="A819" s="274">
        <v>46184</v>
      </c>
      <c r="B819" s="430" t="s">
        <v>98</v>
      </c>
      <c r="C819" s="431" t="s">
        <v>1857</v>
      </c>
      <c r="D819" s="273">
        <v>1553</v>
      </c>
      <c r="E819" s="276" t="s">
        <v>212</v>
      </c>
      <c r="F819" t="s">
        <v>1565</v>
      </c>
    </row>
    <row r="820" spans="1:6" ht="15.75" customHeight="1">
      <c r="A820" s="274">
        <v>46184</v>
      </c>
      <c r="B820" s="430" t="s">
        <v>234</v>
      </c>
      <c r="C820" s="431" t="s">
        <v>1858</v>
      </c>
      <c r="D820" s="273">
        <v>1197.8399999999999</v>
      </c>
      <c r="E820" s="276" t="s">
        <v>212</v>
      </c>
      <c r="F820" t="s">
        <v>1565</v>
      </c>
    </row>
    <row r="821" spans="1:6" ht="15.75" customHeight="1">
      <c r="A821" s="274">
        <v>46184</v>
      </c>
      <c r="B821" s="394" t="s">
        <v>214</v>
      </c>
      <c r="C821" s="405">
        <v>12567</v>
      </c>
      <c r="D821" s="261">
        <v>943.77</v>
      </c>
      <c r="E821" s="276" t="s">
        <v>212</v>
      </c>
      <c r="F821" t="s">
        <v>1565</v>
      </c>
    </row>
    <row r="822" spans="1:6" ht="15.75" customHeight="1">
      <c r="A822" s="274">
        <v>46184</v>
      </c>
      <c r="B822" s="394" t="s">
        <v>366</v>
      </c>
      <c r="C822" s="405">
        <v>12592</v>
      </c>
      <c r="D822" s="379">
        <v>583.85</v>
      </c>
      <c r="E822" s="276" t="s">
        <v>212</v>
      </c>
      <c r="F822" t="s">
        <v>1565</v>
      </c>
    </row>
    <row r="823" spans="1:6" ht="15.75" customHeight="1">
      <c r="A823" s="274">
        <v>46185</v>
      </c>
      <c r="B823" s="394" t="s">
        <v>548</v>
      </c>
      <c r="C823" s="405">
        <v>12742</v>
      </c>
      <c r="D823" s="379">
        <v>349.7</v>
      </c>
      <c r="E823" s="276" t="s">
        <v>212</v>
      </c>
      <c r="F823" t="s">
        <v>1565</v>
      </c>
    </row>
    <row r="824" spans="1:6" ht="15.75" customHeight="1">
      <c r="A824" s="274">
        <v>46185</v>
      </c>
      <c r="B824" s="394" t="s">
        <v>81</v>
      </c>
      <c r="C824" s="405">
        <v>12370</v>
      </c>
      <c r="D824" s="379">
        <v>97</v>
      </c>
      <c r="E824" s="276" t="s">
        <v>212</v>
      </c>
      <c r="F824" t="s">
        <v>1565</v>
      </c>
    </row>
    <row r="825" spans="1:6" ht="15.75" customHeight="1">
      <c r="A825" s="274">
        <v>46185</v>
      </c>
      <c r="B825" s="394" t="s">
        <v>81</v>
      </c>
      <c r="C825" s="405">
        <v>12743</v>
      </c>
      <c r="D825" s="379">
        <v>36</v>
      </c>
      <c r="E825" s="276" t="s">
        <v>212</v>
      </c>
      <c r="F825" t="s">
        <v>1565</v>
      </c>
    </row>
    <row r="826" spans="1:6" ht="15.75" customHeight="1">
      <c r="A826" s="274">
        <v>46185</v>
      </c>
      <c r="B826" s="396" t="s">
        <v>1724</v>
      </c>
      <c r="C826" s="406" t="s">
        <v>1859</v>
      </c>
      <c r="D826" s="261">
        <v>771</v>
      </c>
      <c r="E826" s="276" t="s">
        <v>212</v>
      </c>
      <c r="F826" t="s">
        <v>1565</v>
      </c>
    </row>
    <row r="827" spans="1:6" ht="15.75" customHeight="1">
      <c r="A827" s="274">
        <v>46185</v>
      </c>
      <c r="B827" s="396" t="s">
        <v>547</v>
      </c>
      <c r="C827" s="406" t="s">
        <v>1860</v>
      </c>
      <c r="D827" s="261">
        <v>934.87</v>
      </c>
      <c r="E827" s="276" t="s">
        <v>212</v>
      </c>
      <c r="F827" t="s">
        <v>1565</v>
      </c>
    </row>
    <row r="828" spans="1:6" ht="15.75" customHeight="1">
      <c r="A828" s="274">
        <v>46185</v>
      </c>
      <c r="B828" s="396" t="s">
        <v>234</v>
      </c>
      <c r="C828" s="406" t="s">
        <v>1861</v>
      </c>
      <c r="D828" s="261">
        <v>728.8</v>
      </c>
      <c r="E828" s="276" t="s">
        <v>212</v>
      </c>
      <c r="F828" t="s">
        <v>1565</v>
      </c>
    </row>
    <row r="829" spans="1:6" ht="15.75" customHeight="1">
      <c r="A829" s="274">
        <v>46185</v>
      </c>
      <c r="B829" s="396" t="s">
        <v>105</v>
      </c>
      <c r="C829" s="406" t="s">
        <v>1862</v>
      </c>
      <c r="D829" s="261">
        <v>570</v>
      </c>
      <c r="E829" s="276" t="s">
        <v>212</v>
      </c>
      <c r="F829" t="s">
        <v>1565</v>
      </c>
    </row>
    <row r="830" spans="1:6" ht="15.75" customHeight="1">
      <c r="A830" s="274">
        <v>46185</v>
      </c>
      <c r="B830" s="396" t="s">
        <v>562</v>
      </c>
      <c r="C830" s="406" t="s">
        <v>1863</v>
      </c>
      <c r="D830" s="261">
        <v>384</v>
      </c>
      <c r="E830" s="276" t="s">
        <v>212</v>
      </c>
      <c r="F830" t="s">
        <v>1565</v>
      </c>
    </row>
    <row r="831" spans="1:6" ht="15.75" customHeight="1">
      <c r="A831" s="274">
        <v>46185</v>
      </c>
      <c r="B831" s="396" t="s">
        <v>1864</v>
      </c>
      <c r="C831" s="406" t="s">
        <v>1865</v>
      </c>
      <c r="D831" s="261">
        <v>3500</v>
      </c>
      <c r="E831" s="276" t="s">
        <v>212</v>
      </c>
      <c r="F831" t="s">
        <v>1565</v>
      </c>
    </row>
    <row r="832" spans="1:6" ht="15.75" customHeight="1">
      <c r="A832" s="274">
        <v>46185</v>
      </c>
      <c r="B832" s="396" t="s">
        <v>445</v>
      </c>
      <c r="C832" s="406" t="s">
        <v>1866</v>
      </c>
      <c r="D832" s="261">
        <v>844.92</v>
      </c>
      <c r="E832" s="276" t="s">
        <v>212</v>
      </c>
      <c r="F832" t="s">
        <v>1565</v>
      </c>
    </row>
    <row r="833" spans="1:6" ht="15.75" customHeight="1">
      <c r="A833" s="274">
        <v>46188</v>
      </c>
      <c r="B833" s="396" t="s">
        <v>1867</v>
      </c>
      <c r="C833" s="406" t="s">
        <v>1868</v>
      </c>
      <c r="D833" s="261">
        <v>417</v>
      </c>
      <c r="E833" s="276" t="s">
        <v>212</v>
      </c>
      <c r="F833" t="s">
        <v>1565</v>
      </c>
    </row>
    <row r="834" spans="1:6" ht="15.75" customHeight="1">
      <c r="A834" s="274">
        <v>46188</v>
      </c>
      <c r="B834" s="396" t="s">
        <v>1650</v>
      </c>
      <c r="C834" s="406" t="s">
        <v>1869</v>
      </c>
      <c r="D834" s="261">
        <v>2520</v>
      </c>
      <c r="E834" s="276" t="s">
        <v>212</v>
      </c>
      <c r="F834" t="s">
        <v>1565</v>
      </c>
    </row>
    <row r="835" spans="1:6" ht="15.75" customHeight="1">
      <c r="A835" s="274">
        <v>46188</v>
      </c>
      <c r="B835" s="396" t="s">
        <v>555</v>
      </c>
      <c r="C835" s="406" t="s">
        <v>1870</v>
      </c>
      <c r="D835" s="261">
        <v>452.46</v>
      </c>
      <c r="E835" s="276" t="s">
        <v>212</v>
      </c>
      <c r="F835" t="s">
        <v>1565</v>
      </c>
    </row>
    <row r="836" spans="1:6" ht="15.75" customHeight="1">
      <c r="A836" s="274">
        <v>46188</v>
      </c>
      <c r="B836" s="396" t="s">
        <v>1871</v>
      </c>
      <c r="C836" s="406" t="s">
        <v>1872</v>
      </c>
      <c r="D836" s="261">
        <v>750</v>
      </c>
      <c r="E836" s="276" t="s">
        <v>212</v>
      </c>
      <c r="F836" t="s">
        <v>1565</v>
      </c>
    </row>
    <row r="837" spans="1:6" ht="15.75" customHeight="1">
      <c r="A837" s="274">
        <v>46188</v>
      </c>
      <c r="B837" s="396" t="s">
        <v>281</v>
      </c>
      <c r="C837" s="406" t="s">
        <v>1873</v>
      </c>
      <c r="D837" s="261">
        <v>228.5</v>
      </c>
      <c r="E837" s="276" t="s">
        <v>212</v>
      </c>
      <c r="F837" t="s">
        <v>1565</v>
      </c>
    </row>
    <row r="838" spans="1:6" ht="15.75" customHeight="1">
      <c r="A838" s="274">
        <v>46188</v>
      </c>
      <c r="B838" s="396" t="s">
        <v>1833</v>
      </c>
      <c r="C838" s="406" t="s">
        <v>1874</v>
      </c>
      <c r="D838" s="261">
        <v>682.37</v>
      </c>
      <c r="E838" s="276" t="s">
        <v>212</v>
      </c>
      <c r="F838" t="s">
        <v>1565</v>
      </c>
    </row>
    <row r="839" spans="1:6" ht="15.75" customHeight="1">
      <c r="A839" s="274">
        <v>46188</v>
      </c>
      <c r="B839" s="396" t="s">
        <v>1257</v>
      </c>
      <c r="C839" s="406" t="s">
        <v>1875</v>
      </c>
      <c r="D839" s="261">
        <v>695.25</v>
      </c>
      <c r="E839" s="276" t="s">
        <v>212</v>
      </c>
      <c r="F839" t="s">
        <v>1565</v>
      </c>
    </row>
    <row r="840" spans="1:6" ht="15.75" customHeight="1">
      <c r="A840" s="274">
        <v>46188</v>
      </c>
      <c r="B840" s="396" t="s">
        <v>1876</v>
      </c>
      <c r="C840" s="406" t="s">
        <v>1877</v>
      </c>
      <c r="D840" s="261">
        <v>1643.75</v>
      </c>
      <c r="E840" s="276" t="s">
        <v>212</v>
      </c>
      <c r="F840" t="s">
        <v>1565</v>
      </c>
    </row>
    <row r="841" spans="1:6" ht="15.75" customHeight="1">
      <c r="A841" s="274">
        <v>46188</v>
      </c>
      <c r="B841" s="396" t="s">
        <v>234</v>
      </c>
      <c r="C841" s="406" t="s">
        <v>1878</v>
      </c>
      <c r="D841" s="261">
        <v>5545.98</v>
      </c>
      <c r="E841" s="276" t="s">
        <v>212</v>
      </c>
      <c r="F841" t="s">
        <v>1565</v>
      </c>
    </row>
    <row r="842" spans="1:6" ht="15.75" customHeight="1">
      <c r="A842" s="274">
        <v>46189</v>
      </c>
      <c r="B842" s="396" t="s">
        <v>1846</v>
      </c>
      <c r="C842" s="406" t="s">
        <v>1879</v>
      </c>
      <c r="D842" s="261">
        <v>1570.05</v>
      </c>
      <c r="E842" s="276" t="s">
        <v>212</v>
      </c>
      <c r="F842" t="s">
        <v>1565</v>
      </c>
    </row>
    <row r="843" spans="1:6" ht="15.75" customHeight="1">
      <c r="A843" s="274">
        <v>46189</v>
      </c>
      <c r="B843" s="396" t="s">
        <v>308</v>
      </c>
      <c r="C843" s="406">
        <v>12610</v>
      </c>
      <c r="D843" s="261">
        <v>928.13</v>
      </c>
      <c r="E843" s="276" t="s">
        <v>212</v>
      </c>
      <c r="F843" t="s">
        <v>1565</v>
      </c>
    </row>
    <row r="844" spans="1:6" ht="15.75" customHeight="1">
      <c r="A844" s="274">
        <v>46189</v>
      </c>
      <c r="B844" s="396" t="s">
        <v>81</v>
      </c>
      <c r="C844" s="406">
        <v>12639</v>
      </c>
      <c r="D844" s="261">
        <v>475.05</v>
      </c>
      <c r="E844" s="276" t="s">
        <v>212</v>
      </c>
      <c r="F844" t="s">
        <v>1565</v>
      </c>
    </row>
    <row r="845" spans="1:6" ht="15.75" customHeight="1">
      <c r="A845" s="274">
        <v>46190</v>
      </c>
      <c r="B845" s="396" t="s">
        <v>1880</v>
      </c>
      <c r="C845" s="406">
        <v>12627</v>
      </c>
      <c r="D845" s="261">
        <v>2143.7399999999998</v>
      </c>
      <c r="E845" s="276" t="s">
        <v>212</v>
      </c>
      <c r="F845" t="s">
        <v>1565</v>
      </c>
    </row>
    <row r="846" spans="1:6" ht="15.75" customHeight="1">
      <c r="A846" s="274">
        <v>46190</v>
      </c>
      <c r="B846" s="396" t="s">
        <v>1881</v>
      </c>
      <c r="C846" s="406">
        <v>12787</v>
      </c>
      <c r="D846" s="261">
        <v>185.3</v>
      </c>
      <c r="E846" s="276" t="s">
        <v>212</v>
      </c>
      <c r="F846" t="s">
        <v>1565</v>
      </c>
    </row>
    <row r="847" spans="1:6" ht="15.75" customHeight="1">
      <c r="A847" s="274">
        <v>46190</v>
      </c>
      <c r="B847" s="396" t="s">
        <v>234</v>
      </c>
      <c r="C847" s="406">
        <v>12644</v>
      </c>
      <c r="D847" s="261">
        <v>282</v>
      </c>
      <c r="E847" s="276" t="s">
        <v>212</v>
      </c>
      <c r="F847" t="s">
        <v>1565</v>
      </c>
    </row>
    <row r="848" spans="1:6" ht="15.75" customHeight="1">
      <c r="A848" s="274">
        <v>46190</v>
      </c>
      <c r="B848" s="262" t="s">
        <v>394</v>
      </c>
      <c r="C848" s="263">
        <v>12638</v>
      </c>
      <c r="D848" s="261">
        <v>1569.3</v>
      </c>
      <c r="E848" s="276" t="s">
        <v>212</v>
      </c>
      <c r="F848" t="s">
        <v>1565</v>
      </c>
    </row>
    <row r="849" spans="1:6" ht="15.75" customHeight="1">
      <c r="A849" s="274">
        <v>46190</v>
      </c>
      <c r="B849" s="259" t="s">
        <v>281</v>
      </c>
      <c r="C849" s="260">
        <v>12652</v>
      </c>
      <c r="D849" s="261">
        <v>325.31</v>
      </c>
      <c r="E849" s="276" t="s">
        <v>212</v>
      </c>
      <c r="F849" t="s">
        <v>1565</v>
      </c>
    </row>
    <row r="850" spans="1:6" ht="15.75" customHeight="1">
      <c r="A850" s="274">
        <v>46191</v>
      </c>
      <c r="B850" s="262" t="s">
        <v>331</v>
      </c>
      <c r="C850" s="263" t="s">
        <v>1882</v>
      </c>
      <c r="D850" s="261">
        <v>235</v>
      </c>
      <c r="E850" s="276" t="s">
        <v>212</v>
      </c>
      <c r="F850" t="s">
        <v>1565</v>
      </c>
    </row>
    <row r="851" spans="1:6" ht="15.75" customHeight="1">
      <c r="A851" s="274">
        <v>46191</v>
      </c>
      <c r="B851" s="396" t="s">
        <v>457</v>
      </c>
      <c r="C851" s="406">
        <v>12790</v>
      </c>
      <c r="D851" s="261">
        <v>170.6</v>
      </c>
      <c r="E851" s="276" t="s">
        <v>212</v>
      </c>
      <c r="F851" t="s">
        <v>1565</v>
      </c>
    </row>
    <row r="852" spans="1:6" ht="15.75" customHeight="1">
      <c r="A852" s="274">
        <v>46191</v>
      </c>
      <c r="B852" s="396" t="s">
        <v>288</v>
      </c>
      <c r="C852" s="406">
        <v>12488</v>
      </c>
      <c r="D852" s="261">
        <v>578.94000000000005</v>
      </c>
      <c r="E852" s="276" t="s">
        <v>212</v>
      </c>
      <c r="F852" t="s">
        <v>1565</v>
      </c>
    </row>
    <row r="853" spans="1:6" ht="15.75" customHeight="1">
      <c r="A853" s="274">
        <v>46191</v>
      </c>
      <c r="B853" s="396" t="s">
        <v>288</v>
      </c>
      <c r="C853" s="406">
        <v>12648</v>
      </c>
      <c r="D853" s="261">
        <v>1007.89</v>
      </c>
      <c r="E853" s="276" t="s">
        <v>212</v>
      </c>
      <c r="F853" t="s">
        <v>1565</v>
      </c>
    </row>
    <row r="854" spans="1:6" ht="15.75" customHeight="1">
      <c r="A854" s="274">
        <v>46191</v>
      </c>
      <c r="B854" s="259" t="s">
        <v>288</v>
      </c>
      <c r="C854" s="260">
        <v>12625</v>
      </c>
      <c r="D854" s="261">
        <v>806.52</v>
      </c>
      <c r="E854" s="276" t="s">
        <v>212</v>
      </c>
      <c r="F854" t="s">
        <v>1565</v>
      </c>
    </row>
    <row r="855" spans="1:6" ht="15.75" customHeight="1">
      <c r="A855" s="274">
        <v>46191</v>
      </c>
      <c r="B855" s="262" t="s">
        <v>105</v>
      </c>
      <c r="C855" s="263">
        <v>12568</v>
      </c>
      <c r="D855" s="261">
        <v>1319</v>
      </c>
      <c r="E855" s="276" t="s">
        <v>212</v>
      </c>
      <c r="F855" t="s">
        <v>1565</v>
      </c>
    </row>
    <row r="856" spans="1:6" ht="15.75" customHeight="1">
      <c r="A856" s="274">
        <v>46191</v>
      </c>
      <c r="B856" s="259" t="s">
        <v>300</v>
      </c>
      <c r="C856" s="260">
        <v>12622</v>
      </c>
      <c r="D856" s="261">
        <v>3033.07</v>
      </c>
      <c r="E856" s="276" t="s">
        <v>212</v>
      </c>
      <c r="F856" t="s">
        <v>1565</v>
      </c>
    </row>
    <row r="857" spans="1:6" ht="15.75" customHeight="1">
      <c r="A857" s="274">
        <v>46191</v>
      </c>
      <c r="B857" s="258" t="s">
        <v>445</v>
      </c>
      <c r="C857" s="402">
        <v>12651</v>
      </c>
      <c r="D857" s="261">
        <v>1788.02</v>
      </c>
      <c r="E857" s="276" t="s">
        <v>212</v>
      </c>
      <c r="F857" t="s">
        <v>1565</v>
      </c>
    </row>
    <row r="858" spans="1:6" ht="15.75" customHeight="1">
      <c r="A858" s="274">
        <v>46192</v>
      </c>
      <c r="B858" s="258" t="s">
        <v>480</v>
      </c>
      <c r="C858" s="402">
        <v>12646</v>
      </c>
      <c r="D858" s="261">
        <v>620.4</v>
      </c>
      <c r="E858" s="276" t="s">
        <v>212</v>
      </c>
      <c r="F858" t="s">
        <v>1565</v>
      </c>
    </row>
    <row r="859" spans="1:6" ht="15.75" customHeight="1">
      <c r="A859" s="274">
        <v>46195</v>
      </c>
      <c r="B859" s="258" t="s">
        <v>448</v>
      </c>
      <c r="C859" s="402">
        <v>12586</v>
      </c>
      <c r="D859" s="261">
        <v>2398.83</v>
      </c>
      <c r="E859" s="276" t="s">
        <v>212</v>
      </c>
      <c r="F859" t="s">
        <v>1565</v>
      </c>
    </row>
    <row r="860" spans="1:6" ht="15.75" customHeight="1">
      <c r="A860" s="274">
        <v>46195</v>
      </c>
      <c r="B860" s="259" t="s">
        <v>1735</v>
      </c>
      <c r="C860" s="260">
        <v>12582</v>
      </c>
      <c r="D860" s="261">
        <v>1318</v>
      </c>
      <c r="E860" s="276" t="s">
        <v>212</v>
      </c>
      <c r="F860" t="s">
        <v>1565</v>
      </c>
    </row>
    <row r="861" spans="1:6" ht="15.75" customHeight="1">
      <c r="A861" s="274">
        <v>46195</v>
      </c>
      <c r="B861" s="262" t="s">
        <v>234</v>
      </c>
      <c r="C861" s="263">
        <v>12655</v>
      </c>
      <c r="D861" s="261">
        <v>246</v>
      </c>
      <c r="E861" s="276" t="s">
        <v>212</v>
      </c>
      <c r="F861" t="s">
        <v>1565</v>
      </c>
    </row>
    <row r="862" spans="1:6" ht="15.75" customHeight="1">
      <c r="A862" s="274">
        <v>46195</v>
      </c>
      <c r="B862" s="259" t="s">
        <v>1883</v>
      </c>
      <c r="C862" s="260">
        <v>12649</v>
      </c>
      <c r="D862" s="261">
        <v>192.1</v>
      </c>
      <c r="E862" s="276" t="s">
        <v>212</v>
      </c>
      <c r="F862" t="s">
        <v>1565</v>
      </c>
    </row>
    <row r="863" spans="1:6" ht="15.75" customHeight="1">
      <c r="A863" s="274">
        <v>46195</v>
      </c>
      <c r="B863" s="259" t="s">
        <v>348</v>
      </c>
      <c r="C863" s="260">
        <v>12808</v>
      </c>
      <c r="D863" s="261">
        <v>236.05</v>
      </c>
      <c r="E863" s="276" t="s">
        <v>212</v>
      </c>
      <c r="F863" t="s">
        <v>1565</v>
      </c>
    </row>
    <row r="864" spans="1:6" ht="15.75" customHeight="1">
      <c r="A864" s="274">
        <v>46195</v>
      </c>
      <c r="B864" s="259" t="s">
        <v>1871</v>
      </c>
      <c r="C864" s="260">
        <v>12805</v>
      </c>
      <c r="D864" s="261">
        <v>211.38</v>
      </c>
      <c r="E864" s="276" t="s">
        <v>212</v>
      </c>
      <c r="F864" t="s">
        <v>1565</v>
      </c>
    </row>
    <row r="865" spans="1:6" ht="15.75" customHeight="1">
      <c r="A865" s="274">
        <v>46195</v>
      </c>
      <c r="B865" s="394" t="s">
        <v>1825</v>
      </c>
      <c r="C865" s="405" t="s">
        <v>1884</v>
      </c>
      <c r="D865" s="261">
        <v>689</v>
      </c>
      <c r="E865" s="276" t="s">
        <v>212</v>
      </c>
      <c r="F865" t="s">
        <v>1565</v>
      </c>
    </row>
    <row r="866" spans="1:6" ht="15.75" customHeight="1">
      <c r="A866" s="274">
        <v>46195</v>
      </c>
      <c r="B866" s="394" t="s">
        <v>1313</v>
      </c>
      <c r="C866" s="405" t="s">
        <v>1885</v>
      </c>
      <c r="D866" s="261">
        <v>375</v>
      </c>
      <c r="E866" s="276" t="s">
        <v>212</v>
      </c>
      <c r="F866" t="s">
        <v>1565</v>
      </c>
    </row>
    <row r="867" spans="1:6" ht="15.75" customHeight="1">
      <c r="A867" s="274">
        <v>46195</v>
      </c>
      <c r="B867" s="394" t="s">
        <v>1833</v>
      </c>
      <c r="C867" s="405" t="s">
        <v>1886</v>
      </c>
      <c r="D867" s="261">
        <v>682.37</v>
      </c>
      <c r="E867" s="276" t="s">
        <v>212</v>
      </c>
      <c r="F867" t="s">
        <v>1565</v>
      </c>
    </row>
    <row r="868" spans="1:6" ht="15.75" customHeight="1">
      <c r="A868" s="274">
        <v>46195</v>
      </c>
      <c r="B868" s="394" t="s">
        <v>281</v>
      </c>
      <c r="C868" s="405" t="s">
        <v>1887</v>
      </c>
      <c r="D868" s="261">
        <v>567.82000000000005</v>
      </c>
      <c r="E868" s="276" t="s">
        <v>212</v>
      </c>
      <c r="F868" t="s">
        <v>1565</v>
      </c>
    </row>
    <row r="869" spans="1:6" ht="15.75" customHeight="1">
      <c r="A869" s="274">
        <v>46195</v>
      </c>
      <c r="B869" s="394" t="s">
        <v>298</v>
      </c>
      <c r="C869" s="405" t="s">
        <v>1888</v>
      </c>
      <c r="D869" s="261">
        <v>689.76</v>
      </c>
      <c r="E869" s="276" t="s">
        <v>212</v>
      </c>
      <c r="F869" t="s">
        <v>1565</v>
      </c>
    </row>
    <row r="870" spans="1:6" ht="15.75" customHeight="1">
      <c r="A870" s="274">
        <v>46195</v>
      </c>
      <c r="B870" s="394" t="s">
        <v>234</v>
      </c>
      <c r="C870" s="405" t="s">
        <v>1889</v>
      </c>
      <c r="D870" s="261">
        <v>825.34</v>
      </c>
      <c r="E870" s="276" t="s">
        <v>212</v>
      </c>
      <c r="F870" t="s">
        <v>1565</v>
      </c>
    </row>
    <row r="871" spans="1:6" ht="15.75" customHeight="1">
      <c r="A871" s="274">
        <v>46195</v>
      </c>
      <c r="B871" s="394" t="s">
        <v>1313</v>
      </c>
      <c r="C871" s="405" t="s">
        <v>1890</v>
      </c>
      <c r="D871" s="261">
        <v>852.5</v>
      </c>
      <c r="E871" s="276" t="s">
        <v>212</v>
      </c>
      <c r="F871" t="s">
        <v>1565</v>
      </c>
    </row>
    <row r="872" spans="1:6" ht="15.75" customHeight="1">
      <c r="A872" s="274">
        <v>46196</v>
      </c>
      <c r="B872" s="394" t="s">
        <v>308</v>
      </c>
      <c r="C872" s="405" t="s">
        <v>1891</v>
      </c>
      <c r="D872" s="261">
        <v>928.13</v>
      </c>
      <c r="E872" s="276" t="s">
        <v>212</v>
      </c>
      <c r="F872" t="s">
        <v>1565</v>
      </c>
    </row>
    <row r="873" spans="1:6" ht="15.75" customHeight="1">
      <c r="A873" s="274">
        <v>46196</v>
      </c>
      <c r="B873" s="394" t="s">
        <v>319</v>
      </c>
      <c r="C873" s="405" t="s">
        <v>1892</v>
      </c>
      <c r="D873" s="261">
        <v>742.16</v>
      </c>
      <c r="E873" s="276" t="s">
        <v>212</v>
      </c>
      <c r="F873" t="s">
        <v>1565</v>
      </c>
    </row>
    <row r="874" spans="1:6" ht="15.75" customHeight="1">
      <c r="A874" s="274">
        <v>46197</v>
      </c>
      <c r="B874" s="394" t="s">
        <v>1864</v>
      </c>
      <c r="C874" s="405" t="s">
        <v>1893</v>
      </c>
      <c r="D874" s="261">
        <v>1163.75</v>
      </c>
      <c r="E874" s="276" t="s">
        <v>212</v>
      </c>
      <c r="F874" t="s">
        <v>1565</v>
      </c>
    </row>
    <row r="875" spans="1:6" ht="15.75" customHeight="1">
      <c r="A875" s="274">
        <v>46197</v>
      </c>
      <c r="B875" s="394" t="s">
        <v>228</v>
      </c>
      <c r="C875" s="405" t="s">
        <v>1894</v>
      </c>
      <c r="D875" s="261">
        <v>765.5</v>
      </c>
      <c r="E875" s="276" t="s">
        <v>212</v>
      </c>
      <c r="F875" t="s">
        <v>1565</v>
      </c>
    </row>
    <row r="876" spans="1:6" ht="15.75" customHeight="1">
      <c r="A876" s="274">
        <v>46197</v>
      </c>
      <c r="B876" s="394" t="s">
        <v>277</v>
      </c>
      <c r="C876" s="405" t="s">
        <v>1895</v>
      </c>
      <c r="D876" s="261">
        <v>800</v>
      </c>
      <c r="E876" s="276" t="s">
        <v>212</v>
      </c>
      <c r="F876" t="s">
        <v>1565</v>
      </c>
    </row>
    <row r="877" spans="1:6" ht="15.75" customHeight="1">
      <c r="A877" s="289">
        <v>46197</v>
      </c>
      <c r="B877" s="432" t="s">
        <v>234</v>
      </c>
      <c r="C877" s="433" t="s">
        <v>1896</v>
      </c>
      <c r="D877" s="292">
        <v>277.8</v>
      </c>
      <c r="E877" s="276" t="s">
        <v>212</v>
      </c>
      <c r="F877" t="s">
        <v>1565</v>
      </c>
    </row>
    <row r="878" spans="1:6" ht="15.75" customHeight="1">
      <c r="A878" s="274">
        <v>46198</v>
      </c>
      <c r="B878" s="394" t="s">
        <v>1897</v>
      </c>
      <c r="C878" s="405" t="s">
        <v>1898</v>
      </c>
      <c r="D878" s="261">
        <v>765.96</v>
      </c>
      <c r="E878" s="276" t="s">
        <v>212</v>
      </c>
      <c r="F878" t="s">
        <v>1565</v>
      </c>
    </row>
    <row r="879" spans="1:6" ht="15.75" customHeight="1">
      <c r="A879" s="274">
        <v>46198</v>
      </c>
      <c r="B879" s="394" t="s">
        <v>1899</v>
      </c>
      <c r="C879" s="405">
        <v>12815</v>
      </c>
      <c r="D879" s="261">
        <v>107.26</v>
      </c>
      <c r="E879" s="276" t="s">
        <v>212</v>
      </c>
      <c r="F879" t="s">
        <v>1565</v>
      </c>
    </row>
    <row r="880" spans="1:6" ht="15.75" customHeight="1">
      <c r="A880" s="274">
        <v>46198</v>
      </c>
      <c r="B880" s="394" t="s">
        <v>1871</v>
      </c>
      <c r="C880" s="405">
        <v>12818</v>
      </c>
      <c r="D880" s="261">
        <v>150</v>
      </c>
      <c r="E880" s="276" t="s">
        <v>212</v>
      </c>
      <c r="F880" t="s">
        <v>1565</v>
      </c>
    </row>
    <row r="881" spans="1:6" ht="15.75" customHeight="1">
      <c r="A881" s="274">
        <v>46198</v>
      </c>
      <c r="B881" s="396" t="s">
        <v>300</v>
      </c>
      <c r="C881" s="397" t="s">
        <v>1900</v>
      </c>
      <c r="D881" s="261">
        <v>3033.07</v>
      </c>
      <c r="E881" s="276" t="s">
        <v>212</v>
      </c>
      <c r="F881" t="s">
        <v>1565</v>
      </c>
    </row>
    <row r="882" spans="1:6" ht="15.75" customHeight="1">
      <c r="A882" s="274">
        <v>46198</v>
      </c>
      <c r="B882" s="396" t="s">
        <v>445</v>
      </c>
      <c r="C882" s="397" t="s">
        <v>1901</v>
      </c>
      <c r="D882" s="261">
        <v>1788</v>
      </c>
      <c r="E882" s="276" t="s">
        <v>212</v>
      </c>
      <c r="F882" t="s">
        <v>1565</v>
      </c>
    </row>
    <row r="883" spans="1:6" ht="15.75" customHeight="1">
      <c r="A883" s="274">
        <v>46198</v>
      </c>
      <c r="B883" s="396" t="s">
        <v>1902</v>
      </c>
      <c r="C883" s="397" t="s">
        <v>1903</v>
      </c>
      <c r="D883" s="261">
        <v>1207.9100000000001</v>
      </c>
      <c r="E883" s="276" t="s">
        <v>212</v>
      </c>
      <c r="F883" t="s">
        <v>1565</v>
      </c>
    </row>
    <row r="884" spans="1:6" ht="15.75" customHeight="1">
      <c r="A884" s="274">
        <v>46198</v>
      </c>
      <c r="B884" s="396" t="s">
        <v>445</v>
      </c>
      <c r="C884" s="397" t="s">
        <v>1904</v>
      </c>
      <c r="D884" s="261">
        <v>600.26</v>
      </c>
      <c r="E884" s="276" t="s">
        <v>212</v>
      </c>
      <c r="F884" t="s">
        <v>1565</v>
      </c>
    </row>
    <row r="885" spans="1:6" ht="15.75" customHeight="1">
      <c r="A885" s="274">
        <v>46198</v>
      </c>
      <c r="B885" s="396" t="s">
        <v>547</v>
      </c>
      <c r="C885" s="397" t="s">
        <v>1905</v>
      </c>
      <c r="D885" s="261">
        <v>718</v>
      </c>
      <c r="E885" s="276" t="s">
        <v>212</v>
      </c>
      <c r="F885" t="s">
        <v>1565</v>
      </c>
    </row>
    <row r="886" spans="1:6" ht="15.75" customHeight="1">
      <c r="A886" s="274">
        <v>46198</v>
      </c>
      <c r="B886" s="396" t="s">
        <v>1257</v>
      </c>
      <c r="C886" s="397" t="s">
        <v>1906</v>
      </c>
      <c r="D886" s="261">
        <v>739</v>
      </c>
      <c r="E886" s="276" t="s">
        <v>212</v>
      </c>
      <c r="F886" t="s">
        <v>1565</v>
      </c>
    </row>
    <row r="887" spans="1:6" ht="15.75" customHeight="1">
      <c r="A887" s="274">
        <v>46198</v>
      </c>
      <c r="B887" s="396" t="s">
        <v>1688</v>
      </c>
      <c r="C887" s="397" t="s">
        <v>1907</v>
      </c>
      <c r="D887" s="261">
        <v>454.75</v>
      </c>
      <c r="E887" s="276" t="s">
        <v>212</v>
      </c>
      <c r="F887" t="s">
        <v>1565</v>
      </c>
    </row>
    <row r="888" spans="1:6" ht="15.75" customHeight="1">
      <c r="A888" s="274">
        <v>46198</v>
      </c>
      <c r="B888" s="396" t="s">
        <v>232</v>
      </c>
      <c r="C888" s="397" t="s">
        <v>1908</v>
      </c>
      <c r="D888" s="261">
        <v>856.36</v>
      </c>
      <c r="E888" s="276" t="s">
        <v>212</v>
      </c>
      <c r="F888" t="s">
        <v>1565</v>
      </c>
    </row>
    <row r="889" spans="1:6" ht="15.75" customHeight="1">
      <c r="A889" s="274">
        <v>46199</v>
      </c>
      <c r="B889" s="396" t="s">
        <v>234</v>
      </c>
      <c r="C889" s="397" t="s">
        <v>1909</v>
      </c>
      <c r="D889" s="261">
        <v>1197.8399999999999</v>
      </c>
      <c r="E889" s="276" t="s">
        <v>212</v>
      </c>
      <c r="F889" t="s">
        <v>1565</v>
      </c>
    </row>
    <row r="890" spans="1:6" ht="15.75" customHeight="1">
      <c r="A890" s="274">
        <v>46199</v>
      </c>
      <c r="B890" s="396" t="s">
        <v>562</v>
      </c>
      <c r="C890" s="397" t="s">
        <v>1910</v>
      </c>
      <c r="D890" s="261">
        <v>384</v>
      </c>
      <c r="E890" s="276" t="s">
        <v>212</v>
      </c>
      <c r="F890" t="s">
        <v>1565</v>
      </c>
    </row>
    <row r="891" spans="1:6" ht="15.75" customHeight="1">
      <c r="A891" s="274">
        <v>46199</v>
      </c>
      <c r="B891" s="396" t="s">
        <v>98</v>
      </c>
      <c r="C891" s="397">
        <v>12601</v>
      </c>
      <c r="D891" s="261">
        <v>1553</v>
      </c>
      <c r="E891" s="276" t="s">
        <v>212</v>
      </c>
      <c r="F891" t="s">
        <v>1565</v>
      </c>
    </row>
    <row r="892" spans="1:6" ht="15.75" customHeight="1">
      <c r="A892" s="274">
        <v>46199</v>
      </c>
      <c r="B892" s="396" t="s">
        <v>105</v>
      </c>
      <c r="C892" s="397" t="s">
        <v>1911</v>
      </c>
      <c r="D892" s="261">
        <v>1800</v>
      </c>
      <c r="E892" s="276" t="s">
        <v>212</v>
      </c>
      <c r="F892" t="s">
        <v>1565</v>
      </c>
    </row>
    <row r="893" spans="1:6" ht="15.75" customHeight="1">
      <c r="A893" s="274">
        <v>46199</v>
      </c>
      <c r="B893" s="396" t="s">
        <v>530</v>
      </c>
      <c r="C893" s="397" t="s">
        <v>1912</v>
      </c>
      <c r="D893" s="261">
        <v>747.32</v>
      </c>
      <c r="E893" s="276" t="s">
        <v>212</v>
      </c>
      <c r="F893" t="s">
        <v>1565</v>
      </c>
    </row>
    <row r="894" spans="1:6" ht="15.75" customHeight="1">
      <c r="A894" s="274">
        <v>46199</v>
      </c>
      <c r="B894" s="396" t="s">
        <v>445</v>
      </c>
      <c r="C894" s="397" t="s">
        <v>1913</v>
      </c>
      <c r="D894" s="261">
        <v>369.22</v>
      </c>
      <c r="E894" s="276" t="s">
        <v>212</v>
      </c>
      <c r="F894" t="s">
        <v>1565</v>
      </c>
    </row>
    <row r="895" spans="1:6" ht="15.75" customHeight="1">
      <c r="A895" s="274">
        <v>46199</v>
      </c>
      <c r="B895" s="396" t="s">
        <v>1673</v>
      </c>
      <c r="C895" s="406" t="s">
        <v>1914</v>
      </c>
      <c r="D895" s="261">
        <v>194</v>
      </c>
      <c r="E895" s="276" t="s">
        <v>212</v>
      </c>
      <c r="F895" t="s">
        <v>1565</v>
      </c>
    </row>
    <row r="896" spans="1:6" ht="15.75" customHeight="1">
      <c r="A896" s="274">
        <v>46202</v>
      </c>
      <c r="B896" s="396" t="s">
        <v>1871</v>
      </c>
      <c r="C896" s="397" t="s">
        <v>1915</v>
      </c>
      <c r="D896" s="261">
        <v>750</v>
      </c>
      <c r="E896" s="276" t="s">
        <v>212</v>
      </c>
      <c r="F896" t="s">
        <v>1565</v>
      </c>
    </row>
    <row r="897" spans="1:6" ht="15.75" customHeight="1">
      <c r="A897" s="274">
        <v>46202</v>
      </c>
      <c r="B897" s="396" t="s">
        <v>234</v>
      </c>
      <c r="C897" s="397" t="s">
        <v>1916</v>
      </c>
      <c r="D897" s="261">
        <v>728.8</v>
      </c>
      <c r="E897" s="276" t="s">
        <v>212</v>
      </c>
      <c r="F897" t="s">
        <v>1565</v>
      </c>
    </row>
    <row r="898" spans="1:6" ht="15.75" customHeight="1">
      <c r="A898" s="274">
        <v>46202</v>
      </c>
      <c r="B898" s="396" t="s">
        <v>547</v>
      </c>
      <c r="C898" s="397" t="s">
        <v>1917</v>
      </c>
      <c r="D898" s="261">
        <v>934.88</v>
      </c>
      <c r="E898" s="276" t="s">
        <v>212</v>
      </c>
      <c r="F898" t="s">
        <v>1565</v>
      </c>
    </row>
    <row r="899" spans="1:6" ht="15.75" customHeight="1">
      <c r="A899" s="274">
        <v>46202</v>
      </c>
      <c r="B899" s="396" t="s">
        <v>310</v>
      </c>
      <c r="C899" s="397" t="s">
        <v>1918</v>
      </c>
      <c r="D899" s="261">
        <v>2081.5</v>
      </c>
      <c r="E899" s="276" t="s">
        <v>212</v>
      </c>
      <c r="F899" t="s">
        <v>1565</v>
      </c>
    </row>
    <row r="900" spans="1:6" ht="15.75" customHeight="1">
      <c r="A900" s="274">
        <v>46202</v>
      </c>
      <c r="B900" s="396" t="s">
        <v>310</v>
      </c>
      <c r="C900" s="397" t="s">
        <v>1919</v>
      </c>
      <c r="D900" s="261">
        <v>861.5</v>
      </c>
      <c r="E900" s="276" t="s">
        <v>212</v>
      </c>
      <c r="F900" t="s">
        <v>1565</v>
      </c>
    </row>
    <row r="901" spans="1:6" ht="15.75" customHeight="1">
      <c r="A901" s="274">
        <v>46202</v>
      </c>
      <c r="B901" s="396" t="s">
        <v>218</v>
      </c>
      <c r="C901" s="397" t="s">
        <v>1920</v>
      </c>
      <c r="D901" s="261">
        <v>926.54</v>
      </c>
      <c r="E901" s="276" t="s">
        <v>212</v>
      </c>
      <c r="F901" t="s">
        <v>1565</v>
      </c>
    </row>
    <row r="902" spans="1:6" ht="15.75" customHeight="1">
      <c r="A902" s="274">
        <v>46202</v>
      </c>
      <c r="B902" s="396" t="s">
        <v>96</v>
      </c>
      <c r="C902" s="397" t="s">
        <v>1921</v>
      </c>
      <c r="D902" s="261">
        <v>103</v>
      </c>
      <c r="E902" s="276" t="s">
        <v>212</v>
      </c>
      <c r="F902" t="s">
        <v>1565</v>
      </c>
    </row>
    <row r="903" spans="1:6" ht="15.75" customHeight="1">
      <c r="A903" s="274">
        <v>46203</v>
      </c>
      <c r="B903" s="396" t="s">
        <v>244</v>
      </c>
      <c r="C903" s="397" t="s">
        <v>1922</v>
      </c>
      <c r="D903" s="261">
        <v>390</v>
      </c>
      <c r="E903" s="276" t="s">
        <v>212</v>
      </c>
      <c r="F903" t="s">
        <v>1565</v>
      </c>
    </row>
    <row r="904" spans="1:6" ht="15.75" customHeight="1">
      <c r="A904" s="274">
        <v>46203</v>
      </c>
      <c r="B904" s="396" t="s">
        <v>491</v>
      </c>
      <c r="C904" s="397" t="s">
        <v>1923</v>
      </c>
      <c r="D904" s="261">
        <v>368</v>
      </c>
      <c r="E904" s="276" t="s">
        <v>212</v>
      </c>
      <c r="F904" t="s">
        <v>1565</v>
      </c>
    </row>
    <row r="905" spans="1:6" ht="15.75" customHeight="1">
      <c r="A905" s="274">
        <v>46203</v>
      </c>
      <c r="B905" s="396" t="s">
        <v>480</v>
      </c>
      <c r="C905" s="402" t="s">
        <v>1924</v>
      </c>
      <c r="D905" s="401">
        <v>192</v>
      </c>
      <c r="E905" s="276" t="s">
        <v>212</v>
      </c>
      <c r="F905" t="s">
        <v>1565</v>
      </c>
    </row>
    <row r="906" spans="1:6" ht="15.75" customHeight="1">
      <c r="A906" s="274">
        <v>46203</v>
      </c>
      <c r="B906" s="396" t="s">
        <v>806</v>
      </c>
      <c r="C906" s="402">
        <v>12817</v>
      </c>
      <c r="D906" s="261">
        <v>150</v>
      </c>
      <c r="E906" s="276" t="s">
        <v>212</v>
      </c>
      <c r="F906" t="s">
        <v>1565</v>
      </c>
    </row>
    <row r="907" spans="1:6" ht="15.75" customHeight="1">
      <c r="A907" s="274">
        <v>46203</v>
      </c>
      <c r="B907" s="394" t="s">
        <v>1650</v>
      </c>
      <c r="C907" s="395" t="s">
        <v>1925</v>
      </c>
      <c r="D907" s="261">
        <v>1150</v>
      </c>
      <c r="E907" s="276" t="s">
        <v>212</v>
      </c>
      <c r="F907" t="s">
        <v>1565</v>
      </c>
    </row>
    <row r="908" spans="1:6" ht="15.75" customHeight="1">
      <c r="A908" s="274">
        <v>46203</v>
      </c>
      <c r="B908" s="394" t="s">
        <v>547</v>
      </c>
      <c r="C908" s="395" t="s">
        <v>1926</v>
      </c>
      <c r="D908" s="261">
        <v>447</v>
      </c>
      <c r="E908" s="276" t="s">
        <v>212</v>
      </c>
      <c r="F908" t="s">
        <v>1565</v>
      </c>
    </row>
    <row r="909" spans="1:6" ht="15.75" customHeight="1">
      <c r="A909" s="274">
        <v>46203</v>
      </c>
      <c r="B909" s="394" t="s">
        <v>1927</v>
      </c>
      <c r="C909" s="395" t="s">
        <v>1928</v>
      </c>
      <c r="D909" s="261">
        <v>846.27</v>
      </c>
      <c r="E909" s="276" t="s">
        <v>212</v>
      </c>
      <c r="F909" t="s">
        <v>1565</v>
      </c>
    </row>
  </sheetData>
  <phoneticPr fontId="11" type="noConversion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85"/>
  <sheetViews>
    <sheetView topLeftCell="A1062" workbookViewId="0">
      <selection activeCell="B931" sqref="B931"/>
    </sheetView>
  </sheetViews>
  <sheetFormatPr defaultRowHeight="15.75" customHeight="1"/>
  <cols>
    <col min="1" max="1" width="20" customWidth="1"/>
    <col min="2" max="2" width="36.42578125" customWidth="1"/>
    <col min="3" max="5" width="20" customWidth="1"/>
    <col min="7" max="7" width="14.28515625" bestFit="1" customWidth="1"/>
    <col min="8" max="8" width="13" customWidth="1"/>
  </cols>
  <sheetData>
    <row r="1" spans="1:8" ht="15.75" customHeight="1">
      <c r="A1" s="1" t="s">
        <v>184</v>
      </c>
      <c r="B1" s="1" t="s">
        <v>643</v>
      </c>
      <c r="C1" s="1" t="s">
        <v>644</v>
      </c>
      <c r="D1" s="1" t="s">
        <v>187</v>
      </c>
      <c r="E1" s="1" t="s">
        <v>27</v>
      </c>
      <c r="F1" s="1" t="s">
        <v>6</v>
      </c>
    </row>
    <row r="2" spans="1:8" ht="15.75" customHeight="1">
      <c r="A2" s="14">
        <v>46024</v>
      </c>
      <c r="B2" s="18" t="s">
        <v>645</v>
      </c>
      <c r="C2" s="3" t="s">
        <v>130</v>
      </c>
      <c r="D2" s="19">
        <v>955.53</v>
      </c>
      <c r="E2" s="3" t="s">
        <v>212</v>
      </c>
      <c r="F2" t="s">
        <v>213</v>
      </c>
      <c r="G2" s="312">
        <f>SUM(D2:D141)</f>
        <v>116350.31</v>
      </c>
    </row>
    <row r="3" spans="1:8" ht="15.75" customHeight="1">
      <c r="A3" s="14">
        <v>46024</v>
      </c>
      <c r="B3" s="20" t="s">
        <v>646</v>
      </c>
      <c r="C3" s="3" t="s">
        <v>130</v>
      </c>
      <c r="D3" s="21">
        <v>905.25</v>
      </c>
      <c r="E3" s="3" t="s">
        <v>212</v>
      </c>
      <c r="F3" t="s">
        <v>213</v>
      </c>
      <c r="H3" s="36">
        <f>SUMIF(C:C,"FORNECEDORES",D:D)</f>
        <v>526757.77000000025</v>
      </c>
    </row>
    <row r="4" spans="1:8" ht="15.75" customHeight="1">
      <c r="A4" s="14">
        <v>46024</v>
      </c>
      <c r="B4" s="18" t="s">
        <v>647</v>
      </c>
      <c r="C4" s="3" t="s">
        <v>130</v>
      </c>
      <c r="D4" s="19">
        <v>350</v>
      </c>
      <c r="E4" s="3" t="s">
        <v>212</v>
      </c>
      <c r="F4" t="s">
        <v>213</v>
      </c>
    </row>
    <row r="5" spans="1:8" ht="15.75" customHeight="1">
      <c r="A5" s="14">
        <v>46024</v>
      </c>
      <c r="B5" s="18" t="s">
        <v>127</v>
      </c>
      <c r="C5" s="3" t="s">
        <v>128</v>
      </c>
      <c r="D5" s="19">
        <v>15.3</v>
      </c>
      <c r="E5" s="3" t="s">
        <v>212</v>
      </c>
      <c r="F5" t="s">
        <v>213</v>
      </c>
    </row>
    <row r="6" spans="1:8" ht="15.75" customHeight="1">
      <c r="A6" s="14">
        <v>46024</v>
      </c>
      <c r="B6" s="20" t="s">
        <v>648</v>
      </c>
      <c r="C6" s="3" t="s">
        <v>130</v>
      </c>
      <c r="D6" s="21">
        <v>850</v>
      </c>
      <c r="E6" s="3" t="s">
        <v>212</v>
      </c>
      <c r="F6" t="s">
        <v>213</v>
      </c>
    </row>
    <row r="7" spans="1:8" ht="15.75" customHeight="1">
      <c r="A7" s="14">
        <v>46024</v>
      </c>
      <c r="B7" s="18" t="s">
        <v>649</v>
      </c>
      <c r="C7" s="3" t="s">
        <v>130</v>
      </c>
      <c r="D7" s="19">
        <v>528.79999999999995</v>
      </c>
      <c r="E7" s="3" t="s">
        <v>212</v>
      </c>
      <c r="F7" t="s">
        <v>213</v>
      </c>
    </row>
    <row r="8" spans="1:8" ht="15.75" customHeight="1">
      <c r="A8" s="14">
        <v>46024</v>
      </c>
      <c r="B8" s="20" t="s">
        <v>650</v>
      </c>
      <c r="C8" s="3" t="s">
        <v>130</v>
      </c>
      <c r="D8" s="21">
        <v>418.56</v>
      </c>
      <c r="E8" s="3" t="s">
        <v>212</v>
      </c>
      <c r="F8" t="s">
        <v>213</v>
      </c>
    </row>
    <row r="9" spans="1:8" ht="15.75" customHeight="1">
      <c r="A9" s="14">
        <v>46024</v>
      </c>
      <c r="B9" s="18" t="s">
        <v>651</v>
      </c>
      <c r="C9" s="3" t="s">
        <v>130</v>
      </c>
      <c r="D9" s="19">
        <v>401.4</v>
      </c>
      <c r="E9" s="3" t="s">
        <v>212</v>
      </c>
      <c r="F9" t="s">
        <v>213</v>
      </c>
    </row>
    <row r="10" spans="1:8" ht="15.75" customHeight="1">
      <c r="A10" s="14">
        <v>46024</v>
      </c>
      <c r="B10" s="20" t="s">
        <v>652</v>
      </c>
      <c r="C10" s="3" t="s">
        <v>130</v>
      </c>
      <c r="D10" s="21">
        <v>570</v>
      </c>
      <c r="E10" s="3" t="s">
        <v>212</v>
      </c>
      <c r="F10" t="s">
        <v>213</v>
      </c>
    </row>
    <row r="11" spans="1:8" ht="15.75" customHeight="1">
      <c r="A11" s="14">
        <v>46024</v>
      </c>
      <c r="B11" s="18" t="s">
        <v>653</v>
      </c>
      <c r="C11" s="3" t="s">
        <v>130</v>
      </c>
      <c r="D11" s="19">
        <v>610</v>
      </c>
      <c r="E11" s="3" t="s">
        <v>212</v>
      </c>
      <c r="F11" t="s">
        <v>213</v>
      </c>
    </row>
    <row r="12" spans="1:8" ht="15.75" customHeight="1">
      <c r="A12" s="14">
        <v>46024</v>
      </c>
      <c r="B12" s="20" t="s">
        <v>654</v>
      </c>
      <c r="C12" s="3" t="s">
        <v>130</v>
      </c>
      <c r="D12" s="21">
        <v>391</v>
      </c>
      <c r="E12" s="3" t="s">
        <v>212</v>
      </c>
      <c r="F12" t="s">
        <v>213</v>
      </c>
    </row>
    <row r="13" spans="1:8" ht="15.75" customHeight="1">
      <c r="A13" s="14">
        <v>46027</v>
      </c>
      <c r="B13" s="18" t="s">
        <v>649</v>
      </c>
      <c r="C13" s="3" t="s">
        <v>130</v>
      </c>
      <c r="D13" s="19">
        <v>550</v>
      </c>
      <c r="E13" s="3" t="s">
        <v>212</v>
      </c>
      <c r="F13" t="s">
        <v>213</v>
      </c>
    </row>
    <row r="14" spans="1:8" ht="15.75" customHeight="1">
      <c r="A14" s="14">
        <v>46027</v>
      </c>
      <c r="B14" s="20" t="s">
        <v>652</v>
      </c>
      <c r="C14" s="3" t="s">
        <v>130</v>
      </c>
      <c r="D14" s="21">
        <v>800</v>
      </c>
      <c r="E14" s="3" t="s">
        <v>212</v>
      </c>
      <c r="F14" t="s">
        <v>213</v>
      </c>
    </row>
    <row r="15" spans="1:8" ht="15.75" customHeight="1">
      <c r="A15" s="14">
        <v>46027</v>
      </c>
      <c r="B15" s="18" t="s">
        <v>655</v>
      </c>
      <c r="C15" s="3" t="s">
        <v>130</v>
      </c>
      <c r="D15" s="19">
        <v>452.67</v>
      </c>
      <c r="E15" s="3" t="s">
        <v>212</v>
      </c>
      <c r="F15" t="s">
        <v>213</v>
      </c>
    </row>
    <row r="16" spans="1:8" ht="15.75" customHeight="1">
      <c r="A16" s="14">
        <v>46027</v>
      </c>
      <c r="B16" s="20" t="s">
        <v>655</v>
      </c>
      <c r="C16" s="3" t="s">
        <v>130</v>
      </c>
      <c r="D16" s="21">
        <v>372.33</v>
      </c>
      <c r="E16" s="3" t="s">
        <v>212</v>
      </c>
      <c r="F16" t="s">
        <v>213</v>
      </c>
    </row>
    <row r="17" spans="1:6" ht="15.75" customHeight="1">
      <c r="A17" s="14">
        <v>46027</v>
      </c>
      <c r="B17" s="18" t="s">
        <v>655</v>
      </c>
      <c r="C17" s="3" t="s">
        <v>130</v>
      </c>
      <c r="D17" s="19">
        <v>2064.71</v>
      </c>
      <c r="E17" s="3" t="s">
        <v>212</v>
      </c>
      <c r="F17" t="s">
        <v>213</v>
      </c>
    </row>
    <row r="18" spans="1:6" ht="15.75" customHeight="1">
      <c r="A18" s="14">
        <v>46027</v>
      </c>
      <c r="B18" s="20" t="s">
        <v>656</v>
      </c>
      <c r="C18" s="3" t="s">
        <v>145</v>
      </c>
      <c r="D18" s="21">
        <v>1270</v>
      </c>
      <c r="E18" s="3" t="s">
        <v>212</v>
      </c>
      <c r="F18" t="s">
        <v>213</v>
      </c>
    </row>
    <row r="19" spans="1:6" ht="15.75" customHeight="1">
      <c r="A19" s="14">
        <v>46027</v>
      </c>
      <c r="B19" s="20" t="s">
        <v>657</v>
      </c>
      <c r="C19" s="3" t="s">
        <v>130</v>
      </c>
      <c r="D19" s="21">
        <v>1344.74</v>
      </c>
      <c r="E19" s="3" t="s">
        <v>212</v>
      </c>
      <c r="F19" t="s">
        <v>213</v>
      </c>
    </row>
    <row r="20" spans="1:6" ht="15.75" customHeight="1">
      <c r="A20" s="14">
        <v>46027</v>
      </c>
      <c r="B20" s="18" t="s">
        <v>658</v>
      </c>
      <c r="C20" s="3" t="s">
        <v>130</v>
      </c>
      <c r="D20" s="19">
        <v>589.72</v>
      </c>
      <c r="E20" s="3" t="s">
        <v>212</v>
      </c>
      <c r="F20" t="s">
        <v>213</v>
      </c>
    </row>
    <row r="21" spans="1:6" ht="15.75" customHeight="1">
      <c r="A21" s="14">
        <v>46027</v>
      </c>
      <c r="B21" s="20" t="s">
        <v>659</v>
      </c>
      <c r="C21" s="3" t="s">
        <v>130</v>
      </c>
      <c r="D21" s="21">
        <v>2780</v>
      </c>
      <c r="E21" s="3" t="s">
        <v>212</v>
      </c>
      <c r="F21" t="s">
        <v>213</v>
      </c>
    </row>
    <row r="22" spans="1:6" ht="15.75" customHeight="1">
      <c r="A22" s="14">
        <v>46027</v>
      </c>
      <c r="B22" s="18" t="s">
        <v>652</v>
      </c>
      <c r="C22" s="3" t="s">
        <v>130</v>
      </c>
      <c r="D22" s="19">
        <v>799.06</v>
      </c>
      <c r="E22" s="3" t="s">
        <v>212</v>
      </c>
      <c r="F22" t="s">
        <v>213</v>
      </c>
    </row>
    <row r="23" spans="1:6" ht="15.75" customHeight="1">
      <c r="A23" s="14">
        <v>46027</v>
      </c>
      <c r="B23" s="20" t="s">
        <v>657</v>
      </c>
      <c r="C23" s="3" t="s">
        <v>130</v>
      </c>
      <c r="D23" s="21">
        <v>254.46</v>
      </c>
      <c r="E23" s="3" t="s">
        <v>212</v>
      </c>
      <c r="F23" t="s">
        <v>213</v>
      </c>
    </row>
    <row r="24" spans="1:6" ht="15.75" customHeight="1">
      <c r="A24" s="14">
        <v>46027</v>
      </c>
      <c r="B24" s="22" t="s">
        <v>660</v>
      </c>
      <c r="C24" s="3" t="s">
        <v>132</v>
      </c>
      <c r="D24" s="23">
        <v>70</v>
      </c>
      <c r="E24" s="3" t="s">
        <v>212</v>
      </c>
      <c r="F24" t="s">
        <v>213</v>
      </c>
    </row>
    <row r="25" spans="1:6" ht="15.75" customHeight="1">
      <c r="A25" s="14">
        <v>46027</v>
      </c>
      <c r="B25" s="22" t="s">
        <v>647</v>
      </c>
      <c r="C25" s="3" t="s">
        <v>130</v>
      </c>
      <c r="D25" s="23">
        <v>141</v>
      </c>
      <c r="E25" s="3" t="s">
        <v>212</v>
      </c>
      <c r="F25" t="s">
        <v>213</v>
      </c>
    </row>
    <row r="26" spans="1:6" ht="15.75" customHeight="1">
      <c r="A26" s="14">
        <v>46027</v>
      </c>
      <c r="B26" s="22" t="s">
        <v>661</v>
      </c>
      <c r="C26" s="3" t="s">
        <v>132</v>
      </c>
      <c r="D26" s="23">
        <v>250</v>
      </c>
      <c r="E26" s="3" t="s">
        <v>212</v>
      </c>
      <c r="F26" t="s">
        <v>213</v>
      </c>
    </row>
    <row r="27" spans="1:6" ht="15.75" customHeight="1">
      <c r="A27" s="14">
        <v>46027</v>
      </c>
      <c r="B27" s="22" t="s">
        <v>662</v>
      </c>
      <c r="C27" s="3" t="s">
        <v>169</v>
      </c>
      <c r="D27" s="23">
        <v>1928.84</v>
      </c>
      <c r="E27" s="3" t="s">
        <v>212</v>
      </c>
      <c r="F27" t="s">
        <v>213</v>
      </c>
    </row>
    <row r="28" spans="1:6" ht="15.75" customHeight="1">
      <c r="A28" s="14">
        <v>46027</v>
      </c>
      <c r="B28" s="22" t="s">
        <v>127</v>
      </c>
      <c r="C28" s="3" t="s">
        <v>128</v>
      </c>
      <c r="D28" s="23">
        <v>28.87</v>
      </c>
      <c r="E28" s="3" t="s">
        <v>212</v>
      </c>
      <c r="F28" t="s">
        <v>213</v>
      </c>
    </row>
    <row r="29" spans="1:6" ht="15.75" customHeight="1">
      <c r="A29" s="14">
        <v>46028</v>
      </c>
      <c r="B29" s="22" t="s">
        <v>127</v>
      </c>
      <c r="C29" s="3" t="s">
        <v>128</v>
      </c>
      <c r="D29" s="23">
        <v>10.199999999999999</v>
      </c>
      <c r="E29" s="3" t="s">
        <v>212</v>
      </c>
      <c r="F29" t="s">
        <v>213</v>
      </c>
    </row>
    <row r="30" spans="1:6" ht="15.75" customHeight="1">
      <c r="A30" s="14">
        <v>46028</v>
      </c>
      <c r="B30" s="22" t="s">
        <v>663</v>
      </c>
      <c r="C30" s="3" t="s">
        <v>130</v>
      </c>
      <c r="D30" s="23">
        <v>35</v>
      </c>
      <c r="E30" s="3" t="s">
        <v>212</v>
      </c>
      <c r="F30" t="s">
        <v>213</v>
      </c>
    </row>
    <row r="31" spans="1:6" ht="15.75" customHeight="1">
      <c r="A31" s="14">
        <v>46028</v>
      </c>
      <c r="B31" s="22" t="s">
        <v>653</v>
      </c>
      <c r="C31" s="3" t="s">
        <v>130</v>
      </c>
      <c r="D31" s="23">
        <v>28</v>
      </c>
      <c r="E31" s="3" t="s">
        <v>212</v>
      </c>
      <c r="F31" t="s">
        <v>213</v>
      </c>
    </row>
    <row r="32" spans="1:6" ht="15.75" customHeight="1">
      <c r="A32" s="14">
        <v>46028</v>
      </c>
      <c r="B32" s="22" t="s">
        <v>651</v>
      </c>
      <c r="C32" s="3" t="s">
        <v>130</v>
      </c>
      <c r="D32" s="23">
        <v>75</v>
      </c>
      <c r="E32" s="3" t="s">
        <v>212</v>
      </c>
      <c r="F32" t="s">
        <v>213</v>
      </c>
    </row>
    <row r="33" spans="1:6" ht="15.75" customHeight="1">
      <c r="A33" s="24">
        <v>46028</v>
      </c>
      <c r="B33" s="18" t="s">
        <v>664</v>
      </c>
      <c r="C33" s="3" t="s">
        <v>130</v>
      </c>
      <c r="D33" s="19">
        <v>1159.8599999999999</v>
      </c>
      <c r="E33" s="3" t="s">
        <v>212</v>
      </c>
      <c r="F33" t="s">
        <v>213</v>
      </c>
    </row>
    <row r="34" spans="1:6" ht="15.75" customHeight="1">
      <c r="A34" s="14">
        <v>46028</v>
      </c>
      <c r="B34" s="20" t="s">
        <v>651</v>
      </c>
      <c r="C34" s="3" t="s">
        <v>130</v>
      </c>
      <c r="D34" s="21">
        <v>305</v>
      </c>
      <c r="E34" s="3" t="s">
        <v>212</v>
      </c>
      <c r="F34" t="s">
        <v>213</v>
      </c>
    </row>
    <row r="35" spans="1:6" ht="15.75" customHeight="1">
      <c r="A35" s="24">
        <v>46028</v>
      </c>
      <c r="B35" s="18" t="s">
        <v>663</v>
      </c>
      <c r="C35" s="3" t="s">
        <v>130</v>
      </c>
      <c r="D35" s="19">
        <v>215.13</v>
      </c>
      <c r="E35" s="3" t="s">
        <v>212</v>
      </c>
      <c r="F35" t="s">
        <v>213</v>
      </c>
    </row>
    <row r="36" spans="1:6" ht="15.75" customHeight="1">
      <c r="A36" s="24">
        <v>46029</v>
      </c>
      <c r="B36" s="18" t="s">
        <v>657</v>
      </c>
      <c r="C36" s="3" t="s">
        <v>130</v>
      </c>
      <c r="D36" s="19">
        <v>93</v>
      </c>
      <c r="E36" s="3" t="s">
        <v>212</v>
      </c>
      <c r="F36" t="s">
        <v>213</v>
      </c>
    </row>
    <row r="37" spans="1:6" ht="15.75" customHeight="1">
      <c r="A37" s="24">
        <v>46029</v>
      </c>
      <c r="B37" s="18" t="s">
        <v>665</v>
      </c>
      <c r="C37" s="3" t="s">
        <v>141</v>
      </c>
      <c r="D37" s="19">
        <v>800</v>
      </c>
      <c r="E37" s="3" t="s">
        <v>212</v>
      </c>
      <c r="F37" t="s">
        <v>213</v>
      </c>
    </row>
    <row r="38" spans="1:6" ht="15.75" customHeight="1">
      <c r="A38" s="14">
        <v>46029</v>
      </c>
      <c r="B38" s="20" t="s">
        <v>666</v>
      </c>
      <c r="C38" s="3" t="s">
        <v>130</v>
      </c>
      <c r="D38" s="21">
        <v>177.1</v>
      </c>
      <c r="E38" s="3" t="s">
        <v>212</v>
      </c>
      <c r="F38" t="s">
        <v>213</v>
      </c>
    </row>
    <row r="39" spans="1:6" ht="15.75" customHeight="1">
      <c r="A39" s="24">
        <v>46029</v>
      </c>
      <c r="B39" s="18" t="s">
        <v>667</v>
      </c>
      <c r="C39" s="3" t="s">
        <v>130</v>
      </c>
      <c r="D39" s="19">
        <v>558.5</v>
      </c>
      <c r="E39" s="3" t="s">
        <v>212</v>
      </c>
      <c r="F39" t="s">
        <v>213</v>
      </c>
    </row>
    <row r="40" spans="1:6" ht="15.75" customHeight="1">
      <c r="A40" s="24">
        <v>46029</v>
      </c>
      <c r="B40" s="18" t="s">
        <v>127</v>
      </c>
      <c r="C40" s="3" t="s">
        <v>128</v>
      </c>
      <c r="D40" s="19">
        <v>17.64</v>
      </c>
      <c r="E40" s="3" t="s">
        <v>212</v>
      </c>
      <c r="F40" t="s">
        <v>213</v>
      </c>
    </row>
    <row r="41" spans="1:6" ht="15.75" customHeight="1">
      <c r="A41" s="14">
        <v>46030</v>
      </c>
      <c r="B41" s="20" t="s">
        <v>649</v>
      </c>
      <c r="C41" s="3" t="s">
        <v>130</v>
      </c>
      <c r="D41" s="21">
        <v>486.5</v>
      </c>
      <c r="E41" s="3" t="s">
        <v>212</v>
      </c>
      <c r="F41" t="s">
        <v>213</v>
      </c>
    </row>
    <row r="42" spans="1:6" ht="15.75" customHeight="1">
      <c r="A42" s="24">
        <v>46030</v>
      </c>
      <c r="B42" s="18" t="s">
        <v>655</v>
      </c>
      <c r="C42" s="3" t="s">
        <v>130</v>
      </c>
      <c r="D42" s="19">
        <v>533.92999999999995</v>
      </c>
      <c r="E42" s="3" t="s">
        <v>212</v>
      </c>
      <c r="F42" t="s">
        <v>213</v>
      </c>
    </row>
    <row r="43" spans="1:6" ht="15.75" customHeight="1">
      <c r="A43" s="14">
        <v>46030</v>
      </c>
      <c r="B43" s="20" t="s">
        <v>668</v>
      </c>
      <c r="C43" s="3" t="s">
        <v>130</v>
      </c>
      <c r="D43" s="21">
        <v>774.38</v>
      </c>
      <c r="E43" s="3" t="s">
        <v>212</v>
      </c>
      <c r="F43" t="s">
        <v>213</v>
      </c>
    </row>
    <row r="44" spans="1:6" ht="15.75" customHeight="1">
      <c r="A44" s="24">
        <v>46030</v>
      </c>
      <c r="B44" s="18" t="s">
        <v>669</v>
      </c>
      <c r="C44" s="3" t="s">
        <v>130</v>
      </c>
      <c r="D44" s="19">
        <v>1847.75</v>
      </c>
      <c r="E44" s="3" t="s">
        <v>212</v>
      </c>
      <c r="F44" t="s">
        <v>213</v>
      </c>
    </row>
    <row r="45" spans="1:6" ht="15.75" customHeight="1">
      <c r="A45" s="14">
        <v>46030</v>
      </c>
      <c r="B45" s="20" t="s">
        <v>657</v>
      </c>
      <c r="C45" s="3" t="s">
        <v>130</v>
      </c>
      <c r="D45" s="21">
        <v>607.53</v>
      </c>
      <c r="E45" s="3" t="s">
        <v>212</v>
      </c>
      <c r="F45" t="s">
        <v>213</v>
      </c>
    </row>
    <row r="46" spans="1:6" ht="15.75" customHeight="1">
      <c r="A46" s="24">
        <v>46030</v>
      </c>
      <c r="B46" s="18" t="s">
        <v>670</v>
      </c>
      <c r="C46" s="3" t="s">
        <v>130</v>
      </c>
      <c r="D46" s="19">
        <v>264</v>
      </c>
      <c r="E46" s="3" t="s">
        <v>212</v>
      </c>
      <c r="F46" t="s">
        <v>213</v>
      </c>
    </row>
    <row r="47" spans="1:6" ht="15.75" customHeight="1">
      <c r="A47" s="14">
        <v>46030</v>
      </c>
      <c r="B47" s="20" t="s">
        <v>650</v>
      </c>
      <c r="C47" s="3" t="s">
        <v>130</v>
      </c>
      <c r="D47" s="21">
        <v>633.20000000000005</v>
      </c>
      <c r="E47" s="3" t="s">
        <v>212</v>
      </c>
      <c r="F47" t="s">
        <v>213</v>
      </c>
    </row>
    <row r="48" spans="1:6" ht="15.75" customHeight="1">
      <c r="A48" s="24">
        <v>46030</v>
      </c>
      <c r="B48" s="18" t="s">
        <v>671</v>
      </c>
      <c r="C48" s="3" t="s">
        <v>130</v>
      </c>
      <c r="D48" s="19">
        <v>945.24</v>
      </c>
      <c r="E48" s="3" t="s">
        <v>212</v>
      </c>
      <c r="F48" t="s">
        <v>213</v>
      </c>
    </row>
    <row r="49" spans="1:6" ht="15.75" customHeight="1">
      <c r="A49" s="14">
        <v>46030</v>
      </c>
      <c r="B49" s="20" t="s">
        <v>672</v>
      </c>
      <c r="C49" s="3" t="s">
        <v>130</v>
      </c>
      <c r="D49" s="21">
        <v>150</v>
      </c>
      <c r="E49" s="3" t="s">
        <v>212</v>
      </c>
      <c r="F49" t="s">
        <v>213</v>
      </c>
    </row>
    <row r="50" spans="1:6" ht="15.75" customHeight="1">
      <c r="A50" s="14">
        <v>46030</v>
      </c>
      <c r="B50" s="20" t="s">
        <v>127</v>
      </c>
      <c r="C50" s="3" t="s">
        <v>128</v>
      </c>
      <c r="D50" s="21">
        <v>10.199999999999999</v>
      </c>
      <c r="E50" s="3" t="s">
        <v>212</v>
      </c>
      <c r="F50" t="s">
        <v>213</v>
      </c>
    </row>
    <row r="51" spans="1:6" ht="15.75" customHeight="1">
      <c r="A51" s="24">
        <v>46031</v>
      </c>
      <c r="B51" s="18" t="s">
        <v>673</v>
      </c>
      <c r="C51" s="3" t="s">
        <v>130</v>
      </c>
      <c r="D51" s="19">
        <v>3830</v>
      </c>
      <c r="E51" s="3" t="s">
        <v>212</v>
      </c>
      <c r="F51" t="s">
        <v>213</v>
      </c>
    </row>
    <row r="52" spans="1:6" ht="15.75" customHeight="1">
      <c r="A52" s="14">
        <v>46031</v>
      </c>
      <c r="B52" s="20" t="s">
        <v>674</v>
      </c>
      <c r="C52" s="3" t="s">
        <v>130</v>
      </c>
      <c r="D52" s="21">
        <v>506.96</v>
      </c>
      <c r="E52" s="3" t="s">
        <v>212</v>
      </c>
      <c r="F52" t="s">
        <v>213</v>
      </c>
    </row>
    <row r="53" spans="1:6" ht="15.75" customHeight="1">
      <c r="A53" s="14">
        <v>46031</v>
      </c>
      <c r="B53" s="22" t="s">
        <v>675</v>
      </c>
      <c r="C53" s="3" t="s">
        <v>132</v>
      </c>
      <c r="D53" s="23">
        <v>1500</v>
      </c>
      <c r="E53" s="3" t="s">
        <v>212</v>
      </c>
      <c r="F53" t="s">
        <v>213</v>
      </c>
    </row>
    <row r="54" spans="1:6" ht="15.75" customHeight="1">
      <c r="A54" s="14">
        <v>46031</v>
      </c>
      <c r="B54" s="22" t="s">
        <v>676</v>
      </c>
      <c r="C54" s="3" t="s">
        <v>130</v>
      </c>
      <c r="D54" s="23">
        <v>455.4</v>
      </c>
      <c r="E54" s="3" t="s">
        <v>212</v>
      </c>
      <c r="F54" t="s">
        <v>213</v>
      </c>
    </row>
    <row r="55" spans="1:6" ht="15.75" customHeight="1">
      <c r="A55" s="14">
        <v>46031</v>
      </c>
      <c r="B55" s="22" t="s">
        <v>677</v>
      </c>
      <c r="C55" s="3" t="s">
        <v>132</v>
      </c>
      <c r="D55" s="23">
        <v>1167.5</v>
      </c>
      <c r="E55" s="3" t="s">
        <v>212</v>
      </c>
      <c r="F55" t="s">
        <v>213</v>
      </c>
    </row>
    <row r="56" spans="1:6" ht="15.75" customHeight="1">
      <c r="A56" s="14">
        <v>46031</v>
      </c>
      <c r="B56" s="15" t="s">
        <v>127</v>
      </c>
      <c r="C56" s="16" t="s">
        <v>128</v>
      </c>
      <c r="D56" s="17">
        <v>17</v>
      </c>
      <c r="E56" s="3" t="s">
        <v>212</v>
      </c>
      <c r="F56" t="s">
        <v>213</v>
      </c>
    </row>
    <row r="57" spans="1:6" ht="15.75" customHeight="1">
      <c r="A57" s="14">
        <v>46031</v>
      </c>
      <c r="B57" s="15" t="s">
        <v>678</v>
      </c>
      <c r="C57" s="16" t="s">
        <v>132</v>
      </c>
      <c r="D57" s="17">
        <v>970.49</v>
      </c>
      <c r="E57" s="3" t="s">
        <v>212</v>
      </c>
      <c r="F57" t="s">
        <v>213</v>
      </c>
    </row>
    <row r="58" spans="1:6" ht="15.75" customHeight="1">
      <c r="A58" s="14">
        <v>46034</v>
      </c>
      <c r="B58" s="22" t="s">
        <v>679</v>
      </c>
      <c r="C58" s="3" t="s">
        <v>130</v>
      </c>
      <c r="D58" s="23">
        <v>1426.53</v>
      </c>
      <c r="E58" s="3" t="s">
        <v>212</v>
      </c>
      <c r="F58" t="s">
        <v>213</v>
      </c>
    </row>
    <row r="59" spans="1:6" ht="15.75" customHeight="1">
      <c r="A59" s="14">
        <v>46034</v>
      </c>
      <c r="B59" s="22" t="s">
        <v>671</v>
      </c>
      <c r="C59" s="3" t="s">
        <v>130</v>
      </c>
      <c r="D59" s="23">
        <v>1574.91</v>
      </c>
      <c r="E59" s="3" t="s">
        <v>212</v>
      </c>
      <c r="F59" t="s">
        <v>213</v>
      </c>
    </row>
    <row r="60" spans="1:6" ht="15.75" customHeight="1">
      <c r="A60" s="14">
        <v>46034</v>
      </c>
      <c r="B60" s="22" t="s">
        <v>680</v>
      </c>
      <c r="C60" s="3" t="s">
        <v>130</v>
      </c>
      <c r="D60" s="23">
        <v>790.56</v>
      </c>
      <c r="E60" s="3" t="s">
        <v>212</v>
      </c>
      <c r="F60" t="s">
        <v>213</v>
      </c>
    </row>
    <row r="61" spans="1:6" ht="15.75" customHeight="1">
      <c r="A61" s="14">
        <v>46034</v>
      </c>
      <c r="B61" s="22" t="s">
        <v>681</v>
      </c>
      <c r="C61" s="3" t="s">
        <v>130</v>
      </c>
      <c r="D61" s="23">
        <v>20</v>
      </c>
      <c r="E61" s="3" t="s">
        <v>212</v>
      </c>
      <c r="F61" t="s">
        <v>213</v>
      </c>
    </row>
    <row r="62" spans="1:6" ht="15.75" customHeight="1">
      <c r="A62" s="14">
        <v>46034</v>
      </c>
      <c r="B62" s="22" t="s">
        <v>652</v>
      </c>
      <c r="C62" s="3" t="s">
        <v>130</v>
      </c>
      <c r="D62" s="23">
        <v>225.7</v>
      </c>
      <c r="E62" s="3" t="s">
        <v>212</v>
      </c>
      <c r="F62" t="s">
        <v>213</v>
      </c>
    </row>
    <row r="63" spans="1:6" ht="15.75" customHeight="1">
      <c r="A63" s="14">
        <v>46034</v>
      </c>
      <c r="B63" s="22" t="s">
        <v>658</v>
      </c>
      <c r="C63" s="3" t="s">
        <v>130</v>
      </c>
      <c r="D63" s="23">
        <v>589.73</v>
      </c>
      <c r="E63" s="3" t="s">
        <v>212</v>
      </c>
      <c r="F63" t="s">
        <v>213</v>
      </c>
    </row>
    <row r="64" spans="1:6" ht="15.75" customHeight="1">
      <c r="A64" s="14">
        <v>46034</v>
      </c>
      <c r="B64" s="22" t="s">
        <v>682</v>
      </c>
      <c r="C64" s="3" t="s">
        <v>130</v>
      </c>
      <c r="D64" s="23">
        <v>455</v>
      </c>
      <c r="E64" s="3" t="s">
        <v>212</v>
      </c>
      <c r="F64" t="s">
        <v>213</v>
      </c>
    </row>
    <row r="65" spans="1:6" ht="15.75" customHeight="1">
      <c r="A65" s="14">
        <v>46034</v>
      </c>
      <c r="B65" s="22" t="s">
        <v>683</v>
      </c>
      <c r="C65" s="3" t="s">
        <v>130</v>
      </c>
      <c r="D65" s="23">
        <v>457.04</v>
      </c>
      <c r="E65" s="3" t="s">
        <v>212</v>
      </c>
      <c r="F65" t="s">
        <v>213</v>
      </c>
    </row>
    <row r="66" spans="1:6" ht="15.75" customHeight="1">
      <c r="A66" s="14">
        <v>46034</v>
      </c>
      <c r="B66" s="22" t="s">
        <v>657</v>
      </c>
      <c r="C66" s="3" t="s">
        <v>130</v>
      </c>
      <c r="D66" s="23">
        <v>45.26</v>
      </c>
      <c r="E66" s="3" t="s">
        <v>212</v>
      </c>
      <c r="F66" t="s">
        <v>213</v>
      </c>
    </row>
    <row r="67" spans="1:6" ht="15.75" customHeight="1">
      <c r="A67" s="14">
        <v>46034</v>
      </c>
      <c r="B67" s="22" t="s">
        <v>684</v>
      </c>
      <c r="C67" s="3" t="s">
        <v>130</v>
      </c>
      <c r="D67" s="23">
        <v>869.1</v>
      </c>
      <c r="E67" s="3" t="s">
        <v>212</v>
      </c>
      <c r="F67" t="s">
        <v>213</v>
      </c>
    </row>
    <row r="68" spans="1:6" ht="15.75" customHeight="1">
      <c r="A68" s="14">
        <v>46034</v>
      </c>
      <c r="B68" s="22" t="s">
        <v>652</v>
      </c>
      <c r="C68" s="3" t="s">
        <v>130</v>
      </c>
      <c r="D68" s="23">
        <v>628.5</v>
      </c>
      <c r="E68" s="3" t="s">
        <v>212</v>
      </c>
      <c r="F68" t="s">
        <v>213</v>
      </c>
    </row>
    <row r="69" spans="1:6" ht="15.75" customHeight="1">
      <c r="A69" s="14">
        <v>46034</v>
      </c>
      <c r="B69" s="22" t="s">
        <v>685</v>
      </c>
      <c r="C69" s="3" t="s">
        <v>132</v>
      </c>
      <c r="D69" s="23">
        <v>2261.3200000000002</v>
      </c>
      <c r="E69" s="3" t="s">
        <v>212</v>
      </c>
      <c r="F69" t="s">
        <v>213</v>
      </c>
    </row>
    <row r="70" spans="1:6" ht="15.75" customHeight="1">
      <c r="A70" s="14">
        <v>46034</v>
      </c>
      <c r="B70" s="22" t="s">
        <v>686</v>
      </c>
      <c r="C70" s="3" t="s">
        <v>130</v>
      </c>
      <c r="D70" s="23">
        <v>592.01</v>
      </c>
      <c r="E70" s="3" t="s">
        <v>212</v>
      </c>
      <c r="F70" t="s">
        <v>213</v>
      </c>
    </row>
    <row r="71" spans="1:6" ht="15.75" customHeight="1">
      <c r="A71" s="14">
        <v>46034</v>
      </c>
      <c r="B71" s="22" t="s">
        <v>687</v>
      </c>
      <c r="C71" s="3" t="s">
        <v>132</v>
      </c>
      <c r="D71" s="23">
        <v>47.37</v>
      </c>
      <c r="E71" s="3" t="s">
        <v>212</v>
      </c>
      <c r="F71" t="s">
        <v>213</v>
      </c>
    </row>
    <row r="72" spans="1:6" ht="15.75" customHeight="1">
      <c r="A72" s="14">
        <v>46034</v>
      </c>
      <c r="B72" s="22" t="s">
        <v>663</v>
      </c>
      <c r="C72" s="3" t="s">
        <v>130</v>
      </c>
      <c r="D72" s="23">
        <v>451.13</v>
      </c>
      <c r="E72" s="3" t="s">
        <v>212</v>
      </c>
      <c r="F72" t="s">
        <v>213</v>
      </c>
    </row>
    <row r="73" spans="1:6" ht="15.75" customHeight="1">
      <c r="A73" s="14">
        <v>46034</v>
      </c>
      <c r="B73" s="22" t="s">
        <v>663</v>
      </c>
      <c r="C73" s="3" t="s">
        <v>130</v>
      </c>
      <c r="D73" s="23">
        <v>553.80999999999995</v>
      </c>
      <c r="E73" s="3" t="s">
        <v>212</v>
      </c>
      <c r="F73" t="s">
        <v>213</v>
      </c>
    </row>
    <row r="74" spans="1:6" ht="15.75" customHeight="1">
      <c r="A74" s="14">
        <v>46034</v>
      </c>
      <c r="B74" s="22" t="s">
        <v>688</v>
      </c>
      <c r="C74" s="3" t="s">
        <v>130</v>
      </c>
      <c r="D74" s="23">
        <v>35</v>
      </c>
      <c r="E74" s="3" t="s">
        <v>212</v>
      </c>
      <c r="F74" t="s">
        <v>213</v>
      </c>
    </row>
    <row r="75" spans="1:6" ht="15.75" customHeight="1">
      <c r="A75" s="14">
        <v>46034</v>
      </c>
      <c r="B75" s="22" t="s">
        <v>655</v>
      </c>
      <c r="C75" s="3" t="s">
        <v>130</v>
      </c>
      <c r="D75" s="23">
        <v>601.20000000000005</v>
      </c>
      <c r="E75" s="3" t="s">
        <v>212</v>
      </c>
      <c r="F75" t="s">
        <v>213</v>
      </c>
    </row>
    <row r="76" spans="1:6" ht="15.75" customHeight="1">
      <c r="A76" s="14">
        <v>46034</v>
      </c>
      <c r="B76" s="22" t="s">
        <v>655</v>
      </c>
      <c r="C76" s="3" t="s">
        <v>130</v>
      </c>
      <c r="D76" s="23">
        <v>544.29999999999995</v>
      </c>
      <c r="E76" s="3" t="s">
        <v>212</v>
      </c>
      <c r="F76" t="s">
        <v>213</v>
      </c>
    </row>
    <row r="77" spans="1:6" ht="15.75" customHeight="1">
      <c r="A77" s="14">
        <v>46034</v>
      </c>
      <c r="B77" s="15" t="s">
        <v>127</v>
      </c>
      <c r="C77" s="3" t="s">
        <v>128</v>
      </c>
      <c r="D77" s="17">
        <v>11.9</v>
      </c>
      <c r="E77" s="3" t="s">
        <v>212</v>
      </c>
      <c r="F77" t="s">
        <v>213</v>
      </c>
    </row>
    <row r="78" spans="1:6" ht="15.75" customHeight="1">
      <c r="A78" s="14">
        <v>46035</v>
      </c>
      <c r="B78" s="15" t="s">
        <v>689</v>
      </c>
      <c r="C78" s="3" t="s">
        <v>130</v>
      </c>
      <c r="D78" s="17">
        <v>529.5</v>
      </c>
      <c r="E78" s="3" t="s">
        <v>212</v>
      </c>
      <c r="F78" t="s">
        <v>213</v>
      </c>
    </row>
    <row r="79" spans="1:6" ht="15.75" customHeight="1">
      <c r="A79" s="14">
        <v>46035</v>
      </c>
      <c r="B79" s="15" t="s">
        <v>650</v>
      </c>
      <c r="C79" s="3" t="s">
        <v>130</v>
      </c>
      <c r="D79" s="17">
        <v>286.66000000000003</v>
      </c>
      <c r="E79" s="3" t="s">
        <v>212</v>
      </c>
      <c r="F79" t="s">
        <v>213</v>
      </c>
    </row>
    <row r="80" spans="1:6" ht="15.75" customHeight="1">
      <c r="A80" s="14">
        <v>46035</v>
      </c>
      <c r="B80" s="15" t="s">
        <v>127</v>
      </c>
      <c r="C80" s="16" t="s">
        <v>128</v>
      </c>
      <c r="D80" s="17">
        <v>5.0999999999999996</v>
      </c>
      <c r="E80" s="3" t="s">
        <v>212</v>
      </c>
      <c r="F80" t="s">
        <v>213</v>
      </c>
    </row>
    <row r="81" spans="1:6" ht="15.75" customHeight="1">
      <c r="A81" s="14">
        <v>46036</v>
      </c>
      <c r="B81" s="15" t="s">
        <v>127</v>
      </c>
      <c r="C81" s="16" t="s">
        <v>128</v>
      </c>
      <c r="D81" s="17">
        <v>8.5</v>
      </c>
      <c r="E81" s="3" t="s">
        <v>212</v>
      </c>
      <c r="F81" t="s">
        <v>213</v>
      </c>
    </row>
    <row r="82" spans="1:6" ht="15.75" customHeight="1">
      <c r="A82" s="14">
        <v>46036</v>
      </c>
      <c r="B82" s="15" t="s">
        <v>655</v>
      </c>
      <c r="C82" s="16" t="s">
        <v>130</v>
      </c>
      <c r="D82" s="17">
        <v>2064.71</v>
      </c>
      <c r="E82" s="3" t="s">
        <v>212</v>
      </c>
      <c r="F82" t="s">
        <v>213</v>
      </c>
    </row>
    <row r="83" spans="1:6" ht="15.75" customHeight="1">
      <c r="A83" s="14">
        <v>46036</v>
      </c>
      <c r="B83" s="15" t="s">
        <v>655</v>
      </c>
      <c r="C83" s="16" t="s">
        <v>130</v>
      </c>
      <c r="D83" s="17">
        <v>717.27</v>
      </c>
      <c r="E83" s="3" t="s">
        <v>212</v>
      </c>
      <c r="F83" t="s">
        <v>213</v>
      </c>
    </row>
    <row r="84" spans="1:6" ht="15.75" customHeight="1">
      <c r="A84" s="14">
        <v>46037</v>
      </c>
      <c r="B84" s="15" t="s">
        <v>650</v>
      </c>
      <c r="C84" s="16" t="s">
        <v>130</v>
      </c>
      <c r="D84" s="17">
        <v>545</v>
      </c>
      <c r="E84" s="3" t="s">
        <v>212</v>
      </c>
      <c r="F84" t="s">
        <v>213</v>
      </c>
    </row>
    <row r="85" spans="1:6" ht="15.75" customHeight="1">
      <c r="A85" s="14">
        <v>46037</v>
      </c>
      <c r="B85" s="15" t="s">
        <v>690</v>
      </c>
      <c r="C85" s="16" t="s">
        <v>130</v>
      </c>
      <c r="D85" s="17">
        <v>725</v>
      </c>
      <c r="E85" s="3" t="s">
        <v>212</v>
      </c>
      <c r="F85" t="s">
        <v>213</v>
      </c>
    </row>
    <row r="86" spans="1:6" ht="15.75" customHeight="1">
      <c r="A86" s="14">
        <v>46037</v>
      </c>
      <c r="B86" s="15" t="s">
        <v>657</v>
      </c>
      <c r="C86" s="16" t="s">
        <v>130</v>
      </c>
      <c r="D86" s="17">
        <v>277.94</v>
      </c>
      <c r="E86" s="3" t="s">
        <v>212</v>
      </c>
      <c r="F86" t="s">
        <v>213</v>
      </c>
    </row>
    <row r="87" spans="1:6" ht="15.75" customHeight="1">
      <c r="A87" s="14">
        <v>46037</v>
      </c>
      <c r="B87" s="15" t="s">
        <v>144</v>
      </c>
      <c r="C87" s="16" t="s">
        <v>145</v>
      </c>
      <c r="D87" s="17">
        <v>573</v>
      </c>
      <c r="E87" s="3" t="s">
        <v>212</v>
      </c>
      <c r="F87" t="s">
        <v>213</v>
      </c>
    </row>
    <row r="88" spans="1:6" ht="15.75" customHeight="1">
      <c r="A88" s="14">
        <v>46037</v>
      </c>
      <c r="B88" s="15" t="s">
        <v>645</v>
      </c>
      <c r="C88" s="16" t="s">
        <v>130</v>
      </c>
      <c r="D88" s="17">
        <v>955.52</v>
      </c>
      <c r="E88" s="3" t="s">
        <v>212</v>
      </c>
      <c r="F88" t="s">
        <v>213</v>
      </c>
    </row>
    <row r="89" spans="1:6" ht="15.75" customHeight="1">
      <c r="A89" s="14">
        <v>46038</v>
      </c>
      <c r="B89" s="15" t="s">
        <v>691</v>
      </c>
      <c r="C89" s="16" t="s">
        <v>130</v>
      </c>
      <c r="D89" s="17">
        <v>391</v>
      </c>
      <c r="E89" s="3" t="s">
        <v>212</v>
      </c>
      <c r="F89" t="s">
        <v>213</v>
      </c>
    </row>
    <row r="90" spans="1:6" ht="15.75" customHeight="1">
      <c r="A90" s="14">
        <v>46038</v>
      </c>
      <c r="B90" s="15" t="s">
        <v>648</v>
      </c>
      <c r="C90" s="16" t="s">
        <v>130</v>
      </c>
      <c r="D90" s="17">
        <v>850</v>
      </c>
      <c r="E90" s="3" t="s">
        <v>212</v>
      </c>
      <c r="F90" t="s">
        <v>213</v>
      </c>
    </row>
    <row r="91" spans="1:6" ht="15.75" customHeight="1">
      <c r="A91" s="14">
        <v>46038</v>
      </c>
      <c r="B91" s="3" t="s">
        <v>692</v>
      </c>
      <c r="C91" s="16" t="s">
        <v>169</v>
      </c>
      <c r="D91" s="17">
        <v>550</v>
      </c>
      <c r="E91" s="3" t="s">
        <v>212</v>
      </c>
      <c r="F91" t="s">
        <v>213</v>
      </c>
    </row>
    <row r="92" spans="1:6" ht="15.75" customHeight="1">
      <c r="A92" s="14">
        <v>46038</v>
      </c>
      <c r="B92" s="15" t="s">
        <v>127</v>
      </c>
      <c r="C92" s="16" t="s">
        <v>128</v>
      </c>
      <c r="D92" s="17">
        <v>30.6</v>
      </c>
      <c r="E92" s="3" t="s">
        <v>212</v>
      </c>
      <c r="F92" t="s">
        <v>213</v>
      </c>
    </row>
    <row r="93" spans="1:6" ht="15.75" customHeight="1">
      <c r="A93" s="14">
        <v>46041</v>
      </c>
      <c r="B93" s="15" t="s">
        <v>655</v>
      </c>
      <c r="C93" s="16" t="s">
        <v>130</v>
      </c>
      <c r="D93" s="17">
        <v>433.71</v>
      </c>
      <c r="E93" s="3" t="s">
        <v>212</v>
      </c>
      <c r="F93" t="s">
        <v>213</v>
      </c>
    </row>
    <row r="94" spans="1:6" ht="15.75" customHeight="1">
      <c r="A94" s="14">
        <v>46041</v>
      </c>
      <c r="B94" s="15" t="s">
        <v>657</v>
      </c>
      <c r="C94" s="16" t="s">
        <v>130</v>
      </c>
      <c r="D94" s="17">
        <v>1253.33</v>
      </c>
      <c r="E94" s="3" t="s">
        <v>212</v>
      </c>
      <c r="F94" t="s">
        <v>213</v>
      </c>
    </row>
    <row r="95" spans="1:6" ht="15.75" customHeight="1">
      <c r="A95" s="14">
        <v>46041</v>
      </c>
      <c r="B95" s="15" t="s">
        <v>693</v>
      </c>
      <c r="C95" s="16" t="s">
        <v>130</v>
      </c>
      <c r="D95" s="17">
        <v>1203.6099999999999</v>
      </c>
      <c r="E95" s="3" t="s">
        <v>212</v>
      </c>
      <c r="F95" t="s">
        <v>213</v>
      </c>
    </row>
    <row r="96" spans="1:6" ht="15.75" customHeight="1">
      <c r="A96" s="14">
        <v>46041</v>
      </c>
      <c r="B96" s="15" t="s">
        <v>343</v>
      </c>
      <c r="C96" s="16" t="s">
        <v>110</v>
      </c>
      <c r="D96" s="17">
        <v>10000</v>
      </c>
      <c r="E96" s="3" t="s">
        <v>212</v>
      </c>
      <c r="F96" t="s">
        <v>213</v>
      </c>
    </row>
    <row r="97" spans="1:6" ht="15.75" customHeight="1">
      <c r="A97" s="14">
        <v>46041</v>
      </c>
      <c r="B97" s="15" t="s">
        <v>127</v>
      </c>
      <c r="C97" s="16" t="s">
        <v>128</v>
      </c>
      <c r="D97" s="17">
        <v>6.8</v>
      </c>
      <c r="E97" s="3" t="s">
        <v>212</v>
      </c>
      <c r="F97" t="s">
        <v>213</v>
      </c>
    </row>
    <row r="98" spans="1:6" ht="15.75" customHeight="1">
      <c r="A98" s="14">
        <v>46042</v>
      </c>
      <c r="B98" s="15" t="s">
        <v>694</v>
      </c>
      <c r="C98" s="16" t="s">
        <v>132</v>
      </c>
      <c r="D98" s="17">
        <v>207.97</v>
      </c>
      <c r="E98" s="3" t="s">
        <v>212</v>
      </c>
      <c r="F98" t="s">
        <v>213</v>
      </c>
    </row>
    <row r="99" spans="1:6" ht="15.75" customHeight="1">
      <c r="A99" s="14">
        <v>46042</v>
      </c>
      <c r="B99" s="15" t="s">
        <v>695</v>
      </c>
      <c r="C99" s="16" t="s">
        <v>132</v>
      </c>
      <c r="D99" s="17">
        <v>477.44</v>
      </c>
      <c r="E99" s="3" t="s">
        <v>212</v>
      </c>
      <c r="F99" t="s">
        <v>213</v>
      </c>
    </row>
    <row r="100" spans="1:6" ht="15.75" customHeight="1">
      <c r="A100" s="14">
        <v>46042</v>
      </c>
      <c r="B100" s="15" t="s">
        <v>696</v>
      </c>
      <c r="C100" s="16" t="s">
        <v>132</v>
      </c>
      <c r="D100" s="17">
        <v>1102.52</v>
      </c>
      <c r="E100" s="3" t="s">
        <v>212</v>
      </c>
      <c r="F100" t="s">
        <v>213</v>
      </c>
    </row>
    <row r="101" spans="1:6" ht="15.75" customHeight="1">
      <c r="A101" s="14">
        <v>46042</v>
      </c>
      <c r="B101" s="15" t="s">
        <v>697</v>
      </c>
      <c r="C101" s="16" t="s">
        <v>132</v>
      </c>
      <c r="D101" s="17">
        <v>720</v>
      </c>
      <c r="E101" s="3" t="s">
        <v>212</v>
      </c>
      <c r="F101" t="s">
        <v>213</v>
      </c>
    </row>
    <row r="102" spans="1:6" ht="15.75" customHeight="1">
      <c r="A102" s="14">
        <v>46042</v>
      </c>
      <c r="B102" s="15" t="s">
        <v>148</v>
      </c>
      <c r="C102" s="16" t="s">
        <v>149</v>
      </c>
      <c r="D102" s="17">
        <v>7456.26</v>
      </c>
      <c r="E102" s="3" t="s">
        <v>212</v>
      </c>
      <c r="F102" t="s">
        <v>213</v>
      </c>
    </row>
    <row r="103" spans="1:6" ht="15.75" customHeight="1">
      <c r="A103" s="14">
        <v>46042</v>
      </c>
      <c r="B103" s="15" t="s">
        <v>698</v>
      </c>
      <c r="C103" s="16" t="s">
        <v>141</v>
      </c>
      <c r="D103" s="17">
        <v>496.24</v>
      </c>
      <c r="E103" s="3" t="s">
        <v>212</v>
      </c>
      <c r="F103" t="s">
        <v>213</v>
      </c>
    </row>
    <row r="104" spans="1:6" ht="15.75" customHeight="1">
      <c r="A104" s="14">
        <v>46042</v>
      </c>
      <c r="B104" s="15" t="s">
        <v>698</v>
      </c>
      <c r="C104" s="16" t="s">
        <v>141</v>
      </c>
      <c r="D104" s="17">
        <v>473.47</v>
      </c>
      <c r="E104" s="3" t="s">
        <v>212</v>
      </c>
      <c r="F104" t="s">
        <v>213</v>
      </c>
    </row>
    <row r="105" spans="1:6" ht="15.75" customHeight="1">
      <c r="A105" s="14">
        <v>46043</v>
      </c>
      <c r="B105" s="15" t="s">
        <v>127</v>
      </c>
      <c r="C105" s="16" t="s">
        <v>128</v>
      </c>
      <c r="D105" s="17">
        <v>3.4</v>
      </c>
      <c r="E105" s="3" t="s">
        <v>212</v>
      </c>
      <c r="F105" t="s">
        <v>213</v>
      </c>
    </row>
    <row r="106" spans="1:6" ht="15.75" customHeight="1">
      <c r="A106" s="14">
        <v>46044</v>
      </c>
      <c r="B106" s="15" t="s">
        <v>699</v>
      </c>
      <c r="C106" s="16" t="s">
        <v>130</v>
      </c>
      <c r="D106" s="17">
        <v>410.87</v>
      </c>
      <c r="E106" s="3" t="s">
        <v>212</v>
      </c>
      <c r="F106" t="s">
        <v>213</v>
      </c>
    </row>
    <row r="107" spans="1:6" ht="15.75" customHeight="1">
      <c r="A107" s="14">
        <v>46044</v>
      </c>
      <c r="B107" s="15" t="s">
        <v>127</v>
      </c>
      <c r="C107" s="16" t="s">
        <v>128</v>
      </c>
      <c r="D107" s="17">
        <v>1.7</v>
      </c>
      <c r="E107" s="3" t="s">
        <v>212</v>
      </c>
      <c r="F107" t="s">
        <v>213</v>
      </c>
    </row>
    <row r="108" spans="1:6" ht="15.75" customHeight="1">
      <c r="A108" s="14">
        <v>46044</v>
      </c>
      <c r="B108" s="15" t="s">
        <v>693</v>
      </c>
      <c r="C108" s="16" t="s">
        <v>130</v>
      </c>
      <c r="D108" s="17">
        <v>945.24</v>
      </c>
      <c r="E108" s="3" t="s">
        <v>212</v>
      </c>
      <c r="F108" t="s">
        <v>213</v>
      </c>
    </row>
    <row r="109" spans="1:6" ht="15.75" customHeight="1">
      <c r="A109" s="14">
        <v>46044</v>
      </c>
      <c r="B109" s="15" t="s">
        <v>669</v>
      </c>
      <c r="C109" s="16" t="s">
        <v>130</v>
      </c>
      <c r="D109" s="17">
        <v>1327.43</v>
      </c>
      <c r="E109" s="3" t="s">
        <v>212</v>
      </c>
      <c r="F109" t="s">
        <v>213</v>
      </c>
    </row>
    <row r="110" spans="1:6" ht="15.75" customHeight="1">
      <c r="A110" s="14">
        <v>46045</v>
      </c>
      <c r="B110" s="15" t="s">
        <v>655</v>
      </c>
      <c r="C110" s="16" t="s">
        <v>130</v>
      </c>
      <c r="D110" s="17">
        <v>533.92999999999995</v>
      </c>
      <c r="E110" s="3" t="s">
        <v>212</v>
      </c>
      <c r="F110" t="s">
        <v>213</v>
      </c>
    </row>
    <row r="111" spans="1:6" ht="15.75" customHeight="1">
      <c r="A111" s="14">
        <v>46045</v>
      </c>
      <c r="B111" s="15" t="s">
        <v>127</v>
      </c>
      <c r="C111" s="16" t="s">
        <v>128</v>
      </c>
      <c r="D111" s="17">
        <v>1.7</v>
      </c>
      <c r="E111" s="3" t="s">
        <v>212</v>
      </c>
      <c r="F111" t="s">
        <v>213</v>
      </c>
    </row>
    <row r="112" spans="1:6" ht="15.75" customHeight="1">
      <c r="A112" s="14">
        <v>46048</v>
      </c>
      <c r="B112" s="15" t="s">
        <v>127</v>
      </c>
      <c r="C112" s="16" t="s">
        <v>128</v>
      </c>
      <c r="D112" s="17">
        <v>8.5</v>
      </c>
      <c r="E112" s="3" t="s">
        <v>212</v>
      </c>
      <c r="F112" t="s">
        <v>213</v>
      </c>
    </row>
    <row r="113" spans="1:6" ht="15.75" customHeight="1">
      <c r="A113" s="14">
        <v>46048</v>
      </c>
      <c r="B113" s="15" t="s">
        <v>700</v>
      </c>
      <c r="C113" s="16" t="s">
        <v>145</v>
      </c>
      <c r="D113" s="17">
        <v>213.32</v>
      </c>
      <c r="E113" s="3" t="s">
        <v>212</v>
      </c>
      <c r="F113" t="s">
        <v>213</v>
      </c>
    </row>
    <row r="114" spans="1:6" ht="15.75" customHeight="1">
      <c r="A114" s="14">
        <v>46048</v>
      </c>
      <c r="B114" s="15" t="s">
        <v>701</v>
      </c>
      <c r="C114" s="16" t="s">
        <v>143</v>
      </c>
      <c r="D114" s="17">
        <v>378</v>
      </c>
      <c r="E114" s="3" t="s">
        <v>212</v>
      </c>
      <c r="F114" t="s">
        <v>213</v>
      </c>
    </row>
    <row r="115" spans="1:6" ht="15.75" customHeight="1">
      <c r="A115" s="14">
        <v>46048</v>
      </c>
      <c r="B115" s="15" t="s">
        <v>673</v>
      </c>
      <c r="C115" s="16" t="s">
        <v>130</v>
      </c>
      <c r="D115" s="17">
        <v>3830</v>
      </c>
      <c r="E115" s="3" t="s">
        <v>212</v>
      </c>
      <c r="F115" t="s">
        <v>213</v>
      </c>
    </row>
    <row r="116" spans="1:6" ht="15.75" customHeight="1">
      <c r="A116" s="14">
        <v>46048</v>
      </c>
      <c r="B116" s="15" t="s">
        <v>655</v>
      </c>
      <c r="C116" s="16" t="s">
        <v>130</v>
      </c>
      <c r="D116" s="17">
        <v>2064.71</v>
      </c>
      <c r="E116" s="3" t="s">
        <v>212</v>
      </c>
      <c r="F116" t="s">
        <v>213</v>
      </c>
    </row>
    <row r="117" spans="1:6" ht="15.75" customHeight="1">
      <c r="A117" s="14">
        <v>46048</v>
      </c>
      <c r="B117" s="15" t="s">
        <v>679</v>
      </c>
      <c r="C117" s="16" t="s">
        <v>130</v>
      </c>
      <c r="D117" s="17">
        <v>1426.53</v>
      </c>
      <c r="E117" s="3" t="s">
        <v>212</v>
      </c>
      <c r="F117" t="s">
        <v>213</v>
      </c>
    </row>
    <row r="118" spans="1:6" ht="15.75" customHeight="1">
      <c r="A118" s="14">
        <v>46048</v>
      </c>
      <c r="B118" s="15" t="s">
        <v>663</v>
      </c>
      <c r="C118" s="16" t="s">
        <v>130</v>
      </c>
      <c r="D118" s="17">
        <v>490.1</v>
      </c>
      <c r="E118" s="3" t="s">
        <v>212</v>
      </c>
      <c r="F118" t="s">
        <v>213</v>
      </c>
    </row>
    <row r="119" spans="1:6" ht="15.75" customHeight="1">
      <c r="A119" s="14">
        <v>46048</v>
      </c>
      <c r="B119" s="15" t="s">
        <v>702</v>
      </c>
      <c r="C119" s="16" t="s">
        <v>145</v>
      </c>
      <c r="D119" s="17">
        <v>368.11</v>
      </c>
      <c r="E119" s="3" t="s">
        <v>212</v>
      </c>
      <c r="F119" t="s">
        <v>213</v>
      </c>
    </row>
    <row r="120" spans="1:6" ht="15.75" customHeight="1">
      <c r="A120" s="14">
        <v>46048</v>
      </c>
      <c r="B120" s="15" t="s">
        <v>693</v>
      </c>
      <c r="C120" s="16" t="s">
        <v>130</v>
      </c>
      <c r="D120" s="17">
        <v>1203.6099999999999</v>
      </c>
      <c r="E120" s="3" t="s">
        <v>212</v>
      </c>
      <c r="F120" t="s">
        <v>213</v>
      </c>
    </row>
    <row r="121" spans="1:6" ht="15.75" customHeight="1">
      <c r="A121" s="14">
        <v>46048</v>
      </c>
      <c r="B121" s="15" t="s">
        <v>655</v>
      </c>
      <c r="C121" s="16" t="s">
        <v>130</v>
      </c>
      <c r="D121" s="17">
        <v>544.29999999999995</v>
      </c>
      <c r="E121" s="3" t="s">
        <v>212</v>
      </c>
      <c r="F121" t="s">
        <v>213</v>
      </c>
    </row>
    <row r="122" spans="1:6" ht="15.75" customHeight="1">
      <c r="A122" s="14">
        <v>46048</v>
      </c>
      <c r="B122" s="15" t="s">
        <v>703</v>
      </c>
      <c r="C122" s="16" t="s">
        <v>143</v>
      </c>
      <c r="D122" s="17">
        <v>1363.18</v>
      </c>
      <c r="E122" s="3" t="s">
        <v>212</v>
      </c>
      <c r="F122" t="s">
        <v>213</v>
      </c>
    </row>
    <row r="123" spans="1:6" ht="15.75" customHeight="1">
      <c r="A123" s="14">
        <v>46048</v>
      </c>
      <c r="B123" s="15" t="s">
        <v>652</v>
      </c>
      <c r="C123" s="16" t="s">
        <v>130</v>
      </c>
      <c r="D123" s="17">
        <v>628.5</v>
      </c>
      <c r="E123" s="3" t="s">
        <v>212</v>
      </c>
      <c r="F123" t="s">
        <v>213</v>
      </c>
    </row>
    <row r="124" spans="1:6" ht="15.75" customHeight="1">
      <c r="A124" s="14">
        <v>46048</v>
      </c>
      <c r="B124" s="15" t="s">
        <v>649</v>
      </c>
      <c r="C124" s="16" t="s">
        <v>130</v>
      </c>
      <c r="D124" s="17">
        <v>272</v>
      </c>
      <c r="E124" s="3" t="s">
        <v>212</v>
      </c>
      <c r="F124" t="s">
        <v>213</v>
      </c>
    </row>
    <row r="125" spans="1:6" ht="15.75" customHeight="1">
      <c r="A125" s="14">
        <v>46048</v>
      </c>
      <c r="B125" s="18" t="s">
        <v>665</v>
      </c>
      <c r="C125" s="3" t="s">
        <v>141</v>
      </c>
      <c r="D125" s="19">
        <v>800</v>
      </c>
      <c r="E125" s="3" t="s">
        <v>212</v>
      </c>
      <c r="F125" t="s">
        <v>213</v>
      </c>
    </row>
    <row r="126" spans="1:6" ht="15.75" customHeight="1">
      <c r="A126" s="14">
        <v>46048</v>
      </c>
      <c r="B126" s="15" t="s">
        <v>657</v>
      </c>
      <c r="C126" s="16" t="s">
        <v>130</v>
      </c>
      <c r="D126" s="17">
        <v>95.55</v>
      </c>
      <c r="E126" s="3" t="s">
        <v>212</v>
      </c>
      <c r="F126" t="s">
        <v>213</v>
      </c>
    </row>
    <row r="127" spans="1:6" ht="15.75" customHeight="1">
      <c r="A127" s="14">
        <v>46048</v>
      </c>
      <c r="B127" s="15" t="s">
        <v>657</v>
      </c>
      <c r="C127" s="16" t="s">
        <v>130</v>
      </c>
      <c r="D127" s="17">
        <v>32.01</v>
      </c>
      <c r="E127" s="3" t="s">
        <v>212</v>
      </c>
      <c r="F127" t="s">
        <v>213</v>
      </c>
    </row>
    <row r="128" spans="1:6" ht="15.75" customHeight="1">
      <c r="A128" s="14">
        <v>46049</v>
      </c>
      <c r="B128" s="15" t="s">
        <v>704</v>
      </c>
      <c r="C128" s="16" t="s">
        <v>145</v>
      </c>
      <c r="D128" s="17">
        <v>4200</v>
      </c>
      <c r="E128" s="3" t="s">
        <v>212</v>
      </c>
      <c r="F128" t="s">
        <v>213</v>
      </c>
    </row>
    <row r="129" spans="1:7" ht="15.75" customHeight="1">
      <c r="A129" s="14">
        <v>46049</v>
      </c>
      <c r="B129" s="15" t="s">
        <v>127</v>
      </c>
      <c r="C129" s="16" t="s">
        <v>128</v>
      </c>
      <c r="D129" s="17">
        <v>1.7</v>
      </c>
      <c r="E129" s="3" t="s">
        <v>212</v>
      </c>
      <c r="F129" t="s">
        <v>213</v>
      </c>
    </row>
    <row r="130" spans="1:7" ht="15.75" customHeight="1">
      <c r="A130" s="14">
        <v>46050</v>
      </c>
      <c r="B130" s="15" t="s">
        <v>650</v>
      </c>
      <c r="C130" s="16" t="s">
        <v>130</v>
      </c>
      <c r="D130" s="17">
        <v>53</v>
      </c>
      <c r="E130" s="3" t="s">
        <v>212</v>
      </c>
      <c r="F130" t="s">
        <v>213</v>
      </c>
    </row>
    <row r="131" spans="1:7" ht="15.75" customHeight="1">
      <c r="A131" s="14">
        <v>46050</v>
      </c>
      <c r="B131" s="15" t="s">
        <v>158</v>
      </c>
      <c r="C131" s="16" t="s">
        <v>159</v>
      </c>
      <c r="D131" s="17">
        <v>250</v>
      </c>
      <c r="E131" s="3" t="s">
        <v>212</v>
      </c>
      <c r="F131" t="s">
        <v>213</v>
      </c>
    </row>
    <row r="132" spans="1:7" ht="15.75" customHeight="1">
      <c r="A132" s="14">
        <v>46050</v>
      </c>
      <c r="B132" s="15" t="s">
        <v>705</v>
      </c>
      <c r="C132" s="16" t="s">
        <v>706</v>
      </c>
      <c r="D132" s="17">
        <v>147</v>
      </c>
      <c r="E132" s="3" t="s">
        <v>212</v>
      </c>
      <c r="F132" t="s">
        <v>213</v>
      </c>
    </row>
    <row r="133" spans="1:7" ht="15.75" customHeight="1">
      <c r="A133" s="14">
        <v>46050</v>
      </c>
      <c r="B133" s="15" t="s">
        <v>707</v>
      </c>
      <c r="C133" s="16" t="s">
        <v>132</v>
      </c>
      <c r="D133" s="17">
        <v>1000</v>
      </c>
      <c r="E133" s="3" t="s">
        <v>212</v>
      </c>
      <c r="F133" t="s">
        <v>213</v>
      </c>
    </row>
    <row r="134" spans="1:7" ht="15.75" customHeight="1">
      <c r="A134" s="14">
        <v>46051</v>
      </c>
      <c r="B134" s="15" t="s">
        <v>127</v>
      </c>
      <c r="C134" s="16" t="s">
        <v>128</v>
      </c>
      <c r="D134" s="17">
        <v>1.7</v>
      </c>
      <c r="E134" s="3" t="s">
        <v>212</v>
      </c>
      <c r="F134" t="s">
        <v>213</v>
      </c>
    </row>
    <row r="135" spans="1:7" ht="15.75" customHeight="1">
      <c r="A135" s="14">
        <v>46052</v>
      </c>
      <c r="B135" s="15" t="s">
        <v>708</v>
      </c>
      <c r="C135" s="16" t="s">
        <v>169</v>
      </c>
      <c r="D135" s="17">
        <v>820</v>
      </c>
      <c r="E135" s="3" t="s">
        <v>212</v>
      </c>
      <c r="F135" t="s">
        <v>213</v>
      </c>
    </row>
    <row r="136" spans="1:7" ht="15.75" customHeight="1">
      <c r="A136" s="14">
        <v>46052</v>
      </c>
      <c r="B136" s="15" t="s">
        <v>649</v>
      </c>
      <c r="C136" s="16" t="s">
        <v>130</v>
      </c>
      <c r="D136" s="17">
        <v>450</v>
      </c>
      <c r="E136" s="3" t="s">
        <v>212</v>
      </c>
      <c r="F136" t="s">
        <v>213</v>
      </c>
    </row>
    <row r="137" spans="1:7" ht="15.75" customHeight="1">
      <c r="A137" s="14">
        <v>46052</v>
      </c>
      <c r="B137" s="15" t="s">
        <v>154</v>
      </c>
      <c r="C137" s="16" t="s">
        <v>147</v>
      </c>
      <c r="D137" s="17">
        <v>2500</v>
      </c>
      <c r="E137" s="3" t="s">
        <v>212</v>
      </c>
      <c r="F137" t="s">
        <v>213</v>
      </c>
    </row>
    <row r="138" spans="1:7" ht="15.75" customHeight="1">
      <c r="A138" s="14">
        <v>46052</v>
      </c>
      <c r="B138" s="15" t="s">
        <v>127</v>
      </c>
      <c r="C138" s="16" t="s">
        <v>128</v>
      </c>
      <c r="D138" s="17">
        <v>3.4</v>
      </c>
      <c r="E138" s="3" t="s">
        <v>212</v>
      </c>
      <c r="F138" t="s">
        <v>213</v>
      </c>
    </row>
    <row r="139" spans="1:7" ht="15.75" customHeight="1">
      <c r="A139" s="14">
        <v>46036</v>
      </c>
      <c r="B139" s="3" t="s">
        <v>123</v>
      </c>
      <c r="C139" s="16" t="s">
        <v>173</v>
      </c>
      <c r="D139" s="25">
        <v>6175.89</v>
      </c>
      <c r="E139" s="3" t="s">
        <v>341</v>
      </c>
      <c r="F139" t="s">
        <v>213</v>
      </c>
    </row>
    <row r="140" spans="1:7" ht="15.75" customHeight="1">
      <c r="A140" s="14">
        <v>46037</v>
      </c>
      <c r="B140" s="3" t="s">
        <v>709</v>
      </c>
      <c r="C140" s="16" t="s">
        <v>128</v>
      </c>
      <c r="D140" s="25">
        <v>209.66</v>
      </c>
      <c r="E140" s="3" t="s">
        <v>341</v>
      </c>
      <c r="F140" t="s">
        <v>213</v>
      </c>
    </row>
    <row r="141" spans="1:7" ht="15.75" customHeight="1">
      <c r="A141" s="14">
        <v>46044</v>
      </c>
      <c r="B141" s="3" t="s">
        <v>710</v>
      </c>
      <c r="C141" s="16" t="s">
        <v>711</v>
      </c>
      <c r="D141" s="25">
        <v>1207</v>
      </c>
      <c r="E141" s="3" t="s">
        <v>341</v>
      </c>
      <c r="F141" t="s">
        <v>213</v>
      </c>
    </row>
    <row r="142" spans="1:7" ht="15.75" customHeight="1">
      <c r="A142" s="105">
        <v>46055</v>
      </c>
      <c r="B142" s="106" t="s">
        <v>712</v>
      </c>
      <c r="C142" s="107" t="s">
        <v>130</v>
      </c>
      <c r="D142" s="108">
        <v>1176</v>
      </c>
      <c r="E142" s="109" t="s">
        <v>212</v>
      </c>
      <c r="F142" s="103" t="s">
        <v>55</v>
      </c>
      <c r="G142" s="317">
        <f>SUM(D142:D290)</f>
        <v>133410.26</v>
      </c>
    </row>
    <row r="143" spans="1:7" ht="15.75" customHeight="1">
      <c r="A143" s="105">
        <v>46055</v>
      </c>
      <c r="B143" s="110" t="s">
        <v>713</v>
      </c>
      <c r="C143" s="107" t="s">
        <v>130</v>
      </c>
      <c r="D143" s="111">
        <v>466.5</v>
      </c>
      <c r="E143" s="109" t="s">
        <v>212</v>
      </c>
      <c r="F143" s="103" t="s">
        <v>55</v>
      </c>
    </row>
    <row r="144" spans="1:7" ht="15.75" customHeight="1">
      <c r="A144" s="105">
        <v>46055</v>
      </c>
      <c r="B144" s="106" t="s">
        <v>127</v>
      </c>
      <c r="C144" s="107" t="s">
        <v>128</v>
      </c>
      <c r="D144" s="108">
        <v>5.0999999999999996</v>
      </c>
      <c r="E144" s="109" t="s">
        <v>212</v>
      </c>
      <c r="F144" s="103" t="s">
        <v>55</v>
      </c>
    </row>
    <row r="145" spans="1:6" ht="15.75" customHeight="1">
      <c r="A145" s="105">
        <v>46056</v>
      </c>
      <c r="B145" s="106" t="s">
        <v>127</v>
      </c>
      <c r="C145" s="107" t="s">
        <v>128</v>
      </c>
      <c r="D145" s="108">
        <v>3.4</v>
      </c>
      <c r="E145" s="109" t="s">
        <v>212</v>
      </c>
      <c r="F145" s="103" t="s">
        <v>55</v>
      </c>
    </row>
    <row r="146" spans="1:6" ht="15.75" customHeight="1">
      <c r="A146" s="105">
        <v>46056</v>
      </c>
      <c r="B146" s="110" t="s">
        <v>714</v>
      </c>
      <c r="C146" s="107" t="s">
        <v>130</v>
      </c>
      <c r="D146" s="111">
        <v>791.35</v>
      </c>
      <c r="E146" s="109" t="s">
        <v>212</v>
      </c>
      <c r="F146" s="103" t="s">
        <v>55</v>
      </c>
    </row>
    <row r="147" spans="1:6" ht="15.75" customHeight="1">
      <c r="A147" s="105">
        <v>46056</v>
      </c>
      <c r="B147" s="106" t="s">
        <v>715</v>
      </c>
      <c r="C147" s="107" t="s">
        <v>130</v>
      </c>
      <c r="D147" s="108">
        <v>1253.33</v>
      </c>
      <c r="E147" s="109" t="s">
        <v>212</v>
      </c>
      <c r="F147" s="103" t="s">
        <v>55</v>
      </c>
    </row>
    <row r="148" spans="1:6" ht="15.75" customHeight="1">
      <c r="A148" s="105">
        <v>46056</v>
      </c>
      <c r="B148" s="110" t="s">
        <v>716</v>
      </c>
      <c r="C148" s="107" t="s">
        <v>130</v>
      </c>
      <c r="D148" s="111">
        <v>2064.71</v>
      </c>
      <c r="E148" s="109" t="s">
        <v>212</v>
      </c>
      <c r="F148" s="103" t="s">
        <v>55</v>
      </c>
    </row>
    <row r="149" spans="1:6" ht="15.75" customHeight="1">
      <c r="A149" s="105">
        <v>46056</v>
      </c>
      <c r="B149" s="106" t="s">
        <v>717</v>
      </c>
      <c r="C149" s="107" t="s">
        <v>130</v>
      </c>
      <c r="D149" s="108">
        <v>181.05</v>
      </c>
      <c r="E149" s="109" t="s">
        <v>212</v>
      </c>
      <c r="F149" s="103" t="s">
        <v>55</v>
      </c>
    </row>
    <row r="150" spans="1:6" ht="15.75" customHeight="1">
      <c r="A150" s="105">
        <v>46056</v>
      </c>
      <c r="B150" s="112" t="s">
        <v>127</v>
      </c>
      <c r="C150" s="107" t="s">
        <v>128</v>
      </c>
      <c r="D150" s="113">
        <v>1.7</v>
      </c>
      <c r="E150" s="109" t="s">
        <v>212</v>
      </c>
      <c r="F150" s="103" t="s">
        <v>55</v>
      </c>
    </row>
    <row r="151" spans="1:6" ht="15.75" customHeight="1">
      <c r="A151" s="105">
        <v>46057</v>
      </c>
      <c r="B151" s="110" t="s">
        <v>493</v>
      </c>
      <c r="C151" s="107" t="s">
        <v>130</v>
      </c>
      <c r="D151" s="111">
        <v>612.5</v>
      </c>
      <c r="E151" s="109" t="s">
        <v>212</v>
      </c>
      <c r="F151" s="103" t="s">
        <v>55</v>
      </c>
    </row>
    <row r="152" spans="1:6" ht="15.75" customHeight="1">
      <c r="A152" s="105">
        <v>46057</v>
      </c>
      <c r="B152" s="106" t="s">
        <v>718</v>
      </c>
      <c r="C152" s="107" t="s">
        <v>130</v>
      </c>
      <c r="D152" s="108">
        <v>150</v>
      </c>
      <c r="E152" s="109" t="s">
        <v>212</v>
      </c>
      <c r="F152" s="103" t="s">
        <v>55</v>
      </c>
    </row>
    <row r="153" spans="1:6" ht="15.75" customHeight="1">
      <c r="A153" s="105">
        <v>46058</v>
      </c>
      <c r="B153" s="114" t="s">
        <v>719</v>
      </c>
      <c r="C153" s="115" t="s">
        <v>145</v>
      </c>
      <c r="D153" s="116">
        <v>1270</v>
      </c>
      <c r="E153" s="109" t="s">
        <v>212</v>
      </c>
      <c r="F153" s="103" t="s">
        <v>55</v>
      </c>
    </row>
    <row r="154" spans="1:6" ht="15.75" customHeight="1">
      <c r="A154" s="105">
        <v>46058</v>
      </c>
      <c r="B154" s="114" t="s">
        <v>720</v>
      </c>
      <c r="C154" s="115" t="s">
        <v>169</v>
      </c>
      <c r="D154" s="116">
        <v>1523.39</v>
      </c>
      <c r="E154" s="109" t="s">
        <v>212</v>
      </c>
      <c r="F154" s="103" t="s">
        <v>55</v>
      </c>
    </row>
    <row r="155" spans="1:6" ht="15.75" customHeight="1">
      <c r="A155" s="105">
        <v>46058</v>
      </c>
      <c r="B155" s="114" t="s">
        <v>657</v>
      </c>
      <c r="C155" s="115" t="s">
        <v>130</v>
      </c>
      <c r="D155" s="116">
        <v>61.59</v>
      </c>
      <c r="E155" s="109" t="s">
        <v>212</v>
      </c>
      <c r="F155" s="103" t="s">
        <v>55</v>
      </c>
    </row>
    <row r="156" spans="1:6" ht="15.75" customHeight="1">
      <c r="A156" s="105">
        <v>46058</v>
      </c>
      <c r="B156" s="114" t="s">
        <v>721</v>
      </c>
      <c r="C156" s="115" t="s">
        <v>130</v>
      </c>
      <c r="D156" s="116">
        <v>182.32</v>
      </c>
      <c r="E156" s="109" t="s">
        <v>212</v>
      </c>
      <c r="F156" s="103" t="s">
        <v>55</v>
      </c>
    </row>
    <row r="157" spans="1:6" ht="15.75" customHeight="1">
      <c r="A157" s="105">
        <v>46058</v>
      </c>
      <c r="B157" s="114" t="s">
        <v>722</v>
      </c>
      <c r="C157" s="115" t="s">
        <v>130</v>
      </c>
      <c r="D157" s="116">
        <v>282.85000000000002</v>
      </c>
      <c r="E157" s="109" t="s">
        <v>212</v>
      </c>
      <c r="F157" s="103" t="s">
        <v>55</v>
      </c>
    </row>
    <row r="158" spans="1:6" ht="15.75" customHeight="1">
      <c r="A158" s="105">
        <v>46058</v>
      </c>
      <c r="B158" s="114" t="s">
        <v>650</v>
      </c>
      <c r="C158" s="115" t="s">
        <v>130</v>
      </c>
      <c r="D158" s="116">
        <v>91.58</v>
      </c>
      <c r="E158" s="109" t="s">
        <v>212</v>
      </c>
      <c r="F158" s="103" t="s">
        <v>55</v>
      </c>
    </row>
    <row r="159" spans="1:6" ht="15.75" customHeight="1">
      <c r="A159" s="105">
        <v>46058</v>
      </c>
      <c r="B159" s="114" t="s">
        <v>723</v>
      </c>
      <c r="C159" s="115" t="s">
        <v>130</v>
      </c>
      <c r="D159" s="116">
        <v>35</v>
      </c>
      <c r="E159" s="109" t="s">
        <v>212</v>
      </c>
      <c r="F159" s="103" t="s">
        <v>55</v>
      </c>
    </row>
    <row r="160" spans="1:6" ht="15.75" customHeight="1">
      <c r="A160" s="105">
        <v>46058</v>
      </c>
      <c r="B160" s="107" t="s">
        <v>127</v>
      </c>
      <c r="C160" s="107" t="s">
        <v>128</v>
      </c>
      <c r="D160" s="108">
        <v>9.0500000000000007</v>
      </c>
      <c r="E160" s="109" t="s">
        <v>212</v>
      </c>
      <c r="F160" s="103" t="s">
        <v>55</v>
      </c>
    </row>
    <row r="161" spans="1:6" ht="15.75" customHeight="1">
      <c r="A161" s="105">
        <v>46059</v>
      </c>
      <c r="B161" s="110" t="s">
        <v>493</v>
      </c>
      <c r="C161" s="107" t="s">
        <v>130</v>
      </c>
      <c r="D161" s="111">
        <v>816.8</v>
      </c>
      <c r="E161" s="109" t="s">
        <v>212</v>
      </c>
      <c r="F161" s="103" t="s">
        <v>55</v>
      </c>
    </row>
    <row r="162" spans="1:6" ht="15.75" customHeight="1">
      <c r="A162" s="105">
        <v>46059</v>
      </c>
      <c r="B162" s="106" t="s">
        <v>716</v>
      </c>
      <c r="C162" s="107" t="s">
        <v>130</v>
      </c>
      <c r="D162" s="108">
        <v>536.9</v>
      </c>
      <c r="E162" s="109" t="s">
        <v>212</v>
      </c>
      <c r="F162" s="103" t="s">
        <v>55</v>
      </c>
    </row>
    <row r="163" spans="1:6" ht="15.75" customHeight="1">
      <c r="A163" s="105">
        <v>46059</v>
      </c>
      <c r="B163" s="110" t="s">
        <v>129</v>
      </c>
      <c r="C163" s="107" t="s">
        <v>130</v>
      </c>
      <c r="D163" s="111">
        <v>660.73</v>
      </c>
      <c r="E163" s="109" t="s">
        <v>212</v>
      </c>
      <c r="F163" s="103" t="s">
        <v>55</v>
      </c>
    </row>
    <row r="164" spans="1:6" ht="15.75" customHeight="1">
      <c r="A164" s="105">
        <v>46059</v>
      </c>
      <c r="B164" s="117" t="s">
        <v>724</v>
      </c>
      <c r="C164" s="107" t="s">
        <v>130</v>
      </c>
      <c r="D164" s="118">
        <v>250</v>
      </c>
      <c r="E164" s="109" t="s">
        <v>212</v>
      </c>
      <c r="F164" s="103" t="s">
        <v>55</v>
      </c>
    </row>
    <row r="165" spans="1:6" ht="15.75" customHeight="1">
      <c r="A165" s="105">
        <v>46059</v>
      </c>
      <c r="B165" s="117" t="s">
        <v>725</v>
      </c>
      <c r="C165" s="107" t="s">
        <v>122</v>
      </c>
      <c r="D165" s="118">
        <v>931.72</v>
      </c>
      <c r="E165" s="109" t="s">
        <v>212</v>
      </c>
      <c r="F165" s="103" t="s">
        <v>55</v>
      </c>
    </row>
    <row r="166" spans="1:6" ht="15.75" customHeight="1">
      <c r="A166" s="105">
        <v>46059</v>
      </c>
      <c r="B166" s="117" t="s">
        <v>144</v>
      </c>
      <c r="C166" s="107" t="s">
        <v>726</v>
      </c>
      <c r="D166" s="118">
        <v>2500</v>
      </c>
      <c r="E166" s="109" t="s">
        <v>212</v>
      </c>
      <c r="F166" s="103" t="s">
        <v>55</v>
      </c>
    </row>
    <row r="167" spans="1:6" ht="15.75" customHeight="1">
      <c r="A167" s="105">
        <v>46059</v>
      </c>
      <c r="B167" s="117" t="s">
        <v>727</v>
      </c>
      <c r="C167" s="107" t="s">
        <v>132</v>
      </c>
      <c r="D167" s="118">
        <v>1500</v>
      </c>
      <c r="E167" s="109" t="s">
        <v>212</v>
      </c>
      <c r="F167" s="103" t="s">
        <v>55</v>
      </c>
    </row>
    <row r="168" spans="1:6" ht="15.75" customHeight="1">
      <c r="A168" s="105">
        <v>46059</v>
      </c>
      <c r="B168" s="117" t="s">
        <v>678</v>
      </c>
      <c r="C168" s="107" t="s">
        <v>132</v>
      </c>
      <c r="D168" s="118">
        <v>1405.87</v>
      </c>
      <c r="E168" s="109" t="s">
        <v>212</v>
      </c>
      <c r="F168" s="103" t="s">
        <v>55</v>
      </c>
    </row>
    <row r="169" spans="1:6" ht="15.75" customHeight="1">
      <c r="A169" s="105">
        <v>46059</v>
      </c>
      <c r="B169" s="117" t="s">
        <v>728</v>
      </c>
      <c r="C169" s="107" t="s">
        <v>132</v>
      </c>
      <c r="D169" s="118">
        <v>1220.8</v>
      </c>
      <c r="E169" s="109" t="s">
        <v>212</v>
      </c>
      <c r="F169" s="103" t="s">
        <v>55</v>
      </c>
    </row>
    <row r="170" spans="1:6" ht="15.75" customHeight="1">
      <c r="A170" s="105">
        <v>46059</v>
      </c>
      <c r="B170" s="117" t="s">
        <v>729</v>
      </c>
      <c r="C170" s="107" t="s">
        <v>132</v>
      </c>
      <c r="D170" s="118">
        <v>1163.92</v>
      </c>
      <c r="E170" s="109" t="s">
        <v>212</v>
      </c>
      <c r="F170" s="103" t="s">
        <v>55</v>
      </c>
    </row>
    <row r="171" spans="1:6" ht="15.75" customHeight="1">
      <c r="A171" s="105">
        <v>46059</v>
      </c>
      <c r="B171" s="117" t="s">
        <v>730</v>
      </c>
      <c r="C171" s="107" t="s">
        <v>169</v>
      </c>
      <c r="D171" s="118">
        <v>5171.87</v>
      </c>
      <c r="E171" s="109" t="s">
        <v>212</v>
      </c>
      <c r="F171" s="103" t="s">
        <v>55</v>
      </c>
    </row>
    <row r="172" spans="1:6" ht="15.75" customHeight="1">
      <c r="A172" s="105">
        <v>46059</v>
      </c>
      <c r="B172" s="119" t="s">
        <v>127</v>
      </c>
      <c r="C172" s="107" t="s">
        <v>128</v>
      </c>
      <c r="D172" s="118">
        <v>12.67</v>
      </c>
      <c r="E172" s="109" t="s">
        <v>212</v>
      </c>
      <c r="F172" s="103" t="s">
        <v>55</v>
      </c>
    </row>
    <row r="173" spans="1:6" ht="15.75" customHeight="1">
      <c r="A173" s="105">
        <v>46062</v>
      </c>
      <c r="B173" s="106" t="s">
        <v>127</v>
      </c>
      <c r="C173" s="107" t="s">
        <v>128</v>
      </c>
      <c r="D173" s="108">
        <v>7.24</v>
      </c>
      <c r="E173" s="109" t="s">
        <v>212</v>
      </c>
      <c r="F173" s="103" t="s">
        <v>55</v>
      </c>
    </row>
    <row r="174" spans="1:6" ht="15.75" customHeight="1">
      <c r="A174" s="105">
        <v>46062</v>
      </c>
      <c r="B174" s="110" t="s">
        <v>716</v>
      </c>
      <c r="C174" s="107" t="s">
        <v>130</v>
      </c>
      <c r="D174" s="111">
        <v>534.1</v>
      </c>
      <c r="E174" s="109" t="s">
        <v>212</v>
      </c>
      <c r="F174" s="103" t="s">
        <v>55</v>
      </c>
    </row>
    <row r="175" spans="1:6" ht="15.75" customHeight="1">
      <c r="A175" s="105">
        <v>46062</v>
      </c>
      <c r="B175" s="106" t="s">
        <v>174</v>
      </c>
      <c r="C175" s="107" t="s">
        <v>130</v>
      </c>
      <c r="D175" s="108">
        <v>3830</v>
      </c>
      <c r="E175" s="109" t="s">
        <v>212</v>
      </c>
      <c r="F175" s="103" t="s">
        <v>55</v>
      </c>
    </row>
    <row r="176" spans="1:6" ht="15.75" customHeight="1">
      <c r="A176" s="105">
        <v>46062</v>
      </c>
      <c r="B176" s="106" t="s">
        <v>731</v>
      </c>
      <c r="C176" s="107" t="s">
        <v>130</v>
      </c>
      <c r="D176" s="108">
        <v>1079.58</v>
      </c>
      <c r="E176" s="109" t="s">
        <v>212</v>
      </c>
      <c r="F176" s="103" t="s">
        <v>55</v>
      </c>
    </row>
    <row r="177" spans="1:6" ht="15.75" customHeight="1">
      <c r="A177" s="105">
        <v>46062</v>
      </c>
      <c r="B177" s="106" t="s">
        <v>129</v>
      </c>
      <c r="C177" s="107" t="s">
        <v>130</v>
      </c>
      <c r="D177" s="108">
        <v>1661.55</v>
      </c>
      <c r="E177" s="109" t="s">
        <v>212</v>
      </c>
      <c r="F177" s="103" t="s">
        <v>55</v>
      </c>
    </row>
    <row r="178" spans="1:6" ht="15.75" customHeight="1">
      <c r="A178" s="120">
        <v>46062</v>
      </c>
      <c r="B178" s="121" t="s">
        <v>732</v>
      </c>
      <c r="C178" s="122" t="s">
        <v>130</v>
      </c>
      <c r="D178" s="123">
        <v>1426.55</v>
      </c>
      <c r="E178" s="109" t="s">
        <v>212</v>
      </c>
      <c r="F178" s="103" t="s">
        <v>55</v>
      </c>
    </row>
    <row r="179" spans="1:6" ht="15.75" customHeight="1">
      <c r="A179" s="105">
        <v>46063</v>
      </c>
      <c r="B179" s="110" t="s">
        <v>127</v>
      </c>
      <c r="C179" s="107" t="s">
        <v>128</v>
      </c>
      <c r="D179" s="111">
        <v>10.86</v>
      </c>
      <c r="E179" s="109" t="s">
        <v>212</v>
      </c>
      <c r="F179" s="103" t="s">
        <v>55</v>
      </c>
    </row>
    <row r="180" spans="1:6" ht="15.75" customHeight="1">
      <c r="A180" s="105">
        <v>46063</v>
      </c>
      <c r="B180" s="110" t="s">
        <v>733</v>
      </c>
      <c r="C180" s="107" t="s">
        <v>145</v>
      </c>
      <c r="D180" s="111">
        <v>213.16</v>
      </c>
      <c r="E180" s="109" t="s">
        <v>212</v>
      </c>
      <c r="F180" s="103" t="s">
        <v>55</v>
      </c>
    </row>
    <row r="181" spans="1:6" ht="15.75" customHeight="1">
      <c r="A181" s="124">
        <v>46063</v>
      </c>
      <c r="B181" s="106" t="s">
        <v>687</v>
      </c>
      <c r="C181" s="107" t="s">
        <v>132</v>
      </c>
      <c r="D181" s="108">
        <v>65.37</v>
      </c>
      <c r="E181" s="109" t="s">
        <v>212</v>
      </c>
      <c r="F181" s="103" t="s">
        <v>55</v>
      </c>
    </row>
    <row r="182" spans="1:6" ht="15.75" customHeight="1">
      <c r="A182" s="125">
        <v>46063</v>
      </c>
      <c r="B182" s="110" t="s">
        <v>734</v>
      </c>
      <c r="C182" s="107" t="s">
        <v>132</v>
      </c>
      <c r="D182" s="111">
        <v>2620.16</v>
      </c>
      <c r="E182" s="109" t="s">
        <v>212</v>
      </c>
      <c r="F182" s="103" t="s">
        <v>55</v>
      </c>
    </row>
    <row r="183" spans="1:6" ht="15.75" customHeight="1">
      <c r="A183" s="124">
        <v>46063</v>
      </c>
      <c r="B183" s="106" t="s">
        <v>735</v>
      </c>
      <c r="C183" s="107" t="s">
        <v>130</v>
      </c>
      <c r="D183" s="108">
        <v>490</v>
      </c>
      <c r="E183" s="109" t="s">
        <v>212</v>
      </c>
      <c r="F183" s="103" t="s">
        <v>55</v>
      </c>
    </row>
    <row r="184" spans="1:6" ht="15.75" customHeight="1">
      <c r="A184" s="125">
        <v>46063</v>
      </c>
      <c r="B184" s="110" t="s">
        <v>655</v>
      </c>
      <c r="C184" s="107" t="s">
        <v>130</v>
      </c>
      <c r="D184" s="111">
        <v>367.17</v>
      </c>
      <c r="E184" s="109" t="s">
        <v>212</v>
      </c>
      <c r="F184" s="103" t="s">
        <v>55</v>
      </c>
    </row>
    <row r="185" spans="1:6" ht="15.75" customHeight="1">
      <c r="A185" s="124">
        <v>46063</v>
      </c>
      <c r="B185" s="106" t="s">
        <v>657</v>
      </c>
      <c r="C185" s="107" t="s">
        <v>130</v>
      </c>
      <c r="D185" s="108">
        <v>150</v>
      </c>
      <c r="E185" s="109" t="s">
        <v>212</v>
      </c>
      <c r="F185" s="103" t="s">
        <v>55</v>
      </c>
    </row>
    <row r="186" spans="1:6" ht="15.75" customHeight="1">
      <c r="A186" s="125">
        <v>46063</v>
      </c>
      <c r="B186" s="110" t="s">
        <v>655</v>
      </c>
      <c r="C186" s="107" t="s">
        <v>130</v>
      </c>
      <c r="D186" s="111">
        <v>544.47</v>
      </c>
      <c r="E186" s="109" t="s">
        <v>212</v>
      </c>
      <c r="F186" s="103" t="s">
        <v>55</v>
      </c>
    </row>
    <row r="187" spans="1:6" ht="15.75" customHeight="1">
      <c r="A187" s="124">
        <v>46063</v>
      </c>
      <c r="B187" s="106" t="s">
        <v>652</v>
      </c>
      <c r="C187" s="107" t="s">
        <v>130</v>
      </c>
      <c r="D187" s="108">
        <v>628.5</v>
      </c>
      <c r="E187" s="109" t="s">
        <v>212</v>
      </c>
      <c r="F187" s="103" t="s">
        <v>55</v>
      </c>
    </row>
    <row r="188" spans="1:6" ht="15.75" customHeight="1" thickBot="1">
      <c r="A188" s="126">
        <v>46064</v>
      </c>
      <c r="B188" s="127" t="s">
        <v>651</v>
      </c>
      <c r="C188" s="103" t="s">
        <v>130</v>
      </c>
      <c r="D188" s="128">
        <v>115</v>
      </c>
      <c r="E188" s="109" t="s">
        <v>212</v>
      </c>
      <c r="F188" s="103" t="s">
        <v>55</v>
      </c>
    </row>
    <row r="189" spans="1:6" ht="15.75" customHeight="1" thickBot="1">
      <c r="A189" s="129">
        <v>46064</v>
      </c>
      <c r="B189" s="130" t="s">
        <v>679</v>
      </c>
      <c r="C189" s="103" t="s">
        <v>130</v>
      </c>
      <c r="D189" s="131">
        <v>767.23</v>
      </c>
      <c r="E189" s="109" t="s">
        <v>212</v>
      </c>
      <c r="F189" s="103" t="s">
        <v>55</v>
      </c>
    </row>
    <row r="190" spans="1:6" ht="15.75" customHeight="1" thickBot="1">
      <c r="A190" s="132">
        <v>46064</v>
      </c>
      <c r="B190" s="133" t="s">
        <v>663</v>
      </c>
      <c r="C190" s="103" t="s">
        <v>130</v>
      </c>
      <c r="D190" s="134">
        <v>697.57</v>
      </c>
      <c r="E190" s="109" t="s">
        <v>212</v>
      </c>
      <c r="F190" s="103" t="s">
        <v>55</v>
      </c>
    </row>
    <row r="191" spans="1:6" ht="15.75" customHeight="1" thickBot="1">
      <c r="A191" s="129">
        <v>46064</v>
      </c>
      <c r="B191" s="130" t="s">
        <v>655</v>
      </c>
      <c r="C191" s="103" t="s">
        <v>130</v>
      </c>
      <c r="D191" s="131">
        <v>439.82</v>
      </c>
      <c r="E191" s="109" t="s">
        <v>212</v>
      </c>
      <c r="F191" s="103" t="s">
        <v>55</v>
      </c>
    </row>
    <row r="192" spans="1:6" ht="15.75" customHeight="1" thickBot="1">
      <c r="A192" s="132">
        <v>46064</v>
      </c>
      <c r="B192" s="133" t="s">
        <v>736</v>
      </c>
      <c r="C192" s="103" t="s">
        <v>130</v>
      </c>
      <c r="D192" s="134">
        <v>139</v>
      </c>
      <c r="E192" s="109" t="s">
        <v>212</v>
      </c>
      <c r="F192" s="103" t="s">
        <v>55</v>
      </c>
    </row>
    <row r="193" spans="1:6" ht="15.75" customHeight="1" thickBot="1">
      <c r="A193" s="129">
        <v>46065</v>
      </c>
      <c r="B193" s="133" t="s">
        <v>127</v>
      </c>
      <c r="C193" s="103" t="s">
        <v>128</v>
      </c>
      <c r="D193" s="134">
        <v>18.100000000000001</v>
      </c>
      <c r="E193" s="109" t="s">
        <v>212</v>
      </c>
      <c r="F193" s="103" t="s">
        <v>55</v>
      </c>
    </row>
    <row r="194" spans="1:6" ht="15.75" customHeight="1" thickBot="1">
      <c r="A194" s="129">
        <v>46065</v>
      </c>
      <c r="B194" s="133" t="s">
        <v>650</v>
      </c>
      <c r="C194" s="103" t="s">
        <v>130</v>
      </c>
      <c r="D194" s="134">
        <v>74.2</v>
      </c>
      <c r="E194" s="109" t="s">
        <v>212</v>
      </c>
      <c r="F194" s="103" t="s">
        <v>55</v>
      </c>
    </row>
    <row r="195" spans="1:6" ht="15.75" customHeight="1" thickBot="1">
      <c r="A195" s="129">
        <v>46065</v>
      </c>
      <c r="B195" s="130" t="s">
        <v>737</v>
      </c>
      <c r="C195" s="103" t="s">
        <v>130</v>
      </c>
      <c r="D195" s="131">
        <v>1912.5</v>
      </c>
      <c r="E195" s="109" t="s">
        <v>212</v>
      </c>
      <c r="F195" s="103" t="s">
        <v>55</v>
      </c>
    </row>
    <row r="196" spans="1:6" ht="15.75" customHeight="1" thickBot="1">
      <c r="A196" s="132">
        <v>46065</v>
      </c>
      <c r="B196" s="133" t="s">
        <v>655</v>
      </c>
      <c r="C196" s="103" t="s">
        <v>130</v>
      </c>
      <c r="D196" s="134">
        <v>368.82</v>
      </c>
      <c r="E196" s="109" t="s">
        <v>212</v>
      </c>
      <c r="F196" s="103" t="s">
        <v>55</v>
      </c>
    </row>
    <row r="197" spans="1:6" ht="15.75" customHeight="1" thickBot="1">
      <c r="A197" s="129">
        <v>46065</v>
      </c>
      <c r="B197" s="130" t="s">
        <v>649</v>
      </c>
      <c r="C197" s="103" t="s">
        <v>130</v>
      </c>
      <c r="D197" s="131">
        <v>305.75</v>
      </c>
      <c r="E197" s="109" t="s">
        <v>212</v>
      </c>
      <c r="F197" s="103" t="s">
        <v>55</v>
      </c>
    </row>
    <row r="198" spans="1:6" ht="15.75" customHeight="1" thickBot="1">
      <c r="A198" s="132">
        <v>46065</v>
      </c>
      <c r="B198" s="133" t="s">
        <v>676</v>
      </c>
      <c r="C198" s="103" t="s">
        <v>130</v>
      </c>
      <c r="D198" s="134">
        <v>315</v>
      </c>
      <c r="E198" s="109" t="s">
        <v>212</v>
      </c>
      <c r="F198" s="103" t="s">
        <v>55</v>
      </c>
    </row>
    <row r="199" spans="1:6" ht="15.75" customHeight="1" thickBot="1">
      <c r="A199" s="132">
        <v>46065</v>
      </c>
      <c r="B199" s="133" t="s">
        <v>693</v>
      </c>
      <c r="C199" s="103" t="s">
        <v>130</v>
      </c>
      <c r="D199" s="134">
        <v>3865.92</v>
      </c>
      <c r="E199" s="109" t="s">
        <v>212</v>
      </c>
      <c r="F199" s="103" t="s">
        <v>55</v>
      </c>
    </row>
    <row r="200" spans="1:6" ht="15.75" customHeight="1" thickBot="1">
      <c r="A200" s="129">
        <v>46066</v>
      </c>
      <c r="B200" s="133" t="s">
        <v>738</v>
      </c>
      <c r="C200" s="103" t="s">
        <v>145</v>
      </c>
      <c r="D200" s="134">
        <v>1080</v>
      </c>
      <c r="E200" s="109" t="s">
        <v>212</v>
      </c>
      <c r="F200" s="103" t="s">
        <v>55</v>
      </c>
    </row>
    <row r="201" spans="1:6" ht="15.75" customHeight="1" thickBot="1">
      <c r="A201" s="132">
        <v>46066</v>
      </c>
      <c r="B201" s="133" t="s">
        <v>156</v>
      </c>
      <c r="C201" s="103" t="s">
        <v>132</v>
      </c>
      <c r="D201" s="134">
        <v>613.92999999999995</v>
      </c>
      <c r="E201" s="109" t="s">
        <v>212</v>
      </c>
      <c r="F201" s="103" t="s">
        <v>55</v>
      </c>
    </row>
    <row r="202" spans="1:6" ht="15.75" customHeight="1" thickBot="1">
      <c r="A202" s="129">
        <v>46066</v>
      </c>
      <c r="B202" s="133" t="s">
        <v>127</v>
      </c>
      <c r="C202" s="103" t="s">
        <v>128</v>
      </c>
      <c r="D202" s="134">
        <v>12.67</v>
      </c>
      <c r="E202" s="109" t="s">
        <v>212</v>
      </c>
      <c r="F202" s="103" t="s">
        <v>55</v>
      </c>
    </row>
    <row r="203" spans="1:6" ht="15.75" customHeight="1" thickBot="1">
      <c r="A203" s="129">
        <v>46066</v>
      </c>
      <c r="B203" s="130" t="s">
        <v>651</v>
      </c>
      <c r="C203" s="103" t="s">
        <v>130</v>
      </c>
      <c r="D203" s="131">
        <v>230</v>
      </c>
      <c r="E203" s="109" t="s">
        <v>212</v>
      </c>
      <c r="F203" s="103" t="s">
        <v>55</v>
      </c>
    </row>
    <row r="204" spans="1:6" ht="15.75" customHeight="1" thickBot="1">
      <c r="A204" s="132">
        <v>46066</v>
      </c>
      <c r="B204" s="133" t="s">
        <v>657</v>
      </c>
      <c r="C204" s="103" t="s">
        <v>130</v>
      </c>
      <c r="D204" s="134">
        <v>644.1</v>
      </c>
      <c r="E204" s="109" t="s">
        <v>212</v>
      </c>
      <c r="F204" s="103" t="s">
        <v>55</v>
      </c>
    </row>
    <row r="205" spans="1:6" ht="15.75" customHeight="1" thickBot="1">
      <c r="A205" s="129">
        <v>46066</v>
      </c>
      <c r="B205" s="130" t="s">
        <v>652</v>
      </c>
      <c r="C205" s="103" t="s">
        <v>130</v>
      </c>
      <c r="D205" s="131">
        <v>682.47</v>
      </c>
      <c r="E205" s="109" t="s">
        <v>212</v>
      </c>
      <c r="F205" s="103" t="s">
        <v>55</v>
      </c>
    </row>
    <row r="206" spans="1:6" ht="15.75" customHeight="1" thickBot="1">
      <c r="A206" s="132">
        <v>46066</v>
      </c>
      <c r="B206" s="133" t="s">
        <v>739</v>
      </c>
      <c r="C206" s="103" t="s">
        <v>130</v>
      </c>
      <c r="D206" s="134">
        <v>303.75</v>
      </c>
      <c r="E206" s="109" t="s">
        <v>212</v>
      </c>
      <c r="F206" s="103" t="s">
        <v>55</v>
      </c>
    </row>
    <row r="207" spans="1:6" ht="15.75" customHeight="1" thickBot="1">
      <c r="A207" s="129">
        <v>46066</v>
      </c>
      <c r="B207" s="130" t="s">
        <v>721</v>
      </c>
      <c r="C207" s="103" t="s">
        <v>130</v>
      </c>
      <c r="D207" s="131">
        <v>558.62</v>
      </c>
      <c r="E207" s="109" t="s">
        <v>212</v>
      </c>
      <c r="F207" s="103" t="s">
        <v>55</v>
      </c>
    </row>
    <row r="208" spans="1:6" ht="15.75" customHeight="1" thickBot="1">
      <c r="A208" s="132">
        <v>46066</v>
      </c>
      <c r="B208" s="133" t="s">
        <v>655</v>
      </c>
      <c r="C208" s="103" t="s">
        <v>130</v>
      </c>
      <c r="D208" s="134">
        <v>2064.71</v>
      </c>
      <c r="E208" s="109" t="s">
        <v>212</v>
      </c>
      <c r="F208" s="103" t="s">
        <v>55</v>
      </c>
    </row>
    <row r="209" spans="1:6" ht="15.75" customHeight="1" thickBot="1">
      <c r="A209" s="132">
        <v>46071</v>
      </c>
      <c r="B209" s="133" t="s">
        <v>127</v>
      </c>
      <c r="C209" s="103" t="s">
        <v>128</v>
      </c>
      <c r="D209" s="134">
        <v>12.67</v>
      </c>
      <c r="E209" s="109" t="s">
        <v>212</v>
      </c>
      <c r="F209" s="103" t="s">
        <v>55</v>
      </c>
    </row>
    <row r="210" spans="1:6" ht="15.75" customHeight="1" thickBot="1">
      <c r="A210" s="132">
        <v>46071</v>
      </c>
      <c r="B210" s="130" t="s">
        <v>649</v>
      </c>
      <c r="C210" s="103" t="s">
        <v>130</v>
      </c>
      <c r="D210" s="131">
        <v>450</v>
      </c>
      <c r="E210" s="109" t="s">
        <v>212</v>
      </c>
      <c r="F210" s="103" t="s">
        <v>55</v>
      </c>
    </row>
    <row r="211" spans="1:6" ht="15.75" customHeight="1" thickBot="1">
      <c r="A211" s="132">
        <v>46071</v>
      </c>
      <c r="B211" s="133" t="s">
        <v>740</v>
      </c>
      <c r="C211" s="103" t="s">
        <v>130</v>
      </c>
      <c r="D211" s="134">
        <v>1044</v>
      </c>
      <c r="E211" s="109" t="s">
        <v>212</v>
      </c>
      <c r="F211" s="103" t="s">
        <v>55</v>
      </c>
    </row>
    <row r="212" spans="1:6" ht="15.75" customHeight="1" thickBot="1">
      <c r="A212" s="132">
        <v>46071</v>
      </c>
      <c r="B212" s="130" t="s">
        <v>649</v>
      </c>
      <c r="C212" s="103" t="s">
        <v>130</v>
      </c>
      <c r="D212" s="131">
        <v>316.88</v>
      </c>
      <c r="E212" s="109" t="s">
        <v>212</v>
      </c>
      <c r="F212" s="103" t="s">
        <v>55</v>
      </c>
    </row>
    <row r="213" spans="1:6" ht="15.75" customHeight="1" thickBot="1">
      <c r="A213" s="132">
        <v>46071</v>
      </c>
      <c r="B213" s="133" t="s">
        <v>741</v>
      </c>
      <c r="C213" s="103" t="s">
        <v>145</v>
      </c>
      <c r="D213" s="134">
        <v>612</v>
      </c>
      <c r="E213" s="109" t="s">
        <v>212</v>
      </c>
      <c r="F213" s="103" t="s">
        <v>55</v>
      </c>
    </row>
    <row r="214" spans="1:6" ht="15.75" customHeight="1" thickBot="1">
      <c r="A214" s="132">
        <v>46071</v>
      </c>
      <c r="B214" s="130" t="s">
        <v>652</v>
      </c>
      <c r="C214" s="103" t="s">
        <v>130</v>
      </c>
      <c r="D214" s="131">
        <v>574.75</v>
      </c>
      <c r="E214" s="109" t="s">
        <v>212</v>
      </c>
      <c r="F214" s="103" t="s">
        <v>55</v>
      </c>
    </row>
    <row r="215" spans="1:6" ht="15.75" customHeight="1" thickBot="1">
      <c r="A215" s="132">
        <v>46071</v>
      </c>
      <c r="B215" s="133" t="s">
        <v>651</v>
      </c>
      <c r="C215" s="103" t="s">
        <v>130</v>
      </c>
      <c r="D215" s="134">
        <v>425</v>
      </c>
      <c r="E215" s="109" t="s">
        <v>212</v>
      </c>
      <c r="F215" s="103" t="s">
        <v>55</v>
      </c>
    </row>
    <row r="216" spans="1:6" ht="15.75" customHeight="1" thickBot="1">
      <c r="A216" s="132">
        <v>46071</v>
      </c>
      <c r="B216" s="130" t="s">
        <v>652</v>
      </c>
      <c r="C216" s="103" t="s">
        <v>130</v>
      </c>
      <c r="D216" s="131">
        <v>470</v>
      </c>
      <c r="E216" s="109" t="s">
        <v>212</v>
      </c>
      <c r="F216" s="103" t="s">
        <v>55</v>
      </c>
    </row>
    <row r="217" spans="1:6" ht="15.75" customHeight="1" thickBot="1">
      <c r="A217" s="132">
        <v>46071</v>
      </c>
      <c r="B217" s="133" t="s">
        <v>651</v>
      </c>
      <c r="C217" s="103" t="s">
        <v>130</v>
      </c>
      <c r="D217" s="134">
        <v>120</v>
      </c>
      <c r="E217" s="109" t="s">
        <v>212</v>
      </c>
      <c r="F217" s="103" t="s">
        <v>55</v>
      </c>
    </row>
    <row r="218" spans="1:6" ht="15.75" customHeight="1" thickBot="1">
      <c r="A218" s="132">
        <v>46071</v>
      </c>
      <c r="B218" s="130" t="s">
        <v>742</v>
      </c>
      <c r="C218" s="103" t="s">
        <v>130</v>
      </c>
      <c r="D218" s="131">
        <v>464.29</v>
      </c>
      <c r="E218" s="109" t="s">
        <v>212</v>
      </c>
      <c r="F218" s="103" t="s">
        <v>55</v>
      </c>
    </row>
    <row r="219" spans="1:6" ht="15.75" customHeight="1" thickBot="1">
      <c r="A219" s="132">
        <v>46071</v>
      </c>
      <c r="B219" s="133" t="s">
        <v>650</v>
      </c>
      <c r="C219" s="103" t="s">
        <v>130</v>
      </c>
      <c r="D219" s="134">
        <v>190.8</v>
      </c>
      <c r="E219" s="109" t="s">
        <v>212</v>
      </c>
      <c r="F219" s="103" t="s">
        <v>55</v>
      </c>
    </row>
    <row r="220" spans="1:6" ht="15.75" customHeight="1" thickBot="1">
      <c r="A220" s="132">
        <v>46071</v>
      </c>
      <c r="B220" s="130" t="s">
        <v>722</v>
      </c>
      <c r="C220" s="103" t="s">
        <v>130</v>
      </c>
      <c r="D220" s="131">
        <v>763.1</v>
      </c>
      <c r="E220" s="109" t="s">
        <v>212</v>
      </c>
      <c r="F220" s="103" t="s">
        <v>55</v>
      </c>
    </row>
    <row r="221" spans="1:6" ht="15.75" customHeight="1" thickBot="1">
      <c r="A221" s="132">
        <v>46071</v>
      </c>
      <c r="B221" s="133" t="s">
        <v>743</v>
      </c>
      <c r="C221" s="103" t="s">
        <v>130</v>
      </c>
      <c r="D221" s="134">
        <v>550</v>
      </c>
      <c r="E221" s="109" t="s">
        <v>212</v>
      </c>
      <c r="F221" s="103" t="s">
        <v>55</v>
      </c>
    </row>
    <row r="222" spans="1:6" ht="15.75" customHeight="1" thickBot="1">
      <c r="A222" s="132">
        <v>46071</v>
      </c>
      <c r="B222" s="130" t="s">
        <v>676</v>
      </c>
      <c r="C222" s="103" t="s">
        <v>130</v>
      </c>
      <c r="D222" s="131">
        <v>333</v>
      </c>
      <c r="E222" s="109" t="s">
        <v>212</v>
      </c>
      <c r="F222" s="103" t="s">
        <v>55</v>
      </c>
    </row>
    <row r="223" spans="1:6" ht="15.75" customHeight="1" thickBot="1">
      <c r="A223" s="132">
        <v>46071</v>
      </c>
      <c r="B223" s="133" t="s">
        <v>657</v>
      </c>
      <c r="C223" s="103" t="s">
        <v>130</v>
      </c>
      <c r="D223" s="134">
        <v>271.58</v>
      </c>
      <c r="E223" s="109" t="s">
        <v>212</v>
      </c>
      <c r="F223" s="103" t="s">
        <v>55</v>
      </c>
    </row>
    <row r="224" spans="1:6" ht="15.75" customHeight="1" thickBot="1">
      <c r="A224" s="132">
        <v>46071</v>
      </c>
      <c r="B224" s="130" t="s">
        <v>721</v>
      </c>
      <c r="C224" s="103" t="s">
        <v>130</v>
      </c>
      <c r="D224" s="131">
        <v>371</v>
      </c>
      <c r="E224" s="109" t="s">
        <v>212</v>
      </c>
      <c r="F224" s="103" t="s">
        <v>55</v>
      </c>
    </row>
    <row r="225" spans="1:6" ht="15.75" customHeight="1" thickBot="1">
      <c r="A225" s="132">
        <v>46071</v>
      </c>
      <c r="B225" s="133" t="s">
        <v>663</v>
      </c>
      <c r="C225" s="103" t="s">
        <v>130</v>
      </c>
      <c r="D225" s="134">
        <v>378.29</v>
      </c>
      <c r="E225" s="109" t="s">
        <v>212</v>
      </c>
      <c r="F225" s="103" t="s">
        <v>55</v>
      </c>
    </row>
    <row r="226" spans="1:6" ht="15.75" customHeight="1" thickBot="1">
      <c r="A226" s="132">
        <v>46071</v>
      </c>
      <c r="B226" s="130" t="s">
        <v>650</v>
      </c>
      <c r="C226" s="103" t="s">
        <v>130</v>
      </c>
      <c r="D226" s="131">
        <v>457.8</v>
      </c>
      <c r="E226" s="109" t="s">
        <v>212</v>
      </c>
      <c r="F226" s="103" t="s">
        <v>55</v>
      </c>
    </row>
    <row r="227" spans="1:6" ht="15.75" customHeight="1" thickBot="1">
      <c r="A227" s="132">
        <v>46071</v>
      </c>
      <c r="B227" s="133" t="s">
        <v>653</v>
      </c>
      <c r="C227" s="103" t="s">
        <v>130</v>
      </c>
      <c r="D227" s="134">
        <v>466.21</v>
      </c>
      <c r="E227" s="109" t="s">
        <v>212</v>
      </c>
      <c r="F227" s="103" t="s">
        <v>55</v>
      </c>
    </row>
    <row r="228" spans="1:6" ht="15.75" customHeight="1" thickBot="1">
      <c r="A228" s="129">
        <v>46071</v>
      </c>
      <c r="B228" s="130" t="s">
        <v>744</v>
      </c>
      <c r="C228" s="103" t="s">
        <v>130</v>
      </c>
      <c r="D228" s="131">
        <v>257</v>
      </c>
      <c r="E228" s="109" t="s">
        <v>212</v>
      </c>
      <c r="F228" s="103" t="s">
        <v>55</v>
      </c>
    </row>
    <row r="229" spans="1:6" ht="15.75" customHeight="1" thickBot="1">
      <c r="A229" s="132">
        <v>46071</v>
      </c>
      <c r="B229" s="133" t="s">
        <v>736</v>
      </c>
      <c r="C229" s="103" t="s">
        <v>130</v>
      </c>
      <c r="D229" s="134">
        <v>445</v>
      </c>
      <c r="E229" s="109" t="s">
        <v>212</v>
      </c>
      <c r="F229" s="103" t="s">
        <v>55</v>
      </c>
    </row>
    <row r="230" spans="1:6" ht="15.75" customHeight="1" thickBot="1">
      <c r="A230" s="132">
        <v>46072</v>
      </c>
      <c r="B230" s="133" t="s">
        <v>745</v>
      </c>
      <c r="C230" s="103" t="s">
        <v>264</v>
      </c>
      <c r="D230" s="134">
        <v>400</v>
      </c>
      <c r="E230" s="109" t="s">
        <v>212</v>
      </c>
      <c r="F230" s="103" t="s">
        <v>55</v>
      </c>
    </row>
    <row r="231" spans="1:6" ht="15.75" customHeight="1" thickBot="1">
      <c r="A231" s="132">
        <v>46072</v>
      </c>
      <c r="B231" s="133" t="s">
        <v>713</v>
      </c>
      <c r="C231" s="103" t="s">
        <v>130</v>
      </c>
      <c r="D231" s="134">
        <v>174.8</v>
      </c>
      <c r="E231" s="109" t="s">
        <v>212</v>
      </c>
      <c r="F231" s="103" t="s">
        <v>55</v>
      </c>
    </row>
    <row r="232" spans="1:6" ht="15.75" customHeight="1" thickBot="1">
      <c r="A232" s="132">
        <v>46072</v>
      </c>
      <c r="B232" s="133" t="s">
        <v>127</v>
      </c>
      <c r="C232" s="103" t="s">
        <v>128</v>
      </c>
      <c r="D232" s="134">
        <v>7.24</v>
      </c>
      <c r="E232" s="109" t="s">
        <v>212</v>
      </c>
      <c r="F232" s="103" t="s">
        <v>55</v>
      </c>
    </row>
    <row r="233" spans="1:6" ht="15.75" customHeight="1" thickBot="1">
      <c r="A233" s="129">
        <v>46072</v>
      </c>
      <c r="B233" s="130" t="s">
        <v>652</v>
      </c>
      <c r="C233" s="103" t="s">
        <v>130</v>
      </c>
      <c r="D233" s="131">
        <v>737</v>
      </c>
      <c r="E233" s="109" t="s">
        <v>212</v>
      </c>
      <c r="F233" s="103" t="s">
        <v>55</v>
      </c>
    </row>
    <row r="234" spans="1:6" ht="15.75" customHeight="1" thickBot="1">
      <c r="A234" s="132">
        <v>46072</v>
      </c>
      <c r="B234" s="133" t="s">
        <v>684</v>
      </c>
      <c r="C234" s="103" t="s">
        <v>130</v>
      </c>
      <c r="D234" s="134">
        <v>668.34</v>
      </c>
      <c r="E234" s="109" t="s">
        <v>212</v>
      </c>
      <c r="F234" s="103" t="s">
        <v>55</v>
      </c>
    </row>
    <row r="235" spans="1:6" ht="15.75" customHeight="1" thickBot="1">
      <c r="A235" s="129">
        <v>46073</v>
      </c>
      <c r="B235" s="130" t="s">
        <v>655</v>
      </c>
      <c r="C235" s="103" t="s">
        <v>130</v>
      </c>
      <c r="D235" s="131">
        <v>1322.4</v>
      </c>
      <c r="E235" s="109" t="s">
        <v>212</v>
      </c>
      <c r="F235" s="103" t="s">
        <v>55</v>
      </c>
    </row>
    <row r="236" spans="1:6" ht="15.75" customHeight="1" thickBot="1">
      <c r="A236" s="129">
        <v>46073</v>
      </c>
      <c r="B236" s="112" t="s">
        <v>127</v>
      </c>
      <c r="C236" s="107" t="s">
        <v>128</v>
      </c>
      <c r="D236" s="113">
        <v>12.67</v>
      </c>
      <c r="E236" s="109" t="s">
        <v>212</v>
      </c>
      <c r="F236" s="103" t="s">
        <v>55</v>
      </c>
    </row>
    <row r="237" spans="1:6" ht="15.75" customHeight="1" thickBot="1">
      <c r="A237" s="129">
        <v>46073</v>
      </c>
      <c r="B237" s="112" t="s">
        <v>148</v>
      </c>
      <c r="C237" s="107" t="s">
        <v>149</v>
      </c>
      <c r="D237" s="113">
        <v>16586.810000000001</v>
      </c>
      <c r="E237" s="109" t="s">
        <v>212</v>
      </c>
      <c r="F237" s="103" t="s">
        <v>55</v>
      </c>
    </row>
    <row r="238" spans="1:6" ht="15.75" customHeight="1" thickBot="1">
      <c r="A238" s="129">
        <v>46073</v>
      </c>
      <c r="B238" s="112" t="s">
        <v>696</v>
      </c>
      <c r="C238" s="107" t="s">
        <v>149</v>
      </c>
      <c r="D238" s="113">
        <v>1147.75</v>
      </c>
      <c r="E238" s="109" t="s">
        <v>212</v>
      </c>
      <c r="F238" s="103" t="s">
        <v>55</v>
      </c>
    </row>
    <row r="239" spans="1:6" ht="15.75" customHeight="1" thickBot="1">
      <c r="A239" s="129">
        <v>46073</v>
      </c>
      <c r="B239" s="112" t="s">
        <v>746</v>
      </c>
      <c r="C239" s="107" t="s">
        <v>149</v>
      </c>
      <c r="D239" s="113">
        <v>615.52</v>
      </c>
      <c r="E239" s="109" t="s">
        <v>212</v>
      </c>
      <c r="F239" s="103" t="s">
        <v>55</v>
      </c>
    </row>
    <row r="240" spans="1:6" ht="15.75" customHeight="1" thickBot="1">
      <c r="A240" s="129">
        <v>46073</v>
      </c>
      <c r="B240" s="112" t="s">
        <v>678</v>
      </c>
      <c r="C240" s="107" t="s">
        <v>132</v>
      </c>
      <c r="D240" s="113">
        <v>855.2</v>
      </c>
      <c r="E240" s="109" t="s">
        <v>212</v>
      </c>
      <c r="F240" s="103" t="s">
        <v>55</v>
      </c>
    </row>
    <row r="241" spans="1:6" ht="15.75" customHeight="1" thickBot="1">
      <c r="A241" s="129">
        <v>46073</v>
      </c>
      <c r="B241" s="112" t="s">
        <v>747</v>
      </c>
      <c r="C241" s="107" t="s">
        <v>132</v>
      </c>
      <c r="D241" s="113">
        <v>720</v>
      </c>
      <c r="E241" s="109" t="s">
        <v>212</v>
      </c>
      <c r="F241" s="103" t="s">
        <v>55</v>
      </c>
    </row>
    <row r="242" spans="1:6" ht="15.75" customHeight="1" thickBot="1">
      <c r="A242" s="129">
        <v>46073</v>
      </c>
      <c r="B242" s="112" t="s">
        <v>154</v>
      </c>
      <c r="C242" s="107" t="s">
        <v>147</v>
      </c>
      <c r="D242" s="113">
        <v>5000</v>
      </c>
      <c r="E242" s="109" t="s">
        <v>212</v>
      </c>
      <c r="F242" s="103" t="s">
        <v>55</v>
      </c>
    </row>
    <row r="243" spans="1:6" ht="15.75" customHeight="1" thickBot="1">
      <c r="A243" s="129">
        <v>46076</v>
      </c>
      <c r="B243" s="112" t="s">
        <v>127</v>
      </c>
      <c r="C243" s="107" t="s">
        <v>128</v>
      </c>
      <c r="D243" s="113">
        <v>7.24</v>
      </c>
      <c r="E243" s="109" t="s">
        <v>212</v>
      </c>
      <c r="F243" s="103" t="s">
        <v>55</v>
      </c>
    </row>
    <row r="244" spans="1:6" ht="15.75" customHeight="1" thickBot="1">
      <c r="A244" s="129">
        <v>46076</v>
      </c>
      <c r="B244" s="112" t="s">
        <v>716</v>
      </c>
      <c r="C244" s="107" t="s">
        <v>130</v>
      </c>
      <c r="D244" s="113">
        <v>536.9</v>
      </c>
      <c r="E244" s="109" t="s">
        <v>212</v>
      </c>
      <c r="F244" s="103" t="s">
        <v>55</v>
      </c>
    </row>
    <row r="245" spans="1:6" ht="15.75" customHeight="1" thickBot="1">
      <c r="A245" s="129">
        <v>46076</v>
      </c>
      <c r="B245" s="112" t="s">
        <v>716</v>
      </c>
      <c r="C245" s="107" t="s">
        <v>130</v>
      </c>
      <c r="D245" s="113">
        <v>2062.2600000000002</v>
      </c>
      <c r="E245" s="109" t="s">
        <v>212</v>
      </c>
      <c r="F245" s="103" t="s">
        <v>55</v>
      </c>
    </row>
    <row r="246" spans="1:6" ht="15.75" customHeight="1" thickBot="1">
      <c r="A246" s="129">
        <v>46076</v>
      </c>
      <c r="B246" s="112" t="s">
        <v>716</v>
      </c>
      <c r="C246" s="107" t="s">
        <v>130</v>
      </c>
      <c r="D246" s="113">
        <v>842.82</v>
      </c>
      <c r="E246" s="109" t="s">
        <v>212</v>
      </c>
      <c r="F246" s="103" t="s">
        <v>55</v>
      </c>
    </row>
    <row r="247" spans="1:6" ht="15.75" customHeight="1" thickBot="1">
      <c r="A247" s="129">
        <v>46076</v>
      </c>
      <c r="B247" s="112" t="s">
        <v>129</v>
      </c>
      <c r="C247" s="107" t="s">
        <v>130</v>
      </c>
      <c r="D247" s="113">
        <v>660.73</v>
      </c>
      <c r="E247" s="109" t="s">
        <v>212</v>
      </c>
      <c r="F247" s="103" t="s">
        <v>55</v>
      </c>
    </row>
    <row r="248" spans="1:6" ht="15.75" customHeight="1" thickBot="1">
      <c r="A248" s="129">
        <v>46076</v>
      </c>
      <c r="B248" s="112" t="s">
        <v>713</v>
      </c>
      <c r="C248" s="107" t="s">
        <v>130</v>
      </c>
      <c r="D248" s="113">
        <v>299.3</v>
      </c>
      <c r="E248" s="109" t="s">
        <v>212</v>
      </c>
      <c r="F248" s="103" t="s">
        <v>55</v>
      </c>
    </row>
    <row r="249" spans="1:6" ht="15.75" customHeight="1" thickBot="1">
      <c r="A249" s="129">
        <v>46076</v>
      </c>
      <c r="B249" s="112" t="s">
        <v>717</v>
      </c>
      <c r="C249" s="107" t="s">
        <v>130</v>
      </c>
      <c r="D249" s="113">
        <v>546.57000000000005</v>
      </c>
      <c r="E249" s="109" t="s">
        <v>212</v>
      </c>
      <c r="F249" s="103" t="s">
        <v>55</v>
      </c>
    </row>
    <row r="250" spans="1:6" ht="15.75" customHeight="1" thickBot="1">
      <c r="A250" s="129">
        <v>46076</v>
      </c>
      <c r="B250" s="112" t="s">
        <v>731</v>
      </c>
      <c r="C250" s="107" t="s">
        <v>130</v>
      </c>
      <c r="D250" s="113">
        <v>1694.66</v>
      </c>
      <c r="E250" s="109" t="s">
        <v>212</v>
      </c>
      <c r="F250" s="103" t="s">
        <v>55</v>
      </c>
    </row>
    <row r="251" spans="1:6" ht="15.75" customHeight="1" thickBot="1">
      <c r="A251" s="129">
        <v>46076</v>
      </c>
      <c r="B251" s="112" t="s">
        <v>129</v>
      </c>
      <c r="C251" s="107" t="s">
        <v>130</v>
      </c>
      <c r="D251" s="113">
        <v>1661.55</v>
      </c>
      <c r="E251" s="109" t="s">
        <v>212</v>
      </c>
      <c r="F251" s="103" t="s">
        <v>55</v>
      </c>
    </row>
    <row r="252" spans="1:6" ht="15.75" customHeight="1" thickBot="1">
      <c r="A252" s="129">
        <v>46076</v>
      </c>
      <c r="B252" s="112" t="s">
        <v>748</v>
      </c>
      <c r="C252" s="107" t="s">
        <v>130</v>
      </c>
      <c r="D252" s="113">
        <v>82.6</v>
      </c>
      <c r="E252" s="109" t="s">
        <v>212</v>
      </c>
      <c r="F252" s="103" t="s">
        <v>55</v>
      </c>
    </row>
    <row r="253" spans="1:6" ht="15.75" customHeight="1" thickBot="1">
      <c r="A253" s="129">
        <v>46076</v>
      </c>
      <c r="B253" s="112" t="s">
        <v>698</v>
      </c>
      <c r="C253" s="107" t="s">
        <v>141</v>
      </c>
      <c r="D253" s="113">
        <v>473.47</v>
      </c>
      <c r="E253" s="109" t="s">
        <v>212</v>
      </c>
      <c r="F253" s="103" t="s">
        <v>55</v>
      </c>
    </row>
    <row r="254" spans="1:6" ht="15.75" customHeight="1" thickBot="1">
      <c r="A254" s="129">
        <v>46076</v>
      </c>
      <c r="B254" s="112" t="s">
        <v>698</v>
      </c>
      <c r="C254" s="107" t="s">
        <v>141</v>
      </c>
      <c r="D254" s="113">
        <v>496.24</v>
      </c>
      <c r="E254" s="109" t="s">
        <v>212</v>
      </c>
      <c r="F254" s="103" t="s">
        <v>55</v>
      </c>
    </row>
    <row r="255" spans="1:6" ht="15.75" customHeight="1" thickBot="1">
      <c r="A255" s="129">
        <v>46077</v>
      </c>
      <c r="B255" s="135" t="s">
        <v>127</v>
      </c>
      <c r="C255" s="107" t="s">
        <v>128</v>
      </c>
      <c r="D255" s="136">
        <v>10.86</v>
      </c>
      <c r="E255" s="109" t="s">
        <v>212</v>
      </c>
      <c r="F255" s="103" t="s">
        <v>55</v>
      </c>
    </row>
    <row r="256" spans="1:6" ht="15.75" customHeight="1" thickBot="1">
      <c r="A256" s="129">
        <v>46077</v>
      </c>
      <c r="B256" s="135" t="s">
        <v>749</v>
      </c>
      <c r="C256" s="107" t="s">
        <v>130</v>
      </c>
      <c r="D256" s="136">
        <v>60</v>
      </c>
      <c r="E256" s="109" t="s">
        <v>212</v>
      </c>
      <c r="F256" s="103" t="s">
        <v>55</v>
      </c>
    </row>
    <row r="257" spans="1:6" ht="15.75" customHeight="1" thickBot="1">
      <c r="A257" s="129">
        <v>46077</v>
      </c>
      <c r="B257" s="103" t="s">
        <v>676</v>
      </c>
      <c r="C257" s="107" t="s">
        <v>130</v>
      </c>
      <c r="D257" s="137">
        <v>414</v>
      </c>
      <c r="E257" s="109" t="s">
        <v>212</v>
      </c>
      <c r="F257" s="103" t="s">
        <v>55</v>
      </c>
    </row>
    <row r="258" spans="1:6" ht="15.75" customHeight="1" thickBot="1">
      <c r="A258" s="129">
        <v>46077</v>
      </c>
      <c r="B258" s="103" t="s">
        <v>750</v>
      </c>
      <c r="C258" s="107" t="s">
        <v>130</v>
      </c>
      <c r="D258" s="138">
        <v>600</v>
      </c>
      <c r="E258" s="109" t="s">
        <v>212</v>
      </c>
      <c r="F258" s="103" t="s">
        <v>55</v>
      </c>
    </row>
    <row r="259" spans="1:6" ht="15.75" customHeight="1" thickBot="1">
      <c r="A259" s="129">
        <v>46077</v>
      </c>
      <c r="B259" s="103" t="s">
        <v>722</v>
      </c>
      <c r="C259" s="107" t="s">
        <v>130</v>
      </c>
      <c r="D259" s="137">
        <v>675.31</v>
      </c>
      <c r="E259" s="109" t="s">
        <v>212</v>
      </c>
      <c r="F259" s="103" t="s">
        <v>55</v>
      </c>
    </row>
    <row r="260" spans="1:6" ht="15.75" customHeight="1" thickBot="1">
      <c r="A260" s="129">
        <v>46077</v>
      </c>
      <c r="B260" s="103" t="s">
        <v>751</v>
      </c>
      <c r="C260" s="107" t="s">
        <v>130</v>
      </c>
      <c r="D260" s="138">
        <v>385</v>
      </c>
      <c r="E260" s="109" t="s">
        <v>212</v>
      </c>
      <c r="F260" s="103" t="s">
        <v>55</v>
      </c>
    </row>
    <row r="261" spans="1:6" ht="15.75" customHeight="1" thickBot="1">
      <c r="A261" s="129">
        <v>46078</v>
      </c>
      <c r="B261" s="103" t="s">
        <v>127</v>
      </c>
      <c r="C261" s="107" t="s">
        <v>128</v>
      </c>
      <c r="D261" s="138">
        <v>5.43</v>
      </c>
      <c r="E261" s="109" t="s">
        <v>212</v>
      </c>
      <c r="F261" s="103" t="s">
        <v>55</v>
      </c>
    </row>
    <row r="262" spans="1:6" ht="15.75" customHeight="1" thickBot="1">
      <c r="A262" s="129">
        <v>46078</v>
      </c>
      <c r="B262" s="103" t="s">
        <v>657</v>
      </c>
      <c r="C262" s="107" t="s">
        <v>130</v>
      </c>
      <c r="D262" s="138">
        <v>97.04</v>
      </c>
      <c r="E262" s="109" t="s">
        <v>212</v>
      </c>
      <c r="F262" s="103" t="s">
        <v>55</v>
      </c>
    </row>
    <row r="263" spans="1:6" ht="15.75" customHeight="1" thickBot="1">
      <c r="A263" s="129">
        <v>46078</v>
      </c>
      <c r="B263" s="103" t="s">
        <v>657</v>
      </c>
      <c r="C263" s="107" t="s">
        <v>130</v>
      </c>
      <c r="D263" s="138">
        <v>27.9</v>
      </c>
      <c r="E263" s="109" t="s">
        <v>212</v>
      </c>
      <c r="F263" s="103" t="s">
        <v>55</v>
      </c>
    </row>
    <row r="264" spans="1:6" ht="15.75" customHeight="1" thickBot="1">
      <c r="A264" s="129">
        <v>46078</v>
      </c>
      <c r="B264" s="103" t="s">
        <v>473</v>
      </c>
      <c r="C264" s="107" t="s">
        <v>130</v>
      </c>
      <c r="D264" s="138">
        <v>278</v>
      </c>
      <c r="E264" s="109" t="s">
        <v>212</v>
      </c>
      <c r="F264" s="103" t="s">
        <v>55</v>
      </c>
    </row>
    <row r="265" spans="1:6" ht="15.75" customHeight="1" thickBot="1">
      <c r="A265" s="129">
        <v>46078</v>
      </c>
      <c r="B265" s="103" t="s">
        <v>752</v>
      </c>
      <c r="C265" s="107" t="s">
        <v>145</v>
      </c>
      <c r="D265" s="137">
        <v>368.11</v>
      </c>
      <c r="E265" s="109" t="s">
        <v>212</v>
      </c>
      <c r="F265" s="103" t="s">
        <v>55</v>
      </c>
    </row>
    <row r="266" spans="1:6" ht="15.75" customHeight="1" thickBot="1">
      <c r="A266" s="129">
        <v>46078</v>
      </c>
      <c r="B266" s="103" t="s">
        <v>651</v>
      </c>
      <c r="C266" s="107" t="s">
        <v>130</v>
      </c>
      <c r="D266" s="138">
        <v>240</v>
      </c>
      <c r="E266" s="109" t="s">
        <v>212</v>
      </c>
      <c r="F266" s="103" t="s">
        <v>55</v>
      </c>
    </row>
    <row r="267" spans="1:6" ht="15.75" customHeight="1" thickBot="1">
      <c r="A267" s="129">
        <v>46078</v>
      </c>
      <c r="B267" s="103" t="s">
        <v>676</v>
      </c>
      <c r="C267" s="107" t="s">
        <v>130</v>
      </c>
      <c r="D267" s="137">
        <v>432.9</v>
      </c>
      <c r="E267" s="109" t="s">
        <v>212</v>
      </c>
      <c r="F267" s="103" t="s">
        <v>55</v>
      </c>
    </row>
    <row r="268" spans="1:6" ht="15.75" customHeight="1" thickBot="1">
      <c r="A268" s="129">
        <v>46079</v>
      </c>
      <c r="B268" s="103" t="s">
        <v>127</v>
      </c>
      <c r="C268" s="107" t="s">
        <v>128</v>
      </c>
      <c r="D268" s="137">
        <v>7.24</v>
      </c>
      <c r="E268" s="109" t="s">
        <v>212</v>
      </c>
      <c r="F268" s="103" t="s">
        <v>55</v>
      </c>
    </row>
    <row r="269" spans="1:6" ht="15.75" customHeight="1" thickBot="1">
      <c r="A269" s="129">
        <v>46079</v>
      </c>
      <c r="B269" s="103" t="s">
        <v>753</v>
      </c>
      <c r="C269" s="107" t="s">
        <v>132</v>
      </c>
      <c r="D269" s="137">
        <v>500</v>
      </c>
      <c r="E269" s="109" t="s">
        <v>212</v>
      </c>
      <c r="F269" s="103" t="s">
        <v>55</v>
      </c>
    </row>
    <row r="270" spans="1:6" ht="15.75" customHeight="1" thickBot="1">
      <c r="A270" s="129">
        <v>46079</v>
      </c>
      <c r="B270" s="103" t="s">
        <v>684</v>
      </c>
      <c r="C270" s="107" t="s">
        <v>130</v>
      </c>
      <c r="D270" s="138">
        <v>869.09</v>
      </c>
      <c r="E270" s="109" t="s">
        <v>212</v>
      </c>
      <c r="F270" s="103" t="s">
        <v>55</v>
      </c>
    </row>
    <row r="271" spans="1:6" ht="15.75" customHeight="1" thickBot="1">
      <c r="A271" s="129">
        <v>46079</v>
      </c>
      <c r="B271" s="103" t="s">
        <v>679</v>
      </c>
      <c r="C271" s="107" t="s">
        <v>130</v>
      </c>
      <c r="D271" s="137">
        <v>767.23</v>
      </c>
      <c r="E271" s="109" t="s">
        <v>212</v>
      </c>
      <c r="F271" s="103" t="s">
        <v>55</v>
      </c>
    </row>
    <row r="272" spans="1:6" ht="15.75" customHeight="1" thickBot="1">
      <c r="A272" s="129">
        <v>46079</v>
      </c>
      <c r="B272" s="103" t="s">
        <v>655</v>
      </c>
      <c r="C272" s="107" t="s">
        <v>130</v>
      </c>
      <c r="D272" s="138">
        <v>439.82</v>
      </c>
      <c r="E272" s="109" t="s">
        <v>212</v>
      </c>
      <c r="F272" s="103" t="s">
        <v>55</v>
      </c>
    </row>
    <row r="273" spans="1:6" ht="15.75" customHeight="1" thickBot="1">
      <c r="A273" s="129">
        <v>46079</v>
      </c>
      <c r="B273" s="103" t="s">
        <v>655</v>
      </c>
      <c r="C273" s="107" t="s">
        <v>130</v>
      </c>
      <c r="D273" s="137">
        <v>486.25</v>
      </c>
      <c r="E273" s="109" t="s">
        <v>212</v>
      </c>
      <c r="F273" s="103" t="s">
        <v>55</v>
      </c>
    </row>
    <row r="274" spans="1:6" ht="15.75" customHeight="1" thickBot="1">
      <c r="A274" s="129">
        <v>46079</v>
      </c>
      <c r="B274" s="103" t="s">
        <v>649</v>
      </c>
      <c r="C274" s="107" t="s">
        <v>130</v>
      </c>
      <c r="D274" s="138">
        <v>907</v>
      </c>
      <c r="E274" s="109" t="s">
        <v>212</v>
      </c>
      <c r="F274" s="103" t="s">
        <v>55</v>
      </c>
    </row>
    <row r="275" spans="1:6" ht="15.75" customHeight="1" thickBot="1">
      <c r="A275" s="129">
        <v>46079</v>
      </c>
      <c r="B275" s="103" t="s">
        <v>671</v>
      </c>
      <c r="C275" s="107" t="s">
        <v>130</v>
      </c>
      <c r="D275" s="137">
        <v>2953.94</v>
      </c>
      <c r="E275" s="109" t="s">
        <v>212</v>
      </c>
      <c r="F275" s="103" t="s">
        <v>55</v>
      </c>
    </row>
    <row r="276" spans="1:6" ht="15.75" customHeight="1" thickBot="1">
      <c r="A276" s="129">
        <v>46079</v>
      </c>
      <c r="B276" s="103" t="s">
        <v>657</v>
      </c>
      <c r="C276" s="107" t="s">
        <v>130</v>
      </c>
      <c r="D276" s="138">
        <v>164.01</v>
      </c>
      <c r="E276" s="109" t="s">
        <v>212</v>
      </c>
      <c r="F276" s="103" t="s">
        <v>55</v>
      </c>
    </row>
    <row r="277" spans="1:6" ht="15.75" customHeight="1" thickBot="1">
      <c r="A277" s="129">
        <v>46079</v>
      </c>
      <c r="B277" s="103" t="s">
        <v>754</v>
      </c>
      <c r="C277" s="107" t="s">
        <v>110</v>
      </c>
      <c r="D277" s="138">
        <v>4000</v>
      </c>
      <c r="E277" s="109" t="s">
        <v>212</v>
      </c>
      <c r="F277" s="103" t="s">
        <v>55</v>
      </c>
    </row>
    <row r="278" spans="1:6" ht="15.75" customHeight="1" thickBot="1">
      <c r="A278" s="129">
        <v>46079</v>
      </c>
      <c r="B278" s="103" t="s">
        <v>755</v>
      </c>
      <c r="C278" s="107" t="s">
        <v>145</v>
      </c>
      <c r="D278" s="138">
        <v>4200</v>
      </c>
      <c r="E278" s="109" t="s">
        <v>212</v>
      </c>
      <c r="F278" s="103" t="s">
        <v>55</v>
      </c>
    </row>
    <row r="279" spans="1:6" ht="15.75" customHeight="1" thickBot="1">
      <c r="A279" s="129">
        <v>46080</v>
      </c>
      <c r="B279" s="103" t="s">
        <v>127</v>
      </c>
      <c r="C279" s="107"/>
      <c r="D279" s="138">
        <v>19.91</v>
      </c>
      <c r="E279" s="109" t="s">
        <v>212</v>
      </c>
      <c r="F279" s="103" t="s">
        <v>55</v>
      </c>
    </row>
    <row r="280" spans="1:6" ht="15.75" customHeight="1" thickBot="1">
      <c r="A280" s="129">
        <v>46080</v>
      </c>
      <c r="B280" s="103" t="s">
        <v>756</v>
      </c>
      <c r="C280" s="107" t="s">
        <v>130</v>
      </c>
      <c r="D280" s="137">
        <v>1912.5</v>
      </c>
      <c r="E280" s="109" t="s">
        <v>212</v>
      </c>
      <c r="F280" s="103" t="s">
        <v>55</v>
      </c>
    </row>
    <row r="281" spans="1:6" ht="15.75" customHeight="1" thickBot="1">
      <c r="A281" s="129">
        <v>46080</v>
      </c>
      <c r="B281" s="103" t="s">
        <v>649</v>
      </c>
      <c r="C281" s="107" t="s">
        <v>130</v>
      </c>
      <c r="D281" s="138">
        <v>305.75</v>
      </c>
      <c r="E281" s="109" t="s">
        <v>212</v>
      </c>
      <c r="F281" s="103" t="s">
        <v>55</v>
      </c>
    </row>
    <row r="282" spans="1:6" ht="15.75" customHeight="1" thickBot="1">
      <c r="A282" s="129">
        <v>46080</v>
      </c>
      <c r="B282" s="103" t="s">
        <v>652</v>
      </c>
      <c r="C282" s="107" t="s">
        <v>130</v>
      </c>
      <c r="D282" s="137">
        <v>689.67</v>
      </c>
      <c r="E282" s="109" t="s">
        <v>212</v>
      </c>
      <c r="F282" s="103" t="s">
        <v>55</v>
      </c>
    </row>
    <row r="283" spans="1:6" ht="15.75" customHeight="1" thickBot="1">
      <c r="A283" s="129">
        <v>46080</v>
      </c>
      <c r="B283" s="103" t="s">
        <v>722</v>
      </c>
      <c r="C283" s="107" t="s">
        <v>130</v>
      </c>
      <c r="D283" s="138">
        <v>333.62</v>
      </c>
      <c r="E283" s="109" t="s">
        <v>212</v>
      </c>
      <c r="F283" s="103" t="s">
        <v>55</v>
      </c>
    </row>
    <row r="284" spans="1:6" ht="15.75" customHeight="1" thickBot="1">
      <c r="A284" s="129">
        <v>46080</v>
      </c>
      <c r="B284" s="103" t="s">
        <v>740</v>
      </c>
      <c r="C284" s="107" t="s">
        <v>130</v>
      </c>
      <c r="D284" s="137">
        <v>348</v>
      </c>
      <c r="E284" s="109" t="s">
        <v>212</v>
      </c>
      <c r="F284" s="103" t="s">
        <v>55</v>
      </c>
    </row>
    <row r="285" spans="1:6" ht="15.75" customHeight="1" thickBot="1">
      <c r="A285" s="129">
        <v>46080</v>
      </c>
      <c r="B285" s="103" t="s">
        <v>657</v>
      </c>
      <c r="C285" s="107" t="s">
        <v>130</v>
      </c>
      <c r="D285" s="138">
        <v>226.12</v>
      </c>
      <c r="E285" s="109" t="s">
        <v>212</v>
      </c>
      <c r="F285" s="103" t="s">
        <v>55</v>
      </c>
    </row>
    <row r="286" spans="1:6" ht="15.75" customHeight="1">
      <c r="A286" s="105">
        <v>46062</v>
      </c>
      <c r="B286" s="107" t="s">
        <v>757</v>
      </c>
      <c r="C286" s="112" t="s">
        <v>130</v>
      </c>
      <c r="D286" s="139">
        <v>812.5</v>
      </c>
      <c r="E286" s="109" t="s">
        <v>341</v>
      </c>
      <c r="F286" s="103" t="s">
        <v>55</v>
      </c>
    </row>
    <row r="287" spans="1:6" ht="15.75" customHeight="1">
      <c r="A287" s="105">
        <v>46064</v>
      </c>
      <c r="B287" s="103" t="s">
        <v>713</v>
      </c>
      <c r="C287" s="135" t="s">
        <v>130</v>
      </c>
      <c r="D287" s="140">
        <v>66</v>
      </c>
      <c r="E287" s="109" t="s">
        <v>341</v>
      </c>
      <c r="F287" s="103" t="s">
        <v>55</v>
      </c>
    </row>
    <row r="288" spans="1:6" ht="15.75" customHeight="1" thickBot="1">
      <c r="A288" s="105">
        <v>46066</v>
      </c>
      <c r="B288" s="103" t="s">
        <v>758</v>
      </c>
      <c r="C288" s="135" t="s">
        <v>173</v>
      </c>
      <c r="D288" s="140">
        <v>1600</v>
      </c>
      <c r="E288" s="109" t="s">
        <v>341</v>
      </c>
      <c r="F288" s="103" t="s">
        <v>55</v>
      </c>
    </row>
    <row r="289" spans="1:7" ht="15.75" customHeight="1" thickBot="1">
      <c r="A289" s="132">
        <v>46071</v>
      </c>
      <c r="B289" s="107" t="s">
        <v>709</v>
      </c>
      <c r="C289" s="112" t="s">
        <v>141</v>
      </c>
      <c r="D289" s="139">
        <v>209.66</v>
      </c>
      <c r="E289" s="109" t="s">
        <v>341</v>
      </c>
      <c r="F289" s="103" t="s">
        <v>55</v>
      </c>
    </row>
    <row r="290" spans="1:7" ht="15.75" customHeight="1" thickBot="1">
      <c r="A290" s="132">
        <v>46071</v>
      </c>
      <c r="B290" s="107" t="s">
        <v>123</v>
      </c>
      <c r="C290" s="112" t="s">
        <v>173</v>
      </c>
      <c r="D290" s="139">
        <v>6241.39</v>
      </c>
      <c r="E290" s="109" t="s">
        <v>341</v>
      </c>
      <c r="F290" s="103" t="s">
        <v>55</v>
      </c>
    </row>
    <row r="291" spans="1:7" ht="15.75" customHeight="1">
      <c r="A291" s="105">
        <v>46086</v>
      </c>
      <c r="B291" s="107" t="s">
        <v>713</v>
      </c>
      <c r="C291" s="112" t="s">
        <v>130</v>
      </c>
      <c r="D291" s="139">
        <v>83</v>
      </c>
      <c r="E291" s="109" t="s">
        <v>341</v>
      </c>
      <c r="F291" s="103" t="s">
        <v>7</v>
      </c>
      <c r="G291" s="317">
        <f>SUM(D291:D492)</f>
        <v>192968.08000000005</v>
      </c>
    </row>
    <row r="292" spans="1:7" ht="15.75" customHeight="1">
      <c r="A292" s="105">
        <v>46092</v>
      </c>
      <c r="B292" s="107" t="s">
        <v>713</v>
      </c>
      <c r="C292" s="112" t="s">
        <v>130</v>
      </c>
      <c r="D292" s="139">
        <v>50</v>
      </c>
      <c r="E292" s="109" t="s">
        <v>341</v>
      </c>
      <c r="F292" s="103" t="s">
        <v>7</v>
      </c>
    </row>
    <row r="293" spans="1:7" ht="15.75" customHeight="1">
      <c r="A293" s="105">
        <v>46097</v>
      </c>
      <c r="B293" s="107" t="s">
        <v>709</v>
      </c>
      <c r="C293" s="112" t="s">
        <v>141</v>
      </c>
      <c r="D293" s="139">
        <v>218.6</v>
      </c>
      <c r="E293" s="109" t="s">
        <v>341</v>
      </c>
      <c r="F293" s="103" t="s">
        <v>7</v>
      </c>
    </row>
    <row r="294" spans="1:7" ht="15.75" customHeight="1">
      <c r="A294" s="105">
        <v>46097</v>
      </c>
      <c r="B294" s="107" t="s">
        <v>123</v>
      </c>
      <c r="C294" s="112" t="s">
        <v>173</v>
      </c>
      <c r="D294" s="139">
        <v>6303.62</v>
      </c>
      <c r="E294" s="109" t="s">
        <v>341</v>
      </c>
      <c r="F294" s="103" t="s">
        <v>7</v>
      </c>
    </row>
    <row r="295" spans="1:7" ht="15.75" customHeight="1">
      <c r="A295" s="105">
        <v>46106</v>
      </c>
      <c r="B295" s="107" t="s">
        <v>473</v>
      </c>
      <c r="C295" s="112" t="s">
        <v>130</v>
      </c>
      <c r="D295" s="139">
        <v>268.5</v>
      </c>
      <c r="E295" s="109" t="s">
        <v>341</v>
      </c>
      <c r="F295" s="103" t="s">
        <v>7</v>
      </c>
    </row>
    <row r="296" spans="1:7" ht="15.75" customHeight="1">
      <c r="A296" s="105">
        <v>46108</v>
      </c>
      <c r="B296" s="122" t="s">
        <v>713</v>
      </c>
      <c r="C296" s="141" t="s">
        <v>130</v>
      </c>
      <c r="D296" s="142">
        <v>70</v>
      </c>
      <c r="E296" s="109" t="s">
        <v>341</v>
      </c>
      <c r="F296" s="103" t="s">
        <v>7</v>
      </c>
    </row>
    <row r="297" spans="1:7" ht="15.75" customHeight="1">
      <c r="A297" s="105">
        <v>46111</v>
      </c>
      <c r="B297" s="143" t="s">
        <v>758</v>
      </c>
      <c r="C297" s="144" t="s">
        <v>169</v>
      </c>
      <c r="D297" s="145">
        <v>240</v>
      </c>
      <c r="E297" s="109" t="s">
        <v>341</v>
      </c>
      <c r="F297" s="103" t="s">
        <v>7</v>
      </c>
    </row>
    <row r="298" spans="1:7" ht="15.75" customHeight="1">
      <c r="A298" s="105">
        <v>46083</v>
      </c>
      <c r="B298" s="106" t="s">
        <v>717</v>
      </c>
      <c r="C298" s="107" t="s">
        <v>130</v>
      </c>
      <c r="D298" s="108">
        <v>90.53</v>
      </c>
      <c r="E298" s="109" t="s">
        <v>212</v>
      </c>
      <c r="F298" s="103" t="s">
        <v>7</v>
      </c>
    </row>
    <row r="299" spans="1:7" ht="15.75" customHeight="1">
      <c r="A299" s="105">
        <v>46083</v>
      </c>
      <c r="B299" s="107" t="s">
        <v>759</v>
      </c>
      <c r="C299" s="107" t="s">
        <v>130</v>
      </c>
      <c r="D299" s="113">
        <v>682.47</v>
      </c>
      <c r="E299" s="109" t="s">
        <v>212</v>
      </c>
      <c r="F299" s="103" t="s">
        <v>7</v>
      </c>
    </row>
    <row r="300" spans="1:7" ht="15.75" customHeight="1">
      <c r="A300" s="105">
        <v>46083</v>
      </c>
      <c r="B300" s="107" t="s">
        <v>760</v>
      </c>
      <c r="C300" s="107" t="s">
        <v>130</v>
      </c>
      <c r="D300" s="113">
        <v>316.87</v>
      </c>
      <c r="E300" s="109" t="s">
        <v>212</v>
      </c>
      <c r="F300" s="103" t="s">
        <v>7</v>
      </c>
    </row>
    <row r="301" spans="1:7" ht="15.75" customHeight="1">
      <c r="A301" s="105">
        <v>46083</v>
      </c>
      <c r="B301" s="107" t="s">
        <v>715</v>
      </c>
      <c r="C301" s="107" t="s">
        <v>130</v>
      </c>
      <c r="D301" s="113">
        <v>570</v>
      </c>
      <c r="E301" s="109" t="s">
        <v>212</v>
      </c>
      <c r="F301" s="103" t="s">
        <v>7</v>
      </c>
    </row>
    <row r="302" spans="1:7" ht="15.75" customHeight="1">
      <c r="A302" s="105">
        <v>46083</v>
      </c>
      <c r="B302" s="107" t="s">
        <v>761</v>
      </c>
      <c r="C302" s="107" t="s">
        <v>130</v>
      </c>
      <c r="D302" s="113">
        <v>660.8</v>
      </c>
      <c r="E302" s="109" t="s">
        <v>212</v>
      </c>
      <c r="F302" s="103" t="s">
        <v>7</v>
      </c>
    </row>
    <row r="303" spans="1:7" ht="15.75" customHeight="1">
      <c r="A303" s="105">
        <v>46083</v>
      </c>
      <c r="B303" s="107" t="s">
        <v>760</v>
      </c>
      <c r="C303" s="107" t="s">
        <v>130</v>
      </c>
      <c r="D303" s="113">
        <v>425</v>
      </c>
      <c r="E303" s="109" t="s">
        <v>212</v>
      </c>
      <c r="F303" s="103" t="s">
        <v>7</v>
      </c>
    </row>
    <row r="304" spans="1:7" ht="15.75" customHeight="1">
      <c r="A304" s="105">
        <v>46083</v>
      </c>
      <c r="B304" s="107" t="s">
        <v>760</v>
      </c>
      <c r="C304" s="107" t="s">
        <v>130</v>
      </c>
      <c r="D304" s="113">
        <v>450</v>
      </c>
      <c r="E304" s="109" t="s">
        <v>212</v>
      </c>
      <c r="F304" s="103" t="s">
        <v>7</v>
      </c>
    </row>
    <row r="305" spans="1:6" ht="15.75" customHeight="1">
      <c r="A305" s="105">
        <v>46083</v>
      </c>
      <c r="B305" s="107" t="s">
        <v>762</v>
      </c>
      <c r="C305" s="107" t="s">
        <v>130</v>
      </c>
      <c r="D305" s="113">
        <v>890</v>
      </c>
      <c r="E305" s="109" t="s">
        <v>212</v>
      </c>
      <c r="F305" s="103" t="s">
        <v>7</v>
      </c>
    </row>
    <row r="306" spans="1:6" ht="15.75" customHeight="1">
      <c r="A306" s="105">
        <v>46083</v>
      </c>
      <c r="B306" s="107" t="s">
        <v>715</v>
      </c>
      <c r="C306" s="107" t="s">
        <v>130</v>
      </c>
      <c r="D306" s="113">
        <v>60</v>
      </c>
      <c r="E306" s="109" t="s">
        <v>212</v>
      </c>
      <c r="F306" s="103" t="s">
        <v>7</v>
      </c>
    </row>
    <row r="307" spans="1:6" ht="15.75" customHeight="1">
      <c r="A307" s="105">
        <v>46083</v>
      </c>
      <c r="B307" s="107" t="s">
        <v>715</v>
      </c>
      <c r="C307" s="107" t="s">
        <v>130</v>
      </c>
      <c r="D307" s="113">
        <v>75.069999999999993</v>
      </c>
      <c r="E307" s="109" t="s">
        <v>212</v>
      </c>
      <c r="F307" s="103" t="s">
        <v>7</v>
      </c>
    </row>
    <row r="308" spans="1:6" ht="15.75" customHeight="1">
      <c r="A308" s="105">
        <v>46083</v>
      </c>
      <c r="B308" s="107" t="s">
        <v>154</v>
      </c>
      <c r="C308" s="107" t="s">
        <v>147</v>
      </c>
      <c r="D308" s="113">
        <v>6280</v>
      </c>
      <c r="E308" s="109" t="s">
        <v>212</v>
      </c>
      <c r="F308" s="103" t="s">
        <v>7</v>
      </c>
    </row>
    <row r="309" spans="1:6" ht="15.75" customHeight="1">
      <c r="A309" s="105">
        <v>46083</v>
      </c>
      <c r="B309" s="107" t="s">
        <v>154</v>
      </c>
      <c r="C309" s="107" t="s">
        <v>763</v>
      </c>
      <c r="D309" s="113">
        <v>10000</v>
      </c>
      <c r="E309" s="109" t="s">
        <v>212</v>
      </c>
      <c r="F309" s="103" t="s">
        <v>7</v>
      </c>
    </row>
    <row r="310" spans="1:6" ht="15.75" customHeight="1">
      <c r="A310" s="105">
        <v>46083</v>
      </c>
      <c r="B310" s="107" t="s">
        <v>764</v>
      </c>
      <c r="C310" s="107" t="s">
        <v>132</v>
      </c>
      <c r="D310" s="113">
        <v>720</v>
      </c>
      <c r="E310" s="109" t="s">
        <v>212</v>
      </c>
      <c r="F310" s="103" t="s">
        <v>7</v>
      </c>
    </row>
    <row r="311" spans="1:6" ht="15.75" customHeight="1">
      <c r="A311" s="105">
        <v>46083</v>
      </c>
      <c r="B311" s="107" t="s">
        <v>168</v>
      </c>
      <c r="C311" s="107" t="s">
        <v>169</v>
      </c>
      <c r="D311" s="113">
        <v>670</v>
      </c>
      <c r="E311" s="109" t="s">
        <v>212</v>
      </c>
      <c r="F311" s="103" t="s">
        <v>7</v>
      </c>
    </row>
    <row r="312" spans="1:6" ht="15.75" customHeight="1">
      <c r="A312" s="105">
        <v>46083</v>
      </c>
      <c r="B312" s="107" t="s">
        <v>765</v>
      </c>
      <c r="C312" s="107" t="s">
        <v>169</v>
      </c>
      <c r="D312" s="113">
        <v>100</v>
      </c>
      <c r="E312" s="109" t="s">
        <v>212</v>
      </c>
      <c r="F312" s="103" t="s">
        <v>7</v>
      </c>
    </row>
    <row r="313" spans="1:6" ht="15.75" customHeight="1">
      <c r="A313" s="105">
        <v>46083</v>
      </c>
      <c r="B313" s="107" t="s">
        <v>473</v>
      </c>
      <c r="C313" s="107" t="s">
        <v>130</v>
      </c>
      <c r="D313" s="113">
        <v>278</v>
      </c>
      <c r="E313" s="109" t="s">
        <v>212</v>
      </c>
      <c r="F313" s="103" t="s">
        <v>7</v>
      </c>
    </row>
    <row r="314" spans="1:6" ht="15.75" customHeight="1">
      <c r="A314" s="105">
        <v>46083</v>
      </c>
      <c r="B314" s="107" t="s">
        <v>127</v>
      </c>
      <c r="C314" s="107" t="s">
        <v>128</v>
      </c>
      <c r="D314" s="113">
        <v>9.0500000000000007</v>
      </c>
      <c r="E314" s="109" t="s">
        <v>212</v>
      </c>
      <c r="F314" s="103" t="s">
        <v>7</v>
      </c>
    </row>
    <row r="315" spans="1:6" ht="15.75" customHeight="1">
      <c r="A315" s="105">
        <v>46084</v>
      </c>
      <c r="B315" s="107" t="s">
        <v>766</v>
      </c>
      <c r="C315" s="107" t="s">
        <v>130</v>
      </c>
      <c r="D315" s="113">
        <v>250</v>
      </c>
      <c r="E315" s="109" t="s">
        <v>212</v>
      </c>
      <c r="F315" s="103" t="s">
        <v>7</v>
      </c>
    </row>
    <row r="316" spans="1:6" ht="15.75" customHeight="1">
      <c r="A316" s="105">
        <v>46084</v>
      </c>
      <c r="B316" s="107" t="s">
        <v>718</v>
      </c>
      <c r="C316" s="107" t="s">
        <v>130</v>
      </c>
      <c r="D316" s="113">
        <v>32</v>
      </c>
      <c r="E316" s="109" t="s">
        <v>212</v>
      </c>
      <c r="F316" s="103" t="s">
        <v>7</v>
      </c>
    </row>
    <row r="317" spans="1:6" ht="15.75" customHeight="1">
      <c r="A317" s="105">
        <v>46084</v>
      </c>
      <c r="B317" s="107" t="s">
        <v>767</v>
      </c>
      <c r="C317" s="107" t="s">
        <v>128</v>
      </c>
      <c r="D317" s="113">
        <v>6.76</v>
      </c>
      <c r="E317" s="109" t="s">
        <v>212</v>
      </c>
      <c r="F317" s="103" t="s">
        <v>7</v>
      </c>
    </row>
    <row r="318" spans="1:6" ht="15.75" customHeight="1">
      <c r="A318" s="105">
        <v>46084</v>
      </c>
      <c r="B318" s="107" t="s">
        <v>127</v>
      </c>
      <c r="C318" s="107" t="s">
        <v>128</v>
      </c>
      <c r="D318" s="113">
        <v>3.62</v>
      </c>
      <c r="E318" s="109" t="s">
        <v>212</v>
      </c>
      <c r="F318" s="103" t="s">
        <v>7</v>
      </c>
    </row>
    <row r="319" spans="1:6" ht="15.75" customHeight="1">
      <c r="A319" s="105">
        <v>46084</v>
      </c>
      <c r="B319" s="107" t="s">
        <v>768</v>
      </c>
      <c r="C319" s="107" t="s">
        <v>130</v>
      </c>
      <c r="D319" s="113">
        <v>600</v>
      </c>
      <c r="E319" s="109" t="s">
        <v>212</v>
      </c>
      <c r="F319" s="103" t="s">
        <v>7</v>
      </c>
    </row>
    <row r="320" spans="1:6" ht="15.75" customHeight="1">
      <c r="A320" s="105">
        <v>46084</v>
      </c>
      <c r="B320" s="107" t="s">
        <v>769</v>
      </c>
      <c r="C320" s="107" t="s">
        <v>130</v>
      </c>
      <c r="D320" s="113">
        <v>420</v>
      </c>
      <c r="E320" s="109" t="s">
        <v>212</v>
      </c>
      <c r="F320" s="103" t="s">
        <v>7</v>
      </c>
    </row>
    <row r="321" spans="1:6" ht="15.75" customHeight="1">
      <c r="A321" s="105">
        <v>46085</v>
      </c>
      <c r="B321" s="107" t="s">
        <v>127</v>
      </c>
      <c r="C321" s="107" t="s">
        <v>128</v>
      </c>
      <c r="D321" s="113">
        <v>7.24</v>
      </c>
      <c r="E321" s="109" t="s">
        <v>212</v>
      </c>
      <c r="F321" s="103" t="s">
        <v>7</v>
      </c>
    </row>
    <row r="322" spans="1:6" ht="15.75" customHeight="1">
      <c r="A322" s="105">
        <v>46085</v>
      </c>
      <c r="B322" s="107" t="s">
        <v>770</v>
      </c>
      <c r="C322" s="107" t="s">
        <v>130</v>
      </c>
      <c r="D322" s="113">
        <v>375.23</v>
      </c>
      <c r="E322" s="109" t="s">
        <v>212</v>
      </c>
      <c r="F322" s="103" t="s">
        <v>7</v>
      </c>
    </row>
    <row r="323" spans="1:6" ht="15.75" customHeight="1">
      <c r="A323" s="105">
        <v>46086</v>
      </c>
      <c r="B323" s="107" t="s">
        <v>127</v>
      </c>
      <c r="C323" s="107" t="s">
        <v>128</v>
      </c>
      <c r="D323" s="113">
        <v>5.43</v>
      </c>
      <c r="E323" s="109" t="s">
        <v>212</v>
      </c>
      <c r="F323" s="103" t="s">
        <v>7</v>
      </c>
    </row>
    <row r="324" spans="1:6" ht="15.75" customHeight="1">
      <c r="A324" s="105">
        <v>46086</v>
      </c>
      <c r="B324" s="107" t="s">
        <v>771</v>
      </c>
      <c r="C324" s="107" t="s">
        <v>130</v>
      </c>
      <c r="D324" s="113">
        <v>124.91</v>
      </c>
      <c r="E324" s="109" t="s">
        <v>212</v>
      </c>
      <c r="F324" s="103" t="s">
        <v>7</v>
      </c>
    </row>
    <row r="325" spans="1:6" ht="15.75" customHeight="1">
      <c r="A325" s="105">
        <v>46086</v>
      </c>
      <c r="B325" s="107" t="s">
        <v>158</v>
      </c>
      <c r="C325" s="107" t="s">
        <v>159</v>
      </c>
      <c r="D325" s="113">
        <v>650</v>
      </c>
      <c r="E325" s="109" t="s">
        <v>212</v>
      </c>
      <c r="F325" s="103" t="s">
        <v>7</v>
      </c>
    </row>
    <row r="326" spans="1:6" ht="15.75" customHeight="1">
      <c r="A326" s="105">
        <v>46086</v>
      </c>
      <c r="B326" s="107" t="s">
        <v>772</v>
      </c>
      <c r="C326" s="107" t="s">
        <v>145</v>
      </c>
      <c r="D326" s="113">
        <v>1270</v>
      </c>
      <c r="E326" s="109" t="s">
        <v>212</v>
      </c>
      <c r="F326" s="103" t="s">
        <v>7</v>
      </c>
    </row>
    <row r="327" spans="1:6" ht="15.75" customHeight="1">
      <c r="A327" s="105">
        <v>46086</v>
      </c>
      <c r="B327" s="107" t="s">
        <v>773</v>
      </c>
      <c r="C327" s="107" t="s">
        <v>169</v>
      </c>
      <c r="D327" s="113">
        <v>1802.8</v>
      </c>
      <c r="E327" s="109" t="s">
        <v>212</v>
      </c>
      <c r="F327" s="103" t="s">
        <v>7</v>
      </c>
    </row>
    <row r="328" spans="1:6" ht="15.75" customHeight="1">
      <c r="A328" s="105">
        <v>46086</v>
      </c>
      <c r="B328" s="107" t="s">
        <v>683</v>
      </c>
      <c r="C328" s="107" t="s">
        <v>130</v>
      </c>
      <c r="D328" s="113">
        <v>261.17</v>
      </c>
      <c r="E328" s="109" t="s">
        <v>212</v>
      </c>
      <c r="F328" s="103" t="s">
        <v>7</v>
      </c>
    </row>
    <row r="329" spans="1:6" ht="15.75" customHeight="1">
      <c r="A329" s="105">
        <v>46086</v>
      </c>
      <c r="B329" s="107" t="s">
        <v>774</v>
      </c>
      <c r="C329" s="107" t="s">
        <v>130</v>
      </c>
      <c r="D329" s="113">
        <v>842.7</v>
      </c>
      <c r="E329" s="109" t="s">
        <v>212</v>
      </c>
      <c r="F329" s="103" t="s">
        <v>7</v>
      </c>
    </row>
    <row r="330" spans="1:6" ht="15.75" customHeight="1">
      <c r="A330" s="105">
        <v>46086</v>
      </c>
      <c r="B330" s="107" t="s">
        <v>775</v>
      </c>
      <c r="C330" s="107" t="s">
        <v>130</v>
      </c>
      <c r="D330" s="113">
        <v>398.88</v>
      </c>
      <c r="E330" s="109" t="s">
        <v>212</v>
      </c>
      <c r="F330" s="103" t="s">
        <v>7</v>
      </c>
    </row>
    <row r="331" spans="1:6" ht="15.75" customHeight="1">
      <c r="A331" s="105">
        <v>46086</v>
      </c>
      <c r="B331" s="107" t="s">
        <v>774</v>
      </c>
      <c r="C331" s="107" t="s">
        <v>130</v>
      </c>
      <c r="D331" s="113">
        <v>201.4</v>
      </c>
      <c r="E331" s="109" t="s">
        <v>212</v>
      </c>
      <c r="F331" s="103" t="s">
        <v>7</v>
      </c>
    </row>
    <row r="332" spans="1:6" ht="15.75" customHeight="1">
      <c r="A332" s="105">
        <v>46086</v>
      </c>
      <c r="B332" s="107" t="s">
        <v>776</v>
      </c>
      <c r="C332" s="107" t="s">
        <v>130</v>
      </c>
      <c r="D332" s="113">
        <v>402.68</v>
      </c>
      <c r="E332" s="109" t="s">
        <v>212</v>
      </c>
      <c r="F332" s="103" t="s">
        <v>7</v>
      </c>
    </row>
    <row r="333" spans="1:6" ht="15.75" customHeight="1">
      <c r="A333" s="105">
        <v>46086</v>
      </c>
      <c r="B333" s="107" t="s">
        <v>777</v>
      </c>
      <c r="C333" s="107" t="s">
        <v>130</v>
      </c>
      <c r="D333" s="113">
        <v>390.3</v>
      </c>
      <c r="E333" s="109" t="s">
        <v>212</v>
      </c>
      <c r="F333" s="103" t="s">
        <v>7</v>
      </c>
    </row>
    <row r="334" spans="1:6" ht="15.75" customHeight="1">
      <c r="A334" s="105">
        <v>46087</v>
      </c>
      <c r="B334" s="107" t="s">
        <v>127</v>
      </c>
      <c r="C334" s="107" t="s">
        <v>128</v>
      </c>
      <c r="D334" s="113">
        <v>9.0500000000000007</v>
      </c>
      <c r="E334" s="109" t="s">
        <v>212</v>
      </c>
      <c r="F334" s="103" t="s">
        <v>7</v>
      </c>
    </row>
    <row r="335" spans="1:6" ht="15.75" customHeight="1">
      <c r="A335" s="105">
        <v>46087</v>
      </c>
      <c r="B335" s="107" t="s">
        <v>754</v>
      </c>
      <c r="C335" s="107" t="s">
        <v>110</v>
      </c>
      <c r="D335" s="113">
        <v>7000</v>
      </c>
      <c r="E335" s="109" t="s">
        <v>212</v>
      </c>
      <c r="F335" s="103" t="s">
        <v>7</v>
      </c>
    </row>
    <row r="336" spans="1:6" ht="15.75" customHeight="1">
      <c r="A336" s="105">
        <v>46087</v>
      </c>
      <c r="B336" s="107" t="s">
        <v>778</v>
      </c>
      <c r="C336" s="107" t="s">
        <v>130</v>
      </c>
      <c r="D336" s="113">
        <v>668.33</v>
      </c>
      <c r="E336" s="109" t="s">
        <v>212</v>
      </c>
      <c r="F336" s="103" t="s">
        <v>7</v>
      </c>
    </row>
    <row r="337" spans="1:6" ht="15.75" customHeight="1">
      <c r="A337" s="105">
        <v>46087</v>
      </c>
      <c r="B337" s="107" t="s">
        <v>774</v>
      </c>
      <c r="C337" s="107" t="s">
        <v>130</v>
      </c>
      <c r="D337" s="113">
        <v>38.159999999999997</v>
      </c>
      <c r="E337" s="109" t="s">
        <v>212</v>
      </c>
      <c r="F337" s="103" t="s">
        <v>7</v>
      </c>
    </row>
    <row r="338" spans="1:6" ht="15.75" customHeight="1">
      <c r="A338" s="105">
        <v>46087</v>
      </c>
      <c r="B338" s="112" t="s">
        <v>779</v>
      </c>
      <c r="C338" s="107" t="s">
        <v>132</v>
      </c>
      <c r="D338" s="113">
        <v>2440.6799999999998</v>
      </c>
      <c r="E338" s="109" t="s">
        <v>212</v>
      </c>
      <c r="F338" s="103" t="s">
        <v>7</v>
      </c>
    </row>
    <row r="339" spans="1:6" ht="15.75" customHeight="1">
      <c r="A339" s="105">
        <v>46087</v>
      </c>
      <c r="B339" s="117" t="s">
        <v>780</v>
      </c>
      <c r="C339" s="107" t="s">
        <v>132</v>
      </c>
      <c r="D339" s="118">
        <v>1554.24</v>
      </c>
      <c r="E339" s="109" t="s">
        <v>212</v>
      </c>
      <c r="F339" s="103" t="s">
        <v>7</v>
      </c>
    </row>
    <row r="340" spans="1:6" ht="15.75" customHeight="1">
      <c r="A340" s="105">
        <v>46087</v>
      </c>
      <c r="B340" s="117" t="s">
        <v>729</v>
      </c>
      <c r="C340" s="107" t="s">
        <v>132</v>
      </c>
      <c r="D340" s="118">
        <v>1049.52</v>
      </c>
      <c r="E340" s="109" t="s">
        <v>212</v>
      </c>
      <c r="F340" s="103" t="s">
        <v>7</v>
      </c>
    </row>
    <row r="341" spans="1:6" ht="15.75" customHeight="1">
      <c r="A341" s="105">
        <v>46087</v>
      </c>
      <c r="B341" s="117" t="s">
        <v>781</v>
      </c>
      <c r="C341" s="107" t="s">
        <v>132</v>
      </c>
      <c r="D341" s="118">
        <v>1500</v>
      </c>
      <c r="E341" s="109" t="s">
        <v>212</v>
      </c>
      <c r="F341" s="103" t="s">
        <v>7</v>
      </c>
    </row>
    <row r="342" spans="1:6" ht="15.75" customHeight="1">
      <c r="A342" s="105">
        <v>46087</v>
      </c>
      <c r="B342" s="117" t="s">
        <v>715</v>
      </c>
      <c r="C342" s="107" t="s">
        <v>130</v>
      </c>
      <c r="D342" s="118">
        <v>86</v>
      </c>
      <c r="E342" s="109" t="s">
        <v>212</v>
      </c>
      <c r="F342" s="103" t="s">
        <v>7</v>
      </c>
    </row>
    <row r="343" spans="1:6" ht="15.75" customHeight="1">
      <c r="A343" s="105">
        <v>46090</v>
      </c>
      <c r="B343" s="117" t="s">
        <v>127</v>
      </c>
      <c r="C343" s="107" t="s">
        <v>128</v>
      </c>
      <c r="D343" s="118">
        <v>10.86</v>
      </c>
      <c r="E343" s="109" t="s">
        <v>212</v>
      </c>
      <c r="F343" s="103" t="s">
        <v>7</v>
      </c>
    </row>
    <row r="344" spans="1:6" ht="15.75" customHeight="1">
      <c r="A344" s="105">
        <v>46090</v>
      </c>
      <c r="B344" s="117" t="s">
        <v>171</v>
      </c>
      <c r="C344" s="107" t="s">
        <v>169</v>
      </c>
      <c r="D344" s="118">
        <v>5145.5</v>
      </c>
      <c r="E344" s="109" t="s">
        <v>212</v>
      </c>
      <c r="F344" s="103" t="s">
        <v>7</v>
      </c>
    </row>
    <row r="345" spans="1:6" ht="15.75" customHeight="1">
      <c r="A345" s="105">
        <v>46090</v>
      </c>
      <c r="B345" s="119" t="s">
        <v>782</v>
      </c>
      <c r="C345" s="107" t="s">
        <v>130</v>
      </c>
      <c r="D345" s="118">
        <v>535</v>
      </c>
      <c r="E345" s="109" t="s">
        <v>212</v>
      </c>
      <c r="F345" s="103" t="s">
        <v>7</v>
      </c>
    </row>
    <row r="346" spans="1:6" ht="15.75" customHeight="1">
      <c r="A346" s="105">
        <v>46090</v>
      </c>
      <c r="B346" s="119" t="s">
        <v>783</v>
      </c>
      <c r="C346" s="107" t="s">
        <v>159</v>
      </c>
      <c r="D346" s="118">
        <v>80</v>
      </c>
      <c r="E346" s="109" t="s">
        <v>212</v>
      </c>
      <c r="F346" s="103" t="s">
        <v>7</v>
      </c>
    </row>
    <row r="347" spans="1:6" ht="15.75" customHeight="1">
      <c r="A347" s="105">
        <v>46090</v>
      </c>
      <c r="B347" s="110" t="s">
        <v>770</v>
      </c>
      <c r="C347" s="107" t="s">
        <v>130</v>
      </c>
      <c r="D347" s="111">
        <v>1322.4</v>
      </c>
      <c r="E347" s="109" t="s">
        <v>212</v>
      </c>
      <c r="F347" s="103" t="s">
        <v>7</v>
      </c>
    </row>
    <row r="348" spans="1:6" ht="15.75" customHeight="1">
      <c r="A348" s="105">
        <v>46090</v>
      </c>
      <c r="B348" s="107" t="s">
        <v>655</v>
      </c>
      <c r="C348" s="107" t="s">
        <v>130</v>
      </c>
      <c r="D348" s="113">
        <v>537.07000000000005</v>
      </c>
      <c r="E348" s="109" t="s">
        <v>212</v>
      </c>
      <c r="F348" s="103" t="s">
        <v>7</v>
      </c>
    </row>
    <row r="349" spans="1:6" ht="15.75" customHeight="1">
      <c r="A349" s="105">
        <v>46090</v>
      </c>
      <c r="B349" s="107" t="s">
        <v>652</v>
      </c>
      <c r="C349" s="107" t="s">
        <v>130</v>
      </c>
      <c r="D349" s="113">
        <v>660.73</v>
      </c>
      <c r="E349" s="109" t="s">
        <v>212</v>
      </c>
      <c r="F349" s="103" t="s">
        <v>7</v>
      </c>
    </row>
    <row r="350" spans="1:6" ht="15.75" customHeight="1">
      <c r="A350" s="105">
        <v>46090</v>
      </c>
      <c r="B350" s="107" t="s">
        <v>649</v>
      </c>
      <c r="C350" s="107" t="s">
        <v>130</v>
      </c>
      <c r="D350" s="113">
        <v>299.3</v>
      </c>
      <c r="E350" s="109" t="s">
        <v>212</v>
      </c>
      <c r="F350" s="103" t="s">
        <v>7</v>
      </c>
    </row>
    <row r="351" spans="1:6" ht="15.75" customHeight="1">
      <c r="A351" s="105">
        <v>46090</v>
      </c>
      <c r="B351" s="107" t="s">
        <v>646</v>
      </c>
      <c r="C351" s="107" t="s">
        <v>130</v>
      </c>
      <c r="D351" s="113">
        <v>1265</v>
      </c>
      <c r="E351" s="109" t="s">
        <v>212</v>
      </c>
      <c r="F351" s="103" t="s">
        <v>7</v>
      </c>
    </row>
    <row r="352" spans="1:6" ht="15.75" customHeight="1">
      <c r="A352" s="105">
        <v>46090</v>
      </c>
      <c r="B352" s="107" t="s">
        <v>676</v>
      </c>
      <c r="C352" s="107" t="s">
        <v>130</v>
      </c>
      <c r="D352" s="113">
        <v>342</v>
      </c>
      <c r="E352" s="109" t="s">
        <v>212</v>
      </c>
      <c r="F352" s="103" t="s">
        <v>7</v>
      </c>
    </row>
    <row r="353" spans="1:6" ht="15.75" customHeight="1">
      <c r="A353" s="105">
        <v>46090</v>
      </c>
      <c r="B353" s="107" t="s">
        <v>668</v>
      </c>
      <c r="C353" s="107" t="s">
        <v>130</v>
      </c>
      <c r="D353" s="113">
        <v>774.38</v>
      </c>
      <c r="E353" s="109" t="s">
        <v>212</v>
      </c>
      <c r="F353" s="103" t="s">
        <v>7</v>
      </c>
    </row>
    <row r="354" spans="1:6" ht="15.75" customHeight="1">
      <c r="A354" s="105">
        <v>46090</v>
      </c>
      <c r="B354" s="107" t="s">
        <v>655</v>
      </c>
      <c r="C354" s="107" t="s">
        <v>130</v>
      </c>
      <c r="D354" s="113">
        <v>842.82</v>
      </c>
      <c r="E354" s="109" t="s">
        <v>212</v>
      </c>
      <c r="F354" s="103" t="s">
        <v>7</v>
      </c>
    </row>
    <row r="355" spans="1:6" ht="15.75" customHeight="1">
      <c r="A355" s="105">
        <v>46090</v>
      </c>
      <c r="B355" s="107" t="s">
        <v>784</v>
      </c>
      <c r="C355" s="107" t="s">
        <v>130</v>
      </c>
      <c r="D355" s="113">
        <v>521.04999999999995</v>
      </c>
      <c r="E355" s="109" t="s">
        <v>212</v>
      </c>
      <c r="F355" s="103" t="s">
        <v>7</v>
      </c>
    </row>
    <row r="356" spans="1:6" ht="15.75" customHeight="1">
      <c r="A356" s="105">
        <v>46090</v>
      </c>
      <c r="B356" s="107" t="s">
        <v>768</v>
      </c>
      <c r="C356" s="107" t="s">
        <v>130</v>
      </c>
      <c r="D356" s="113">
        <v>1725</v>
      </c>
      <c r="E356" s="109" t="s">
        <v>212</v>
      </c>
      <c r="F356" s="103" t="s">
        <v>7</v>
      </c>
    </row>
    <row r="357" spans="1:6" ht="15.75" customHeight="1">
      <c r="A357" s="105">
        <v>46090</v>
      </c>
      <c r="B357" s="107" t="s">
        <v>768</v>
      </c>
      <c r="C357" s="107" t="s">
        <v>130</v>
      </c>
      <c r="D357" s="113">
        <v>250</v>
      </c>
      <c r="E357" s="109" t="s">
        <v>212</v>
      </c>
      <c r="F357" s="103" t="s">
        <v>7</v>
      </c>
    </row>
    <row r="358" spans="1:6" ht="15.75" customHeight="1">
      <c r="A358" s="105">
        <v>46090</v>
      </c>
      <c r="B358" s="107" t="s">
        <v>785</v>
      </c>
      <c r="C358" s="107" t="s">
        <v>130</v>
      </c>
      <c r="D358" s="113">
        <v>360</v>
      </c>
      <c r="E358" s="109" t="s">
        <v>212</v>
      </c>
      <c r="F358" s="103" t="s">
        <v>7</v>
      </c>
    </row>
    <row r="359" spans="1:6" ht="15.75" customHeight="1">
      <c r="A359" s="105">
        <v>46090</v>
      </c>
      <c r="B359" s="107" t="s">
        <v>657</v>
      </c>
      <c r="C359" s="107" t="s">
        <v>130</v>
      </c>
      <c r="D359" s="113">
        <v>179.01</v>
      </c>
      <c r="E359" s="109" t="s">
        <v>212</v>
      </c>
      <c r="F359" s="103" t="s">
        <v>7</v>
      </c>
    </row>
    <row r="360" spans="1:6" ht="15.75" customHeight="1">
      <c r="A360" s="105">
        <v>46091</v>
      </c>
      <c r="B360" s="107" t="s">
        <v>786</v>
      </c>
      <c r="C360" s="107" t="s">
        <v>130</v>
      </c>
      <c r="D360" s="113">
        <v>983.28</v>
      </c>
      <c r="E360" s="109" t="s">
        <v>212</v>
      </c>
      <c r="F360" s="103" t="s">
        <v>7</v>
      </c>
    </row>
    <row r="361" spans="1:6" ht="15.75" customHeight="1">
      <c r="A361" s="105">
        <v>46091</v>
      </c>
      <c r="B361" s="107" t="s">
        <v>652</v>
      </c>
      <c r="C361" s="107" t="s">
        <v>130</v>
      </c>
      <c r="D361" s="113">
        <v>1661.55</v>
      </c>
      <c r="E361" s="109" t="s">
        <v>212</v>
      </c>
      <c r="F361" s="103" t="s">
        <v>7</v>
      </c>
    </row>
    <row r="362" spans="1:6" ht="15.75" customHeight="1">
      <c r="A362" s="105">
        <v>46091</v>
      </c>
      <c r="B362" s="107" t="s">
        <v>734</v>
      </c>
      <c r="C362" s="107" t="s">
        <v>145</v>
      </c>
      <c r="D362" s="113">
        <v>2620.16</v>
      </c>
      <c r="E362" s="109" t="s">
        <v>212</v>
      </c>
      <c r="F362" s="103" t="s">
        <v>7</v>
      </c>
    </row>
    <row r="363" spans="1:6" ht="15.75" customHeight="1">
      <c r="A363" s="105">
        <v>46091</v>
      </c>
      <c r="B363" s="107" t="s">
        <v>687</v>
      </c>
      <c r="C363" s="107" t="s">
        <v>132</v>
      </c>
      <c r="D363" s="113">
        <v>65.37</v>
      </c>
      <c r="E363" s="109" t="s">
        <v>212</v>
      </c>
      <c r="F363" s="103" t="s">
        <v>7</v>
      </c>
    </row>
    <row r="364" spans="1:6" ht="15.75" customHeight="1">
      <c r="A364" s="105">
        <v>46091</v>
      </c>
      <c r="B364" s="107" t="s">
        <v>787</v>
      </c>
      <c r="C364" s="107" t="s">
        <v>122</v>
      </c>
      <c r="D364" s="113">
        <v>931.74</v>
      </c>
      <c r="E364" s="109" t="s">
        <v>212</v>
      </c>
      <c r="F364" s="103" t="s">
        <v>7</v>
      </c>
    </row>
    <row r="365" spans="1:6" ht="15.75" customHeight="1">
      <c r="A365" s="105">
        <v>46091</v>
      </c>
      <c r="B365" s="107" t="s">
        <v>700</v>
      </c>
      <c r="C365" s="107" t="s">
        <v>145</v>
      </c>
      <c r="D365" s="113">
        <v>176.47</v>
      </c>
      <c r="E365" s="109" t="s">
        <v>212</v>
      </c>
      <c r="F365" s="103" t="s">
        <v>7</v>
      </c>
    </row>
    <row r="366" spans="1:6" ht="15.75" customHeight="1">
      <c r="A366" s="105">
        <v>46091</v>
      </c>
      <c r="B366" s="107" t="s">
        <v>713</v>
      </c>
      <c r="C366" s="107" t="s">
        <v>130</v>
      </c>
      <c r="D366" s="113">
        <v>54</v>
      </c>
      <c r="E366" s="109" t="s">
        <v>212</v>
      </c>
      <c r="F366" s="103" t="s">
        <v>7</v>
      </c>
    </row>
    <row r="367" spans="1:6" ht="15.75" customHeight="1">
      <c r="A367" s="105">
        <v>46092</v>
      </c>
      <c r="B367" s="107" t="s">
        <v>663</v>
      </c>
      <c r="C367" s="107" t="s">
        <v>130</v>
      </c>
      <c r="D367" s="113">
        <v>739.08</v>
      </c>
      <c r="E367" s="109" t="s">
        <v>212</v>
      </c>
      <c r="F367" s="103" t="s">
        <v>7</v>
      </c>
    </row>
    <row r="368" spans="1:6" ht="15.75" customHeight="1">
      <c r="A368" s="105">
        <v>46092</v>
      </c>
      <c r="B368" s="107" t="s">
        <v>127</v>
      </c>
      <c r="C368" s="107" t="s">
        <v>128</v>
      </c>
      <c r="D368" s="113">
        <v>14.48</v>
      </c>
      <c r="E368" s="109" t="s">
        <v>212</v>
      </c>
      <c r="F368" s="103" t="s">
        <v>7</v>
      </c>
    </row>
    <row r="369" spans="1:6" ht="15.75" customHeight="1">
      <c r="A369" s="105">
        <v>46093</v>
      </c>
      <c r="B369" s="107" t="s">
        <v>657</v>
      </c>
      <c r="C369" s="107" t="s">
        <v>130</v>
      </c>
      <c r="D369" s="113">
        <v>517.9</v>
      </c>
      <c r="E369" s="109" t="s">
        <v>212</v>
      </c>
      <c r="F369" s="103" t="s">
        <v>7</v>
      </c>
    </row>
    <row r="370" spans="1:6" ht="15.75" customHeight="1">
      <c r="A370" s="105">
        <v>46093</v>
      </c>
      <c r="B370" s="107" t="s">
        <v>788</v>
      </c>
      <c r="C370" s="107" t="s">
        <v>130</v>
      </c>
      <c r="D370" s="113">
        <v>235</v>
      </c>
      <c r="E370" s="109" t="s">
        <v>212</v>
      </c>
      <c r="F370" s="103" t="s">
        <v>7</v>
      </c>
    </row>
    <row r="371" spans="1:6" ht="15.75" customHeight="1">
      <c r="A371" s="105">
        <v>46093</v>
      </c>
      <c r="B371" s="107" t="s">
        <v>655</v>
      </c>
      <c r="C371" s="107" t="s">
        <v>130</v>
      </c>
      <c r="D371" s="113">
        <v>531.16</v>
      </c>
      <c r="E371" s="109" t="s">
        <v>212</v>
      </c>
      <c r="F371" s="103" t="s">
        <v>7</v>
      </c>
    </row>
    <row r="372" spans="1:6" ht="15.75" customHeight="1">
      <c r="A372" s="105">
        <v>46093</v>
      </c>
      <c r="B372" s="107" t="s">
        <v>722</v>
      </c>
      <c r="C372" s="107" t="s">
        <v>130</v>
      </c>
      <c r="D372" s="113">
        <v>1015.68</v>
      </c>
      <c r="E372" s="109" t="s">
        <v>212</v>
      </c>
      <c r="F372" s="103" t="s">
        <v>7</v>
      </c>
    </row>
    <row r="373" spans="1:6" ht="15.75" customHeight="1">
      <c r="A373" s="105">
        <v>46093</v>
      </c>
      <c r="B373" s="107" t="s">
        <v>671</v>
      </c>
      <c r="C373" s="107" t="s">
        <v>130</v>
      </c>
      <c r="D373" s="113">
        <v>2953.94</v>
      </c>
      <c r="E373" s="109" t="s">
        <v>212</v>
      </c>
      <c r="F373" s="103" t="s">
        <v>7</v>
      </c>
    </row>
    <row r="374" spans="1:6" ht="15.75" customHeight="1">
      <c r="A374" s="105">
        <v>46093</v>
      </c>
      <c r="B374" s="107" t="s">
        <v>671</v>
      </c>
      <c r="C374" s="107" t="s">
        <v>130</v>
      </c>
      <c r="D374" s="113">
        <v>4372.1499999999996</v>
      </c>
      <c r="E374" s="109" t="s">
        <v>212</v>
      </c>
      <c r="F374" s="103" t="s">
        <v>7</v>
      </c>
    </row>
    <row r="375" spans="1:6" ht="15.75" customHeight="1">
      <c r="A375" s="105">
        <v>46093</v>
      </c>
      <c r="B375" s="107" t="s">
        <v>127</v>
      </c>
      <c r="C375" s="107" t="s">
        <v>128</v>
      </c>
      <c r="D375" s="113">
        <v>10.86</v>
      </c>
      <c r="E375" s="109" t="s">
        <v>212</v>
      </c>
      <c r="F375" s="103" t="s">
        <v>7</v>
      </c>
    </row>
    <row r="376" spans="1:6" ht="15.75" customHeight="1">
      <c r="A376" s="105">
        <v>46094</v>
      </c>
      <c r="B376" s="107" t="s">
        <v>679</v>
      </c>
      <c r="C376" s="107" t="s">
        <v>130</v>
      </c>
      <c r="D376" s="113">
        <v>767.23</v>
      </c>
      <c r="E376" s="109" t="s">
        <v>212</v>
      </c>
      <c r="F376" s="103" t="s">
        <v>7</v>
      </c>
    </row>
    <row r="377" spans="1:6" ht="15.75" customHeight="1">
      <c r="A377" s="105">
        <v>46094</v>
      </c>
      <c r="B377" s="107" t="s">
        <v>650</v>
      </c>
      <c r="C377" s="107" t="s">
        <v>130</v>
      </c>
      <c r="D377" s="113">
        <v>960.62</v>
      </c>
      <c r="E377" s="109" t="s">
        <v>212</v>
      </c>
      <c r="F377" s="103" t="s">
        <v>7</v>
      </c>
    </row>
    <row r="378" spans="1:6" ht="15.75" customHeight="1">
      <c r="A378" s="105">
        <v>46094</v>
      </c>
      <c r="B378" s="107" t="s">
        <v>721</v>
      </c>
      <c r="C378" s="107" t="s">
        <v>130</v>
      </c>
      <c r="D378" s="113">
        <v>365.7</v>
      </c>
      <c r="E378" s="109" t="s">
        <v>212</v>
      </c>
      <c r="F378" s="103" t="s">
        <v>7</v>
      </c>
    </row>
    <row r="379" spans="1:6" ht="15.75" customHeight="1">
      <c r="A379" s="105">
        <v>46094</v>
      </c>
      <c r="B379" s="107" t="s">
        <v>739</v>
      </c>
      <c r="C379" s="107" t="s">
        <v>130</v>
      </c>
      <c r="D379" s="113">
        <v>375</v>
      </c>
      <c r="E379" s="109" t="s">
        <v>212</v>
      </c>
      <c r="F379" s="103" t="s">
        <v>7</v>
      </c>
    </row>
    <row r="380" spans="1:6" ht="15.75" customHeight="1">
      <c r="A380" s="105">
        <v>46094</v>
      </c>
      <c r="B380" s="107" t="s">
        <v>663</v>
      </c>
      <c r="C380" s="107" t="s">
        <v>130</v>
      </c>
      <c r="D380" s="113">
        <v>378.29</v>
      </c>
      <c r="E380" s="109" t="s">
        <v>212</v>
      </c>
      <c r="F380" s="103" t="s">
        <v>7</v>
      </c>
    </row>
    <row r="381" spans="1:6" ht="15.75" customHeight="1">
      <c r="A381" s="105">
        <v>46094</v>
      </c>
      <c r="B381" s="107" t="s">
        <v>655</v>
      </c>
      <c r="C381" s="107" t="s">
        <v>130</v>
      </c>
      <c r="D381" s="113">
        <v>439.95</v>
      </c>
      <c r="E381" s="109" t="s">
        <v>212</v>
      </c>
      <c r="F381" s="103" t="s">
        <v>7</v>
      </c>
    </row>
    <row r="382" spans="1:6" ht="15.75" customHeight="1">
      <c r="A382" s="105">
        <v>46094</v>
      </c>
      <c r="B382" s="107" t="s">
        <v>655</v>
      </c>
      <c r="C382" s="107" t="s">
        <v>130</v>
      </c>
      <c r="D382" s="113">
        <v>486.25</v>
      </c>
      <c r="E382" s="109" t="s">
        <v>212</v>
      </c>
      <c r="F382" s="103" t="s">
        <v>7</v>
      </c>
    </row>
    <row r="383" spans="1:6" ht="15.75" customHeight="1">
      <c r="A383" s="105">
        <v>46094</v>
      </c>
      <c r="B383" s="107" t="s">
        <v>655</v>
      </c>
      <c r="C383" s="107" t="s">
        <v>130</v>
      </c>
      <c r="D383" s="113">
        <v>457.49</v>
      </c>
      <c r="E383" s="109" t="s">
        <v>212</v>
      </c>
      <c r="F383" s="103" t="s">
        <v>7</v>
      </c>
    </row>
    <row r="384" spans="1:6" ht="15.75" customHeight="1">
      <c r="A384" s="105">
        <v>46094</v>
      </c>
      <c r="B384" s="107" t="s">
        <v>127</v>
      </c>
      <c r="C384" s="107" t="s">
        <v>128</v>
      </c>
      <c r="D384" s="113">
        <v>23.53</v>
      </c>
      <c r="E384" s="109" t="s">
        <v>212</v>
      </c>
      <c r="F384" s="103" t="s">
        <v>7</v>
      </c>
    </row>
    <row r="385" spans="1:6" ht="15.75" customHeight="1">
      <c r="A385" s="105">
        <v>46094</v>
      </c>
      <c r="B385" s="107" t="s">
        <v>789</v>
      </c>
      <c r="C385" s="107" t="s">
        <v>159</v>
      </c>
      <c r="D385" s="113">
        <v>455</v>
      </c>
      <c r="E385" s="109" t="s">
        <v>212</v>
      </c>
      <c r="F385" s="103" t="s">
        <v>7</v>
      </c>
    </row>
    <row r="386" spans="1:6" ht="15.75" customHeight="1">
      <c r="A386" s="105">
        <v>46094</v>
      </c>
      <c r="B386" s="107" t="s">
        <v>790</v>
      </c>
      <c r="C386" s="107" t="s">
        <v>130</v>
      </c>
      <c r="D386" s="113">
        <v>47.7</v>
      </c>
      <c r="E386" s="109" t="s">
        <v>212</v>
      </c>
      <c r="F386" s="103" t="s">
        <v>7</v>
      </c>
    </row>
    <row r="387" spans="1:6" ht="15.75" customHeight="1">
      <c r="A387" s="105">
        <v>46094</v>
      </c>
      <c r="B387" s="107" t="s">
        <v>713</v>
      </c>
      <c r="C387" s="107" t="s">
        <v>130</v>
      </c>
      <c r="D387" s="113">
        <v>21.3</v>
      </c>
      <c r="E387" s="109" t="s">
        <v>212</v>
      </c>
      <c r="F387" s="103" t="s">
        <v>7</v>
      </c>
    </row>
    <row r="388" spans="1:6" ht="15.75" customHeight="1">
      <c r="A388" s="105">
        <v>46097</v>
      </c>
      <c r="B388" s="107" t="s">
        <v>715</v>
      </c>
      <c r="C388" s="107" t="s">
        <v>130</v>
      </c>
      <c r="D388" s="113">
        <v>135</v>
      </c>
      <c r="E388" s="109" t="s">
        <v>212</v>
      </c>
      <c r="F388" s="103" t="s">
        <v>7</v>
      </c>
    </row>
    <row r="389" spans="1:6" ht="15.75" customHeight="1">
      <c r="A389" s="105">
        <v>46097</v>
      </c>
      <c r="B389" s="107" t="s">
        <v>715</v>
      </c>
      <c r="C389" s="107" t="s">
        <v>130</v>
      </c>
      <c r="D389" s="113">
        <v>95.67</v>
      </c>
      <c r="E389" s="109" t="s">
        <v>212</v>
      </c>
      <c r="F389" s="103" t="s">
        <v>7</v>
      </c>
    </row>
    <row r="390" spans="1:6" ht="15.75" customHeight="1">
      <c r="A390" s="105">
        <v>46097</v>
      </c>
      <c r="B390" s="110" t="s">
        <v>127</v>
      </c>
      <c r="C390" s="107" t="s">
        <v>128</v>
      </c>
      <c r="D390" s="111">
        <v>14.48</v>
      </c>
      <c r="E390" s="109" t="s">
        <v>212</v>
      </c>
      <c r="F390" s="103" t="s">
        <v>7</v>
      </c>
    </row>
    <row r="391" spans="1:6" ht="15.75" customHeight="1">
      <c r="A391" s="105">
        <v>46097</v>
      </c>
      <c r="B391" s="107" t="s">
        <v>655</v>
      </c>
      <c r="C391" s="107" t="s">
        <v>130</v>
      </c>
      <c r="D391" s="146">
        <v>576.91999999999996</v>
      </c>
      <c r="E391" s="109" t="s">
        <v>212</v>
      </c>
      <c r="F391" s="103" t="s">
        <v>7</v>
      </c>
    </row>
    <row r="392" spans="1:6" ht="15.75" customHeight="1">
      <c r="A392" s="105">
        <v>46097</v>
      </c>
      <c r="B392" s="107" t="s">
        <v>652</v>
      </c>
      <c r="C392" s="107" t="s">
        <v>130</v>
      </c>
      <c r="D392" s="146">
        <v>689.67</v>
      </c>
      <c r="E392" s="109" t="s">
        <v>212</v>
      </c>
      <c r="F392" s="103" t="s">
        <v>7</v>
      </c>
    </row>
    <row r="393" spans="1:6" ht="15.75" customHeight="1">
      <c r="A393" s="105">
        <v>46097</v>
      </c>
      <c r="B393" s="107" t="s">
        <v>652</v>
      </c>
      <c r="C393" s="107" t="s">
        <v>130</v>
      </c>
      <c r="D393" s="146">
        <v>682.47</v>
      </c>
      <c r="E393" s="109" t="s">
        <v>212</v>
      </c>
      <c r="F393" s="103" t="s">
        <v>7</v>
      </c>
    </row>
    <row r="394" spans="1:6" ht="15.75" customHeight="1">
      <c r="A394" s="105">
        <v>46097</v>
      </c>
      <c r="B394" s="107" t="s">
        <v>652</v>
      </c>
      <c r="C394" s="107" t="s">
        <v>130</v>
      </c>
      <c r="D394" s="146">
        <v>576.75</v>
      </c>
      <c r="E394" s="109" t="s">
        <v>212</v>
      </c>
      <c r="F394" s="103" t="s">
        <v>7</v>
      </c>
    </row>
    <row r="395" spans="1:6" ht="15.75" customHeight="1">
      <c r="A395" s="105">
        <v>46097</v>
      </c>
      <c r="B395" s="107" t="s">
        <v>741</v>
      </c>
      <c r="C395" s="107" t="s">
        <v>145</v>
      </c>
      <c r="D395" s="146">
        <v>612</v>
      </c>
      <c r="E395" s="109" t="s">
        <v>212</v>
      </c>
      <c r="F395" s="103" t="s">
        <v>7</v>
      </c>
    </row>
    <row r="396" spans="1:6" ht="15.75" customHeight="1">
      <c r="A396" s="105">
        <v>46097</v>
      </c>
      <c r="B396" s="107" t="s">
        <v>654</v>
      </c>
      <c r="C396" s="107" t="s">
        <v>130</v>
      </c>
      <c r="D396" s="146">
        <v>855</v>
      </c>
      <c r="E396" s="109" t="s">
        <v>212</v>
      </c>
      <c r="F396" s="103" t="s">
        <v>7</v>
      </c>
    </row>
    <row r="397" spans="1:6" ht="15.75" customHeight="1">
      <c r="A397" s="105">
        <v>46097</v>
      </c>
      <c r="B397" s="107" t="s">
        <v>657</v>
      </c>
      <c r="C397" s="107" t="s">
        <v>130</v>
      </c>
      <c r="D397" s="146">
        <v>537.27</v>
      </c>
      <c r="E397" s="109" t="s">
        <v>212</v>
      </c>
      <c r="F397" s="103" t="s">
        <v>7</v>
      </c>
    </row>
    <row r="398" spans="1:6" ht="15.75" customHeight="1">
      <c r="A398" s="105">
        <v>46097</v>
      </c>
      <c r="B398" s="107" t="s">
        <v>768</v>
      </c>
      <c r="C398" s="107" t="s">
        <v>130</v>
      </c>
      <c r="D398" s="146">
        <v>1912.5</v>
      </c>
      <c r="E398" s="109" t="s">
        <v>212</v>
      </c>
      <c r="F398" s="103" t="s">
        <v>7</v>
      </c>
    </row>
    <row r="399" spans="1:6" ht="15.75" customHeight="1">
      <c r="A399" s="105">
        <v>46097</v>
      </c>
      <c r="B399" s="107" t="s">
        <v>791</v>
      </c>
      <c r="C399" s="107" t="s">
        <v>110</v>
      </c>
      <c r="D399" s="146">
        <v>7000</v>
      </c>
      <c r="E399" s="109" t="s">
        <v>212</v>
      </c>
      <c r="F399" s="103" t="s">
        <v>7</v>
      </c>
    </row>
    <row r="400" spans="1:6" ht="15.75" customHeight="1">
      <c r="A400" s="105">
        <v>46098</v>
      </c>
      <c r="B400" s="107" t="s">
        <v>792</v>
      </c>
      <c r="C400" s="107" t="s">
        <v>130</v>
      </c>
      <c r="D400" s="146">
        <v>105.79</v>
      </c>
      <c r="E400" s="109" t="s">
        <v>212</v>
      </c>
      <c r="F400" s="103" t="s">
        <v>7</v>
      </c>
    </row>
    <row r="401" spans="1:6" ht="15.75" customHeight="1">
      <c r="A401" s="105">
        <v>46098</v>
      </c>
      <c r="B401" s="107" t="s">
        <v>793</v>
      </c>
      <c r="C401" s="107" t="s">
        <v>132</v>
      </c>
      <c r="D401" s="146">
        <v>116.6</v>
      </c>
      <c r="E401" s="109" t="s">
        <v>212</v>
      </c>
      <c r="F401" s="103" t="s">
        <v>7</v>
      </c>
    </row>
    <row r="402" spans="1:6" ht="15.75" customHeight="1">
      <c r="A402" s="105">
        <v>46098</v>
      </c>
      <c r="B402" s="107" t="s">
        <v>794</v>
      </c>
      <c r="C402" s="107" t="s">
        <v>132</v>
      </c>
      <c r="D402" s="146">
        <v>116.6</v>
      </c>
      <c r="E402" s="109" t="s">
        <v>212</v>
      </c>
      <c r="F402" s="103" t="s">
        <v>7</v>
      </c>
    </row>
    <row r="403" spans="1:6" ht="15.75" customHeight="1">
      <c r="A403" s="105">
        <v>46098</v>
      </c>
      <c r="B403" s="107" t="s">
        <v>168</v>
      </c>
      <c r="C403" s="107" t="s">
        <v>169</v>
      </c>
      <c r="D403" s="146">
        <v>910</v>
      </c>
      <c r="E403" s="109" t="s">
        <v>212</v>
      </c>
      <c r="F403" s="103" t="s">
        <v>7</v>
      </c>
    </row>
    <row r="404" spans="1:6" ht="15.75" customHeight="1">
      <c r="A404" s="105">
        <v>46098</v>
      </c>
      <c r="B404" s="107" t="s">
        <v>795</v>
      </c>
      <c r="C404" s="107" t="s">
        <v>132</v>
      </c>
      <c r="D404" s="146">
        <v>1200</v>
      </c>
      <c r="E404" s="109" t="s">
        <v>212</v>
      </c>
      <c r="F404" s="103" t="s">
        <v>7</v>
      </c>
    </row>
    <row r="405" spans="1:6" ht="15.75" customHeight="1">
      <c r="A405" s="105">
        <v>46098</v>
      </c>
      <c r="B405" s="107" t="s">
        <v>127</v>
      </c>
      <c r="C405" s="107" t="s">
        <v>128</v>
      </c>
      <c r="D405" s="146">
        <v>7.24</v>
      </c>
      <c r="E405" s="109" t="s">
        <v>212</v>
      </c>
      <c r="F405" s="103" t="s">
        <v>7</v>
      </c>
    </row>
    <row r="406" spans="1:6" ht="15.75" customHeight="1">
      <c r="A406" s="105">
        <v>46099</v>
      </c>
      <c r="B406" s="107" t="s">
        <v>796</v>
      </c>
      <c r="C406" s="107" t="s">
        <v>763</v>
      </c>
      <c r="D406" s="146">
        <v>20000</v>
      </c>
      <c r="E406" s="109" t="s">
        <v>212</v>
      </c>
      <c r="F406" s="103" t="s">
        <v>7</v>
      </c>
    </row>
    <row r="407" spans="1:6" ht="15.75" customHeight="1">
      <c r="A407" s="105">
        <v>46099</v>
      </c>
      <c r="B407" s="107" t="s">
        <v>668</v>
      </c>
      <c r="C407" s="107" t="s">
        <v>130</v>
      </c>
      <c r="D407" s="146">
        <v>749.09</v>
      </c>
      <c r="E407" s="109" t="s">
        <v>212</v>
      </c>
      <c r="F407" s="103" t="s">
        <v>7</v>
      </c>
    </row>
    <row r="408" spans="1:6" ht="15.75" customHeight="1">
      <c r="A408" s="105">
        <v>46099</v>
      </c>
      <c r="B408" s="107" t="s">
        <v>744</v>
      </c>
      <c r="C408" s="107" t="s">
        <v>130</v>
      </c>
      <c r="D408" s="146">
        <v>264</v>
      </c>
      <c r="E408" s="109" t="s">
        <v>212</v>
      </c>
      <c r="F408" s="103" t="s">
        <v>7</v>
      </c>
    </row>
    <row r="409" spans="1:6" ht="15.75" customHeight="1">
      <c r="A409" s="105">
        <v>46099</v>
      </c>
      <c r="B409" s="107" t="s">
        <v>797</v>
      </c>
      <c r="C409" s="107" t="s">
        <v>130</v>
      </c>
      <c r="D409" s="146">
        <v>317</v>
      </c>
      <c r="E409" s="109" t="s">
        <v>212</v>
      </c>
      <c r="F409" s="103" t="s">
        <v>7</v>
      </c>
    </row>
    <row r="410" spans="1:6" ht="15.75" customHeight="1">
      <c r="A410" s="105">
        <v>46099</v>
      </c>
      <c r="B410" s="107" t="s">
        <v>798</v>
      </c>
      <c r="C410" s="107" t="s">
        <v>130</v>
      </c>
      <c r="D410" s="146">
        <v>60</v>
      </c>
      <c r="E410" s="109" t="s">
        <v>212</v>
      </c>
      <c r="F410" s="103" t="s">
        <v>7</v>
      </c>
    </row>
    <row r="411" spans="1:6" ht="15.75" customHeight="1">
      <c r="A411" s="105">
        <v>46099</v>
      </c>
      <c r="B411" s="107" t="s">
        <v>127</v>
      </c>
      <c r="C411" s="107" t="s">
        <v>128</v>
      </c>
      <c r="D411" s="146">
        <v>23.62</v>
      </c>
      <c r="E411" s="109" t="s">
        <v>212</v>
      </c>
      <c r="F411" s="103" t="s">
        <v>7</v>
      </c>
    </row>
    <row r="412" spans="1:6" ht="15.75" customHeight="1">
      <c r="A412" s="105">
        <v>46100</v>
      </c>
      <c r="B412" s="107" t="s">
        <v>799</v>
      </c>
      <c r="C412" s="107" t="s">
        <v>130</v>
      </c>
      <c r="D412" s="146">
        <v>546.35</v>
      </c>
      <c r="E412" s="109" t="s">
        <v>212</v>
      </c>
      <c r="F412" s="103" t="s">
        <v>7</v>
      </c>
    </row>
    <row r="413" spans="1:6" ht="15.75" customHeight="1">
      <c r="A413" s="105">
        <v>46100</v>
      </c>
      <c r="B413" s="107" t="s">
        <v>127</v>
      </c>
      <c r="C413" s="107" t="s">
        <v>128</v>
      </c>
      <c r="D413" s="146">
        <v>7.24</v>
      </c>
      <c r="E413" s="109" t="s">
        <v>212</v>
      </c>
      <c r="F413" s="103" t="s">
        <v>7</v>
      </c>
    </row>
    <row r="414" spans="1:6" ht="15.75" customHeight="1">
      <c r="A414" s="105">
        <v>46100</v>
      </c>
      <c r="B414" s="107" t="s">
        <v>800</v>
      </c>
      <c r="C414" s="107"/>
      <c r="D414" s="146">
        <v>40</v>
      </c>
      <c r="E414" s="109" t="s">
        <v>212</v>
      </c>
      <c r="F414" s="103" t="s">
        <v>7</v>
      </c>
    </row>
    <row r="415" spans="1:6" ht="15.75" customHeight="1">
      <c r="A415" s="105">
        <v>46101</v>
      </c>
      <c r="B415" s="107" t="s">
        <v>650</v>
      </c>
      <c r="C415" s="107" t="s">
        <v>130</v>
      </c>
      <c r="D415" s="146">
        <v>328.6</v>
      </c>
      <c r="E415" s="109" t="s">
        <v>212</v>
      </c>
      <c r="F415" s="103" t="s">
        <v>7</v>
      </c>
    </row>
    <row r="416" spans="1:6" ht="15.75" customHeight="1">
      <c r="A416" s="105">
        <v>46101</v>
      </c>
      <c r="B416" s="107" t="s">
        <v>667</v>
      </c>
      <c r="C416" s="107" t="s">
        <v>130</v>
      </c>
      <c r="D416" s="146">
        <v>575</v>
      </c>
      <c r="E416" s="109" t="s">
        <v>212</v>
      </c>
      <c r="F416" s="103" t="s">
        <v>7</v>
      </c>
    </row>
    <row r="417" spans="1:6" ht="15.75" customHeight="1">
      <c r="A417" s="105">
        <v>46101</v>
      </c>
      <c r="B417" s="106" t="s">
        <v>801</v>
      </c>
      <c r="C417" s="107" t="s">
        <v>149</v>
      </c>
      <c r="D417" s="108">
        <v>13588.94</v>
      </c>
      <c r="E417" s="109" t="s">
        <v>212</v>
      </c>
      <c r="F417" s="103" t="s">
        <v>7</v>
      </c>
    </row>
    <row r="418" spans="1:6" ht="15.75" customHeight="1">
      <c r="A418" s="105">
        <v>46101</v>
      </c>
      <c r="B418" s="110" t="s">
        <v>696</v>
      </c>
      <c r="C418" s="107" t="s">
        <v>149</v>
      </c>
      <c r="D418" s="111">
        <v>1046.45</v>
      </c>
      <c r="E418" s="109" t="s">
        <v>212</v>
      </c>
      <c r="F418" s="103" t="s">
        <v>7</v>
      </c>
    </row>
    <row r="419" spans="1:6" ht="15.75" customHeight="1">
      <c r="A419" s="105">
        <v>46101</v>
      </c>
      <c r="B419" s="106" t="s">
        <v>694</v>
      </c>
      <c r="C419" s="107" t="s">
        <v>149</v>
      </c>
      <c r="D419" s="108">
        <v>554.25</v>
      </c>
      <c r="E419" s="109" t="s">
        <v>212</v>
      </c>
      <c r="F419" s="103" t="s">
        <v>7</v>
      </c>
    </row>
    <row r="420" spans="1:6" ht="15.75" customHeight="1">
      <c r="A420" s="105">
        <v>46101</v>
      </c>
      <c r="B420" s="110" t="s">
        <v>697</v>
      </c>
      <c r="C420" s="107" t="s">
        <v>132</v>
      </c>
      <c r="D420" s="111">
        <v>720</v>
      </c>
      <c r="E420" s="109" t="s">
        <v>212</v>
      </c>
      <c r="F420" s="103" t="s">
        <v>7</v>
      </c>
    </row>
    <row r="421" spans="1:6" ht="15.75" customHeight="1">
      <c r="A421" s="105">
        <v>46101</v>
      </c>
      <c r="B421" s="106" t="s">
        <v>802</v>
      </c>
      <c r="C421" s="107" t="s">
        <v>132</v>
      </c>
      <c r="D421" s="108">
        <v>855.2</v>
      </c>
      <c r="E421" s="109" t="s">
        <v>212</v>
      </c>
      <c r="F421" s="103" t="s">
        <v>7</v>
      </c>
    </row>
    <row r="422" spans="1:6" ht="15.75" customHeight="1">
      <c r="A422" s="105">
        <v>46101</v>
      </c>
      <c r="B422" s="110" t="s">
        <v>698</v>
      </c>
      <c r="C422" s="107" t="s">
        <v>141</v>
      </c>
      <c r="D422" s="111">
        <v>473.47</v>
      </c>
      <c r="E422" s="109" t="s">
        <v>212</v>
      </c>
      <c r="F422" s="103" t="s">
        <v>7</v>
      </c>
    </row>
    <row r="423" spans="1:6" ht="15.75" customHeight="1">
      <c r="A423" s="105">
        <v>46101</v>
      </c>
      <c r="B423" s="106" t="s">
        <v>698</v>
      </c>
      <c r="C423" s="107" t="s">
        <v>141</v>
      </c>
      <c r="D423" s="108">
        <v>496.24</v>
      </c>
      <c r="E423" s="109" t="s">
        <v>212</v>
      </c>
      <c r="F423" s="103" t="s">
        <v>7</v>
      </c>
    </row>
    <row r="424" spans="1:6" ht="15.75" customHeight="1">
      <c r="A424" s="105">
        <v>46101</v>
      </c>
      <c r="B424" s="110" t="s">
        <v>127</v>
      </c>
      <c r="C424" s="107" t="s">
        <v>128</v>
      </c>
      <c r="D424" s="111">
        <v>12.67</v>
      </c>
      <c r="E424" s="109" t="s">
        <v>212</v>
      </c>
      <c r="F424" s="103" t="s">
        <v>7</v>
      </c>
    </row>
    <row r="425" spans="1:6" ht="15.75" customHeight="1">
      <c r="A425" s="105">
        <v>46104</v>
      </c>
      <c r="B425" s="110" t="s">
        <v>127</v>
      </c>
      <c r="C425" s="107" t="s">
        <v>128</v>
      </c>
      <c r="D425" s="111">
        <v>19.91</v>
      </c>
      <c r="E425" s="109" t="s">
        <v>212</v>
      </c>
      <c r="F425" s="103" t="s">
        <v>7</v>
      </c>
    </row>
    <row r="426" spans="1:6" ht="15.75" customHeight="1">
      <c r="A426" s="105">
        <v>46104</v>
      </c>
      <c r="B426" s="110" t="s">
        <v>716</v>
      </c>
      <c r="C426" s="107" t="s">
        <v>130</v>
      </c>
      <c r="D426" s="111">
        <v>500.48</v>
      </c>
      <c r="E426" s="109" t="s">
        <v>212</v>
      </c>
      <c r="F426" s="103" t="s">
        <v>7</v>
      </c>
    </row>
    <row r="427" spans="1:6" ht="15.75" customHeight="1">
      <c r="A427" s="105">
        <v>46104</v>
      </c>
      <c r="B427" s="106" t="s">
        <v>716</v>
      </c>
      <c r="C427" s="107" t="s">
        <v>130</v>
      </c>
      <c r="D427" s="108">
        <v>1322.79</v>
      </c>
      <c r="E427" s="109" t="s">
        <v>212</v>
      </c>
      <c r="F427" s="103" t="s">
        <v>7</v>
      </c>
    </row>
    <row r="428" spans="1:6" ht="15.75" customHeight="1">
      <c r="A428" s="105">
        <v>46104</v>
      </c>
      <c r="B428" s="110" t="s">
        <v>671</v>
      </c>
      <c r="C428" s="107" t="s">
        <v>130</v>
      </c>
      <c r="D428" s="111">
        <v>3137.75</v>
      </c>
      <c r="E428" s="109" t="s">
        <v>212</v>
      </c>
      <c r="F428" s="103" t="s">
        <v>7</v>
      </c>
    </row>
    <row r="429" spans="1:6" ht="15.75" customHeight="1">
      <c r="A429" s="105">
        <v>46104</v>
      </c>
      <c r="B429" s="106" t="s">
        <v>671</v>
      </c>
      <c r="C429" s="107" t="s">
        <v>130</v>
      </c>
      <c r="D429" s="108">
        <v>873.59</v>
      </c>
      <c r="E429" s="109" t="s">
        <v>212</v>
      </c>
      <c r="F429" s="103" t="s">
        <v>7</v>
      </c>
    </row>
    <row r="430" spans="1:6" ht="15.75" customHeight="1">
      <c r="A430" s="105">
        <v>46104</v>
      </c>
      <c r="B430" s="110" t="s">
        <v>771</v>
      </c>
      <c r="C430" s="107" t="s">
        <v>130</v>
      </c>
      <c r="D430" s="111">
        <v>262.83</v>
      </c>
      <c r="E430" s="109" t="s">
        <v>212</v>
      </c>
      <c r="F430" s="103" t="s">
        <v>7</v>
      </c>
    </row>
    <row r="431" spans="1:6" ht="15.75" customHeight="1">
      <c r="A431" s="105">
        <v>46104</v>
      </c>
      <c r="B431" s="110" t="s">
        <v>803</v>
      </c>
      <c r="C431" s="107" t="s">
        <v>130</v>
      </c>
      <c r="D431" s="111">
        <v>174.66</v>
      </c>
      <c r="E431" s="109" t="s">
        <v>212</v>
      </c>
      <c r="F431" s="103" t="s">
        <v>7</v>
      </c>
    </row>
    <row r="432" spans="1:6" ht="15.75" customHeight="1">
      <c r="A432" s="105">
        <v>46104</v>
      </c>
      <c r="B432" s="110" t="s">
        <v>668</v>
      </c>
      <c r="C432" s="107" t="s">
        <v>130</v>
      </c>
      <c r="D432" s="111">
        <v>774.37</v>
      </c>
      <c r="E432" s="109" t="s">
        <v>212</v>
      </c>
      <c r="F432" s="103" t="s">
        <v>7</v>
      </c>
    </row>
    <row r="433" spans="1:6" ht="15.75" customHeight="1">
      <c r="A433" s="105">
        <v>46104</v>
      </c>
      <c r="B433" s="110" t="s">
        <v>804</v>
      </c>
      <c r="C433" s="107" t="s">
        <v>130</v>
      </c>
      <c r="D433" s="111">
        <v>384.53</v>
      </c>
      <c r="E433" s="109" t="s">
        <v>212</v>
      </c>
      <c r="F433" s="103" t="s">
        <v>7</v>
      </c>
    </row>
    <row r="434" spans="1:6" ht="15.75" customHeight="1">
      <c r="A434" s="105">
        <v>46104</v>
      </c>
      <c r="B434" s="106" t="s">
        <v>805</v>
      </c>
      <c r="C434" s="107" t="s">
        <v>130</v>
      </c>
      <c r="D434" s="108">
        <v>1725</v>
      </c>
      <c r="E434" s="109" t="s">
        <v>212</v>
      </c>
      <c r="F434" s="103" t="s">
        <v>7</v>
      </c>
    </row>
    <row r="435" spans="1:6" ht="15.75" customHeight="1">
      <c r="A435" s="105">
        <v>46104</v>
      </c>
      <c r="B435" s="110" t="s">
        <v>123</v>
      </c>
      <c r="C435" s="107" t="s">
        <v>173</v>
      </c>
      <c r="D435" s="111">
        <v>2537.21</v>
      </c>
      <c r="E435" s="109" t="s">
        <v>212</v>
      </c>
      <c r="F435" s="103" t="s">
        <v>7</v>
      </c>
    </row>
    <row r="436" spans="1:6" ht="15.75" customHeight="1">
      <c r="A436" s="105">
        <v>46105</v>
      </c>
      <c r="B436" s="106" t="s">
        <v>716</v>
      </c>
      <c r="C436" s="107" t="s">
        <v>130</v>
      </c>
      <c r="D436" s="108">
        <v>843.06</v>
      </c>
      <c r="E436" s="109" t="s">
        <v>212</v>
      </c>
      <c r="F436" s="103" t="s">
        <v>7</v>
      </c>
    </row>
    <row r="437" spans="1:6" ht="15.75" customHeight="1">
      <c r="A437" s="105">
        <v>46105</v>
      </c>
      <c r="B437" s="112" t="s">
        <v>786</v>
      </c>
      <c r="C437" s="107" t="s">
        <v>130</v>
      </c>
      <c r="D437" s="113">
        <v>983.28</v>
      </c>
      <c r="E437" s="109" t="s">
        <v>212</v>
      </c>
      <c r="F437" s="103" t="s">
        <v>7</v>
      </c>
    </row>
    <row r="438" spans="1:6" ht="15.75" customHeight="1">
      <c r="A438" s="105">
        <v>46105</v>
      </c>
      <c r="B438" s="112" t="s">
        <v>806</v>
      </c>
      <c r="C438" s="107" t="s">
        <v>130</v>
      </c>
      <c r="D438" s="113">
        <v>106</v>
      </c>
      <c r="E438" s="109" t="s">
        <v>212</v>
      </c>
      <c r="F438" s="103" t="s">
        <v>7</v>
      </c>
    </row>
    <row r="439" spans="1:6" ht="15.75" customHeight="1">
      <c r="A439" s="105">
        <v>46105</v>
      </c>
      <c r="B439" s="112" t="s">
        <v>646</v>
      </c>
      <c r="C439" s="107" t="s">
        <v>130</v>
      </c>
      <c r="D439" s="113">
        <v>1265.01</v>
      </c>
      <c r="E439" s="109" t="s">
        <v>212</v>
      </c>
      <c r="F439" s="103" t="s">
        <v>7</v>
      </c>
    </row>
    <row r="440" spans="1:6" ht="15.75" customHeight="1">
      <c r="A440" s="105">
        <v>46105</v>
      </c>
      <c r="B440" s="112" t="s">
        <v>127</v>
      </c>
      <c r="C440" s="107" t="s">
        <v>128</v>
      </c>
      <c r="D440" s="113">
        <v>7.24</v>
      </c>
      <c r="E440" s="109" t="s">
        <v>212</v>
      </c>
      <c r="F440" s="103" t="s">
        <v>7</v>
      </c>
    </row>
    <row r="441" spans="1:6" ht="15.75" customHeight="1">
      <c r="A441" s="105">
        <v>46106</v>
      </c>
      <c r="B441" s="112" t="s">
        <v>127</v>
      </c>
      <c r="C441" s="107" t="s">
        <v>128</v>
      </c>
      <c r="D441" s="113">
        <v>12.67</v>
      </c>
      <c r="E441" s="109" t="s">
        <v>212</v>
      </c>
      <c r="F441" s="103" t="s">
        <v>7</v>
      </c>
    </row>
    <row r="442" spans="1:6" ht="15.75" customHeight="1">
      <c r="A442" s="105">
        <v>46106</v>
      </c>
      <c r="B442" s="112" t="s">
        <v>771</v>
      </c>
      <c r="C442" s="107" t="s">
        <v>130</v>
      </c>
      <c r="D442" s="113">
        <v>651.03</v>
      </c>
      <c r="E442" s="109" t="s">
        <v>212</v>
      </c>
      <c r="F442" s="103" t="s">
        <v>7</v>
      </c>
    </row>
    <row r="443" spans="1:6" ht="15.75" customHeight="1">
      <c r="A443" s="105">
        <v>46106</v>
      </c>
      <c r="B443" s="112" t="s">
        <v>807</v>
      </c>
      <c r="C443" s="107" t="s">
        <v>130</v>
      </c>
      <c r="D443" s="113">
        <v>297</v>
      </c>
      <c r="E443" s="109" t="s">
        <v>212</v>
      </c>
      <c r="F443" s="103" t="s">
        <v>7</v>
      </c>
    </row>
    <row r="444" spans="1:6" ht="15.75" customHeight="1">
      <c r="A444" s="105">
        <v>46106</v>
      </c>
      <c r="B444" s="112" t="s">
        <v>806</v>
      </c>
      <c r="C444" s="107" t="s">
        <v>130</v>
      </c>
      <c r="D444" s="113">
        <v>500</v>
      </c>
      <c r="E444" s="109" t="s">
        <v>212</v>
      </c>
      <c r="F444" s="103" t="s">
        <v>7</v>
      </c>
    </row>
    <row r="445" spans="1:6" ht="15.75" customHeight="1">
      <c r="A445" s="105">
        <v>46106</v>
      </c>
      <c r="B445" s="112" t="s">
        <v>473</v>
      </c>
      <c r="C445" s="107" t="s">
        <v>130</v>
      </c>
      <c r="D445" s="113">
        <v>324</v>
      </c>
      <c r="E445" s="109" t="s">
        <v>212</v>
      </c>
      <c r="F445" s="103" t="s">
        <v>7</v>
      </c>
    </row>
    <row r="446" spans="1:6" ht="15.75" customHeight="1">
      <c r="A446" s="105">
        <v>46106</v>
      </c>
      <c r="B446" s="112" t="s">
        <v>652</v>
      </c>
      <c r="C446" s="107" t="s">
        <v>130</v>
      </c>
      <c r="D446" s="113">
        <v>1661.55</v>
      </c>
      <c r="E446" s="109" t="s">
        <v>212</v>
      </c>
      <c r="F446" s="103" t="s">
        <v>7</v>
      </c>
    </row>
    <row r="447" spans="1:6" ht="15.75" customHeight="1">
      <c r="A447" s="105">
        <v>46106</v>
      </c>
      <c r="B447" s="112" t="s">
        <v>652</v>
      </c>
      <c r="C447" s="107" t="s">
        <v>130</v>
      </c>
      <c r="D447" s="113">
        <v>720</v>
      </c>
      <c r="E447" s="109" t="s">
        <v>212</v>
      </c>
      <c r="F447" s="103" t="s">
        <v>7</v>
      </c>
    </row>
    <row r="448" spans="1:6" ht="15.75" customHeight="1">
      <c r="A448" s="105">
        <v>46106</v>
      </c>
      <c r="B448" s="112" t="s">
        <v>702</v>
      </c>
      <c r="C448" s="107" t="s">
        <v>145</v>
      </c>
      <c r="D448" s="113">
        <v>644.19000000000005</v>
      </c>
      <c r="E448" s="109" t="s">
        <v>212</v>
      </c>
      <c r="F448" s="103" t="s">
        <v>7</v>
      </c>
    </row>
    <row r="449" spans="1:6" ht="15.75" customHeight="1">
      <c r="A449" s="105">
        <v>46106</v>
      </c>
      <c r="B449" s="112" t="s">
        <v>671</v>
      </c>
      <c r="C449" s="107" t="s">
        <v>130</v>
      </c>
      <c r="D449" s="113">
        <v>2946.7</v>
      </c>
      <c r="E449" s="109" t="s">
        <v>212</v>
      </c>
      <c r="F449" s="103" t="s">
        <v>7</v>
      </c>
    </row>
    <row r="450" spans="1:6" ht="15.75" customHeight="1">
      <c r="A450" s="105">
        <v>46106</v>
      </c>
      <c r="B450" s="147" t="s">
        <v>715</v>
      </c>
      <c r="C450" s="107" t="s">
        <v>130</v>
      </c>
      <c r="D450" s="113">
        <v>123.54</v>
      </c>
      <c r="E450" s="109" t="s">
        <v>212</v>
      </c>
      <c r="F450" s="103" t="s">
        <v>7</v>
      </c>
    </row>
    <row r="451" spans="1:6" ht="15.75" customHeight="1">
      <c r="A451" s="105">
        <v>46107</v>
      </c>
      <c r="B451" s="147" t="s">
        <v>127</v>
      </c>
      <c r="C451" s="107" t="s">
        <v>128</v>
      </c>
      <c r="D451" s="113">
        <v>18.100000000000001</v>
      </c>
      <c r="E451" s="109" t="s">
        <v>212</v>
      </c>
      <c r="F451" s="103" t="s">
        <v>7</v>
      </c>
    </row>
    <row r="452" spans="1:6" ht="15.75" customHeight="1">
      <c r="A452" s="105">
        <v>46107</v>
      </c>
      <c r="B452" s="112" t="s">
        <v>799</v>
      </c>
      <c r="C452" s="107" t="s">
        <v>130</v>
      </c>
      <c r="D452" s="113">
        <v>546.36</v>
      </c>
      <c r="E452" s="109" t="s">
        <v>212</v>
      </c>
      <c r="F452" s="103" t="s">
        <v>7</v>
      </c>
    </row>
    <row r="453" spans="1:6" ht="15.75" customHeight="1">
      <c r="A453" s="105">
        <v>46107</v>
      </c>
      <c r="B453" s="112" t="s">
        <v>808</v>
      </c>
      <c r="C453" s="107" t="s">
        <v>130</v>
      </c>
      <c r="D453" s="113">
        <v>449.58</v>
      </c>
      <c r="E453" s="109" t="s">
        <v>212</v>
      </c>
      <c r="F453" s="103" t="s">
        <v>7</v>
      </c>
    </row>
    <row r="454" spans="1:6" ht="15.75" customHeight="1">
      <c r="A454" s="105">
        <v>46107</v>
      </c>
      <c r="B454" s="112" t="s">
        <v>667</v>
      </c>
      <c r="C454" s="107" t="s">
        <v>130</v>
      </c>
      <c r="D454" s="113">
        <v>477.6</v>
      </c>
      <c r="E454" s="109" t="s">
        <v>212</v>
      </c>
      <c r="F454" s="103" t="s">
        <v>7</v>
      </c>
    </row>
    <row r="455" spans="1:6" ht="15.75" customHeight="1">
      <c r="A455" s="105">
        <v>46107</v>
      </c>
      <c r="B455" s="112" t="s">
        <v>716</v>
      </c>
      <c r="C455" s="107" t="s">
        <v>130</v>
      </c>
      <c r="D455" s="113">
        <v>573.73</v>
      </c>
      <c r="E455" s="109" t="s">
        <v>212</v>
      </c>
      <c r="F455" s="103" t="s">
        <v>7</v>
      </c>
    </row>
    <row r="456" spans="1:6" ht="15.75" customHeight="1">
      <c r="A456" s="105">
        <v>46107</v>
      </c>
      <c r="B456" s="112" t="s">
        <v>809</v>
      </c>
      <c r="C456" s="107" t="s">
        <v>130</v>
      </c>
      <c r="D456" s="113">
        <v>743.85</v>
      </c>
      <c r="E456" s="109" t="s">
        <v>212</v>
      </c>
      <c r="F456" s="103" t="s">
        <v>7</v>
      </c>
    </row>
    <row r="457" spans="1:6" ht="15.75" customHeight="1">
      <c r="A457" s="105">
        <v>46107</v>
      </c>
      <c r="B457" s="112" t="s">
        <v>810</v>
      </c>
      <c r="C457" s="107" t="s">
        <v>130</v>
      </c>
      <c r="D457" s="113">
        <v>596.70000000000005</v>
      </c>
      <c r="E457" s="109" t="s">
        <v>212</v>
      </c>
      <c r="F457" s="103" t="s">
        <v>7</v>
      </c>
    </row>
    <row r="458" spans="1:6" ht="15.75" customHeight="1">
      <c r="A458" s="105">
        <v>46107</v>
      </c>
      <c r="B458" s="112" t="s">
        <v>807</v>
      </c>
      <c r="C458" s="107" t="s">
        <v>130</v>
      </c>
      <c r="D458" s="113">
        <v>21</v>
      </c>
      <c r="E458" s="109" t="s">
        <v>212</v>
      </c>
      <c r="F458" s="103" t="s">
        <v>7</v>
      </c>
    </row>
    <row r="459" spans="1:6" ht="15.75" customHeight="1">
      <c r="A459" s="105">
        <v>46107</v>
      </c>
      <c r="B459" s="112" t="s">
        <v>766</v>
      </c>
      <c r="C459" s="107" t="s">
        <v>130</v>
      </c>
      <c r="D459" s="148">
        <v>385</v>
      </c>
      <c r="E459" s="109" t="s">
        <v>212</v>
      </c>
      <c r="F459" s="103" t="s">
        <v>7</v>
      </c>
    </row>
    <row r="460" spans="1:6" ht="15.75" customHeight="1">
      <c r="A460" s="105">
        <v>46107</v>
      </c>
      <c r="B460" s="112" t="s">
        <v>687</v>
      </c>
      <c r="C460" s="107" t="s">
        <v>149</v>
      </c>
      <c r="D460" s="149">
        <v>432.26</v>
      </c>
      <c r="E460" s="109" t="s">
        <v>212</v>
      </c>
      <c r="F460" s="103" t="s">
        <v>7</v>
      </c>
    </row>
    <row r="461" spans="1:6" ht="15.75" customHeight="1">
      <c r="A461" s="105">
        <v>46108</v>
      </c>
      <c r="B461" s="112" t="s">
        <v>809</v>
      </c>
      <c r="C461" s="107" t="s">
        <v>130</v>
      </c>
      <c r="D461" s="149">
        <v>159.16999999999999</v>
      </c>
      <c r="E461" s="109" t="s">
        <v>212</v>
      </c>
      <c r="F461" s="103" t="s">
        <v>7</v>
      </c>
    </row>
    <row r="462" spans="1:6" ht="15.75" customHeight="1">
      <c r="A462" s="105">
        <v>46108</v>
      </c>
      <c r="B462" s="112" t="s">
        <v>811</v>
      </c>
      <c r="C462" s="107" t="s">
        <v>145</v>
      </c>
      <c r="D462" s="148">
        <v>4200</v>
      </c>
      <c r="E462" s="109" t="s">
        <v>212</v>
      </c>
      <c r="F462" s="103" t="s">
        <v>7</v>
      </c>
    </row>
    <row r="463" spans="1:6" ht="15.75" customHeight="1">
      <c r="A463" s="105">
        <v>46108</v>
      </c>
      <c r="B463" s="112" t="s">
        <v>652</v>
      </c>
      <c r="C463" s="107" t="s">
        <v>130</v>
      </c>
      <c r="D463" s="149">
        <v>772.73</v>
      </c>
      <c r="E463" s="109" t="s">
        <v>212</v>
      </c>
      <c r="F463" s="103" t="s">
        <v>7</v>
      </c>
    </row>
    <row r="464" spans="1:6" ht="15.75" customHeight="1">
      <c r="A464" s="105">
        <v>46108</v>
      </c>
      <c r="B464" s="112" t="s">
        <v>803</v>
      </c>
      <c r="C464" s="107" t="s">
        <v>130</v>
      </c>
      <c r="D464" s="149">
        <v>497.1</v>
      </c>
      <c r="E464" s="109" t="s">
        <v>212</v>
      </c>
      <c r="F464" s="103" t="s">
        <v>7</v>
      </c>
    </row>
    <row r="465" spans="1:6" ht="15.75" customHeight="1">
      <c r="A465" s="105">
        <v>46108</v>
      </c>
      <c r="B465" s="112" t="s">
        <v>803</v>
      </c>
      <c r="C465" s="107" t="s">
        <v>130</v>
      </c>
      <c r="D465" s="149">
        <v>399.55</v>
      </c>
      <c r="E465" s="109" t="s">
        <v>212</v>
      </c>
      <c r="F465" s="103" t="s">
        <v>7</v>
      </c>
    </row>
    <row r="466" spans="1:6" ht="15.75" customHeight="1">
      <c r="A466" s="105">
        <v>46108</v>
      </c>
      <c r="B466" s="112" t="s">
        <v>790</v>
      </c>
      <c r="C466" s="107" t="s">
        <v>130</v>
      </c>
      <c r="D466" s="149">
        <v>708.4</v>
      </c>
      <c r="E466" s="109" t="s">
        <v>212</v>
      </c>
      <c r="F466" s="103" t="s">
        <v>7</v>
      </c>
    </row>
    <row r="467" spans="1:6" ht="15.75" customHeight="1">
      <c r="A467" s="105">
        <v>46108</v>
      </c>
      <c r="B467" s="112" t="s">
        <v>812</v>
      </c>
      <c r="C467" s="107" t="s">
        <v>130</v>
      </c>
      <c r="D467" s="149">
        <v>374.15</v>
      </c>
      <c r="E467" s="109" t="s">
        <v>212</v>
      </c>
      <c r="F467" s="103" t="s">
        <v>7</v>
      </c>
    </row>
    <row r="468" spans="1:6" ht="15.75" customHeight="1">
      <c r="A468" s="105">
        <v>46108</v>
      </c>
      <c r="B468" s="112" t="s">
        <v>716</v>
      </c>
      <c r="C468" s="107" t="s">
        <v>130</v>
      </c>
      <c r="D468" s="148">
        <v>531.16</v>
      </c>
      <c r="E468" s="109" t="s">
        <v>212</v>
      </c>
      <c r="F468" s="103" t="s">
        <v>7</v>
      </c>
    </row>
    <row r="469" spans="1:6" ht="15.75" customHeight="1">
      <c r="A469" s="105">
        <v>46108</v>
      </c>
      <c r="B469" s="112" t="s">
        <v>771</v>
      </c>
      <c r="C469" s="107" t="s">
        <v>130</v>
      </c>
      <c r="D469" s="149">
        <v>898.83</v>
      </c>
      <c r="E469" s="109" t="s">
        <v>212</v>
      </c>
      <c r="F469" s="103" t="s">
        <v>7</v>
      </c>
    </row>
    <row r="470" spans="1:6" ht="15.75" customHeight="1">
      <c r="A470" s="120">
        <v>46108</v>
      </c>
      <c r="B470" s="150" t="s">
        <v>127</v>
      </c>
      <c r="C470" s="151" t="s">
        <v>128</v>
      </c>
      <c r="D470" s="152">
        <v>12.67</v>
      </c>
      <c r="E470" s="109" t="s">
        <v>212</v>
      </c>
      <c r="F470" s="103" t="s">
        <v>7</v>
      </c>
    </row>
    <row r="471" spans="1:6" ht="15.75" customHeight="1">
      <c r="A471" s="105">
        <v>46111</v>
      </c>
      <c r="B471" s="112" t="s">
        <v>127</v>
      </c>
      <c r="C471" s="107" t="s">
        <v>128</v>
      </c>
      <c r="D471" s="148">
        <v>18.100000000000001</v>
      </c>
      <c r="E471" s="109" t="s">
        <v>212</v>
      </c>
      <c r="F471" s="103" t="s">
        <v>7</v>
      </c>
    </row>
    <row r="472" spans="1:6" ht="15.75" customHeight="1">
      <c r="A472" s="105">
        <v>46111</v>
      </c>
      <c r="B472" s="112" t="s">
        <v>813</v>
      </c>
      <c r="C472" s="107" t="s">
        <v>130</v>
      </c>
      <c r="D472" s="148">
        <v>327.5</v>
      </c>
      <c r="E472" s="109" t="s">
        <v>212</v>
      </c>
      <c r="F472" s="103" t="s">
        <v>7</v>
      </c>
    </row>
    <row r="473" spans="1:6" ht="15.75" customHeight="1">
      <c r="A473" s="105">
        <v>46111</v>
      </c>
      <c r="B473" s="112" t="s">
        <v>654</v>
      </c>
      <c r="C473" s="107" t="s">
        <v>130</v>
      </c>
      <c r="D473" s="149">
        <v>707.05</v>
      </c>
      <c r="E473" s="109" t="s">
        <v>212</v>
      </c>
      <c r="F473" s="103" t="s">
        <v>7</v>
      </c>
    </row>
    <row r="474" spans="1:6" ht="15.75" customHeight="1">
      <c r="A474" s="105">
        <v>46111</v>
      </c>
      <c r="B474" s="112" t="s">
        <v>654</v>
      </c>
      <c r="C474" s="107" t="s">
        <v>130</v>
      </c>
      <c r="D474" s="148">
        <v>855</v>
      </c>
      <c r="E474" s="109" t="s">
        <v>212</v>
      </c>
      <c r="F474" s="103" t="s">
        <v>7</v>
      </c>
    </row>
    <row r="475" spans="1:6" ht="15.75" customHeight="1">
      <c r="A475" s="105">
        <v>46111</v>
      </c>
      <c r="B475" s="112" t="s">
        <v>716</v>
      </c>
      <c r="C475" s="107" t="s">
        <v>130</v>
      </c>
      <c r="D475" s="149">
        <v>698.96</v>
      </c>
      <c r="E475" s="109" t="s">
        <v>212</v>
      </c>
      <c r="F475" s="103" t="s">
        <v>7</v>
      </c>
    </row>
    <row r="476" spans="1:6" ht="15.75" customHeight="1">
      <c r="A476" s="105">
        <v>46111</v>
      </c>
      <c r="B476" s="112" t="s">
        <v>716</v>
      </c>
      <c r="C476" s="107" t="s">
        <v>130</v>
      </c>
      <c r="D476" s="148">
        <v>576.91999999999996</v>
      </c>
      <c r="E476" s="109" t="s">
        <v>212</v>
      </c>
      <c r="F476" s="103" t="s">
        <v>7</v>
      </c>
    </row>
    <row r="477" spans="1:6" ht="15.75" customHeight="1">
      <c r="A477" s="105">
        <v>46111</v>
      </c>
      <c r="B477" s="112" t="s">
        <v>716</v>
      </c>
      <c r="C477" s="107" t="s">
        <v>130</v>
      </c>
      <c r="D477" s="149">
        <v>478.91</v>
      </c>
      <c r="E477" s="109" t="s">
        <v>212</v>
      </c>
      <c r="F477" s="103" t="s">
        <v>7</v>
      </c>
    </row>
    <row r="478" spans="1:6" ht="15.75" customHeight="1">
      <c r="A478" s="105">
        <v>46111</v>
      </c>
      <c r="B478" s="112" t="s">
        <v>652</v>
      </c>
      <c r="C478" s="107" t="s">
        <v>130</v>
      </c>
      <c r="D478" s="148">
        <v>689.67</v>
      </c>
      <c r="E478" s="109" t="s">
        <v>212</v>
      </c>
      <c r="F478" s="103" t="s">
        <v>7</v>
      </c>
    </row>
    <row r="479" spans="1:6" ht="15.75" customHeight="1">
      <c r="A479" s="105">
        <v>46111</v>
      </c>
      <c r="B479" s="112" t="s">
        <v>652</v>
      </c>
      <c r="C479" s="107" t="s">
        <v>130</v>
      </c>
      <c r="D479" s="149">
        <v>575.33000000000004</v>
      </c>
      <c r="E479" s="109" t="s">
        <v>212</v>
      </c>
      <c r="F479" s="103" t="s">
        <v>7</v>
      </c>
    </row>
    <row r="480" spans="1:6" ht="15.75" customHeight="1">
      <c r="A480" s="105">
        <v>46111</v>
      </c>
      <c r="B480" s="112" t="s">
        <v>671</v>
      </c>
      <c r="C480" s="107" t="s">
        <v>130</v>
      </c>
      <c r="D480" s="149">
        <v>730</v>
      </c>
      <c r="E480" s="109" t="s">
        <v>212</v>
      </c>
      <c r="F480" s="103" t="s">
        <v>7</v>
      </c>
    </row>
    <row r="481" spans="1:7" ht="15.75" customHeight="1">
      <c r="A481" s="105">
        <v>46111</v>
      </c>
      <c r="B481" s="112" t="s">
        <v>715</v>
      </c>
      <c r="C481" s="107" t="s">
        <v>130</v>
      </c>
      <c r="D481" s="149">
        <v>533.5</v>
      </c>
      <c r="E481" s="109" t="s">
        <v>212</v>
      </c>
      <c r="F481" s="103" t="s">
        <v>7</v>
      </c>
    </row>
    <row r="482" spans="1:7" ht="15.75" customHeight="1">
      <c r="A482" s="105">
        <v>46111</v>
      </c>
      <c r="B482" s="112" t="s">
        <v>806</v>
      </c>
      <c r="C482" s="107" t="s">
        <v>130</v>
      </c>
      <c r="D482" s="149">
        <v>139.69999999999999</v>
      </c>
      <c r="E482" s="109" t="s">
        <v>212</v>
      </c>
      <c r="F482" s="103" t="s">
        <v>7</v>
      </c>
    </row>
    <row r="483" spans="1:7" ht="15.75" customHeight="1">
      <c r="A483" s="105">
        <v>46111</v>
      </c>
      <c r="B483" s="112" t="s">
        <v>814</v>
      </c>
      <c r="C483" s="107" t="s">
        <v>130</v>
      </c>
      <c r="D483" s="148">
        <v>650</v>
      </c>
      <c r="E483" s="109" t="s">
        <v>212</v>
      </c>
      <c r="F483" s="103" t="s">
        <v>7</v>
      </c>
    </row>
    <row r="484" spans="1:7" ht="15.75" customHeight="1">
      <c r="A484" s="105">
        <v>46111</v>
      </c>
      <c r="B484" s="112" t="s">
        <v>805</v>
      </c>
      <c r="C484" s="107" t="s">
        <v>130</v>
      </c>
      <c r="D484" s="149">
        <v>1912.5</v>
      </c>
      <c r="E484" s="109" t="s">
        <v>212</v>
      </c>
      <c r="F484" s="103" t="s">
        <v>7</v>
      </c>
    </row>
    <row r="485" spans="1:7" ht="15.75" customHeight="1">
      <c r="A485" s="105">
        <v>46112</v>
      </c>
      <c r="B485" s="112" t="s">
        <v>771</v>
      </c>
      <c r="C485" s="107" t="s">
        <v>130</v>
      </c>
      <c r="D485" s="148">
        <v>659.39</v>
      </c>
      <c r="E485" s="109" t="s">
        <v>212</v>
      </c>
      <c r="F485" s="103" t="s">
        <v>7</v>
      </c>
    </row>
    <row r="486" spans="1:7" ht="15.75" customHeight="1">
      <c r="A486" s="105">
        <v>46112</v>
      </c>
      <c r="B486" s="112" t="s">
        <v>718</v>
      </c>
      <c r="C486" s="107" t="s">
        <v>130</v>
      </c>
      <c r="D486" s="149">
        <v>312</v>
      </c>
      <c r="E486" s="109" t="s">
        <v>212</v>
      </c>
      <c r="F486" s="103" t="s">
        <v>7</v>
      </c>
    </row>
    <row r="487" spans="1:7" ht="15.75" customHeight="1">
      <c r="A487" s="105">
        <v>46112</v>
      </c>
      <c r="B487" s="112" t="s">
        <v>768</v>
      </c>
      <c r="C487" s="107" t="s">
        <v>130</v>
      </c>
      <c r="D487" s="148">
        <v>500</v>
      </c>
      <c r="E487" s="109" t="s">
        <v>212</v>
      </c>
      <c r="F487" s="103" t="s">
        <v>7</v>
      </c>
    </row>
    <row r="488" spans="1:7" ht="15.75" customHeight="1">
      <c r="A488" s="105">
        <v>46112</v>
      </c>
      <c r="B488" s="112" t="s">
        <v>815</v>
      </c>
      <c r="C488" s="107" t="s">
        <v>130</v>
      </c>
      <c r="D488" s="149">
        <v>385.84</v>
      </c>
      <c r="E488" s="109" t="s">
        <v>212</v>
      </c>
      <c r="F488" s="103" t="s">
        <v>7</v>
      </c>
    </row>
    <row r="489" spans="1:7" ht="15.75" customHeight="1">
      <c r="A489" s="105">
        <v>46112</v>
      </c>
      <c r="B489" s="112" t="s">
        <v>799</v>
      </c>
      <c r="C489" s="107" t="s">
        <v>130</v>
      </c>
      <c r="D489" s="113">
        <v>755.05</v>
      </c>
      <c r="E489" s="109" t="s">
        <v>212</v>
      </c>
      <c r="F489" s="103" t="s">
        <v>7</v>
      </c>
    </row>
    <row r="490" spans="1:7" ht="15.75" customHeight="1">
      <c r="A490" s="105">
        <v>46112</v>
      </c>
      <c r="B490" s="112" t="s">
        <v>748</v>
      </c>
      <c r="C490" s="107" t="s">
        <v>130</v>
      </c>
      <c r="D490" s="113">
        <v>383.4</v>
      </c>
      <c r="E490" s="109" t="s">
        <v>212</v>
      </c>
      <c r="F490" s="103" t="s">
        <v>7</v>
      </c>
    </row>
    <row r="491" spans="1:7" ht="15.75" customHeight="1">
      <c r="A491" s="105">
        <v>46112</v>
      </c>
      <c r="B491" s="112" t="s">
        <v>667</v>
      </c>
      <c r="C491" s="107" t="s">
        <v>130</v>
      </c>
      <c r="D491" s="113">
        <v>260</v>
      </c>
      <c r="E491" s="109" t="s">
        <v>212</v>
      </c>
      <c r="F491" s="103" t="s">
        <v>7</v>
      </c>
    </row>
    <row r="492" spans="1:7" ht="15.75" customHeight="1">
      <c r="A492" s="105">
        <v>46112</v>
      </c>
      <c r="B492" s="106" t="s">
        <v>127</v>
      </c>
      <c r="C492" s="107" t="s">
        <v>128</v>
      </c>
      <c r="D492" s="108">
        <v>7.24</v>
      </c>
      <c r="E492" s="109" t="s">
        <v>212</v>
      </c>
      <c r="F492" s="103" t="s">
        <v>7</v>
      </c>
    </row>
    <row r="493" spans="1:7" ht="15.75" customHeight="1">
      <c r="A493" s="274">
        <v>46113</v>
      </c>
      <c r="B493" s="67" t="s">
        <v>693</v>
      </c>
      <c r="C493" s="258" t="s">
        <v>130</v>
      </c>
      <c r="D493" s="68">
        <v>3137.75</v>
      </c>
      <c r="E493" s="288" t="s">
        <v>212</v>
      </c>
      <c r="F493" t="s">
        <v>1173</v>
      </c>
      <c r="G493" s="273">
        <f>SUM(D493:D712)</f>
        <v>231574.29999999984</v>
      </c>
    </row>
    <row r="494" spans="1:7" ht="15.75" customHeight="1">
      <c r="A494" s="274">
        <v>46113</v>
      </c>
      <c r="B494" s="258" t="s">
        <v>771</v>
      </c>
      <c r="C494" s="258" t="s">
        <v>130</v>
      </c>
      <c r="D494" s="261">
        <v>605.13</v>
      </c>
      <c r="E494" s="288" t="s">
        <v>212</v>
      </c>
      <c r="F494" t="s">
        <v>1173</v>
      </c>
    </row>
    <row r="495" spans="1:7" ht="15.75" customHeight="1">
      <c r="A495" s="274">
        <v>46113</v>
      </c>
      <c r="B495" s="258" t="s">
        <v>174</v>
      </c>
      <c r="C495" s="258" t="s">
        <v>130</v>
      </c>
      <c r="D495" s="261">
        <v>1495</v>
      </c>
      <c r="E495" s="288" t="s">
        <v>212</v>
      </c>
      <c r="F495" t="s">
        <v>1173</v>
      </c>
    </row>
    <row r="496" spans="1:7" ht="15.75" customHeight="1">
      <c r="A496" s="274">
        <v>46113</v>
      </c>
      <c r="B496" s="258" t="s">
        <v>129</v>
      </c>
      <c r="C496" s="258" t="s">
        <v>130</v>
      </c>
      <c r="D496" s="261">
        <v>1243.68</v>
      </c>
      <c r="E496" s="288" t="s">
        <v>212</v>
      </c>
      <c r="F496" t="s">
        <v>1173</v>
      </c>
    </row>
    <row r="497" spans="1:6" ht="15.75" customHeight="1">
      <c r="A497" s="274">
        <v>46113</v>
      </c>
      <c r="B497" s="258" t="s">
        <v>812</v>
      </c>
      <c r="C497" s="258" t="s">
        <v>130</v>
      </c>
      <c r="D497" s="261">
        <v>154.55000000000001</v>
      </c>
      <c r="E497" s="288" t="s">
        <v>212</v>
      </c>
      <c r="F497" t="s">
        <v>1173</v>
      </c>
    </row>
    <row r="498" spans="1:6" ht="15.75" customHeight="1">
      <c r="A498" s="274">
        <v>46113</v>
      </c>
      <c r="B498" s="258" t="s">
        <v>183</v>
      </c>
      <c r="C498" s="258" t="s">
        <v>130</v>
      </c>
      <c r="D498" s="261">
        <v>1100</v>
      </c>
      <c r="E498" s="288" t="s">
        <v>212</v>
      </c>
      <c r="F498" t="s">
        <v>1173</v>
      </c>
    </row>
    <row r="499" spans="1:6" ht="15.75" customHeight="1">
      <c r="A499" s="274">
        <v>46113</v>
      </c>
      <c r="B499" s="258" t="s">
        <v>1348</v>
      </c>
      <c r="C499" s="258" t="s">
        <v>128</v>
      </c>
      <c r="D499" s="261">
        <v>12.67</v>
      </c>
      <c r="E499" s="288" t="s">
        <v>212</v>
      </c>
      <c r="F499" t="s">
        <v>1173</v>
      </c>
    </row>
    <row r="500" spans="1:6" ht="15.75" customHeight="1">
      <c r="A500" s="274">
        <v>46114</v>
      </c>
      <c r="B500" s="258" t="s">
        <v>715</v>
      </c>
      <c r="C500" s="258" t="s">
        <v>130</v>
      </c>
      <c r="D500" s="261">
        <v>894.33</v>
      </c>
      <c r="E500" s="288" t="s">
        <v>212</v>
      </c>
      <c r="F500" t="s">
        <v>1173</v>
      </c>
    </row>
    <row r="501" spans="1:6" ht="15.75" customHeight="1">
      <c r="A501" s="274">
        <v>46114</v>
      </c>
      <c r="B501" s="258" t="s">
        <v>716</v>
      </c>
      <c r="C501" s="258" t="s">
        <v>130</v>
      </c>
      <c r="D501" s="261">
        <v>673.57</v>
      </c>
      <c r="E501" s="288" t="s">
        <v>212</v>
      </c>
      <c r="F501" t="s">
        <v>1173</v>
      </c>
    </row>
    <row r="502" spans="1:6" ht="15.75" customHeight="1">
      <c r="A502" s="274">
        <v>46114</v>
      </c>
      <c r="B502" s="258" t="s">
        <v>160</v>
      </c>
      <c r="C502" s="258" t="s">
        <v>130</v>
      </c>
      <c r="D502" s="261">
        <v>614.54999999999995</v>
      </c>
      <c r="E502" s="288" t="s">
        <v>212</v>
      </c>
      <c r="F502" t="s">
        <v>1173</v>
      </c>
    </row>
    <row r="503" spans="1:6" ht="15.75" customHeight="1">
      <c r="A503" s="274">
        <v>46114</v>
      </c>
      <c r="B503" s="258" t="s">
        <v>748</v>
      </c>
      <c r="C503" s="258" t="s">
        <v>130</v>
      </c>
      <c r="D503" s="261">
        <v>145.27000000000001</v>
      </c>
      <c r="E503" s="288" t="s">
        <v>212</v>
      </c>
      <c r="F503" t="s">
        <v>1173</v>
      </c>
    </row>
    <row r="504" spans="1:6" ht="15.75" customHeight="1">
      <c r="A504" s="274">
        <v>46114</v>
      </c>
      <c r="B504" s="258" t="s">
        <v>807</v>
      </c>
      <c r="C504" s="258" t="s">
        <v>130</v>
      </c>
      <c r="D504" s="261">
        <v>705</v>
      </c>
      <c r="E504" s="288" t="s">
        <v>212</v>
      </c>
      <c r="F504" t="s">
        <v>1173</v>
      </c>
    </row>
    <row r="505" spans="1:6" ht="15.75" customHeight="1">
      <c r="A505" s="274">
        <v>46114</v>
      </c>
      <c r="B505" s="258" t="s">
        <v>1349</v>
      </c>
      <c r="C505" s="258" t="s">
        <v>130</v>
      </c>
      <c r="D505" s="261">
        <v>1710</v>
      </c>
      <c r="E505" s="288" t="s">
        <v>212</v>
      </c>
      <c r="F505" t="s">
        <v>1173</v>
      </c>
    </row>
    <row r="506" spans="1:6" ht="15.75" customHeight="1">
      <c r="A506" s="274">
        <v>46114</v>
      </c>
      <c r="B506" s="258" t="s">
        <v>713</v>
      </c>
      <c r="C506" s="258" t="s">
        <v>130</v>
      </c>
      <c r="D506" s="261">
        <v>97.5</v>
      </c>
      <c r="E506" s="288" t="s">
        <v>212</v>
      </c>
      <c r="F506" t="s">
        <v>1173</v>
      </c>
    </row>
    <row r="507" spans="1:6" ht="15.75" customHeight="1">
      <c r="A507" s="274">
        <v>46114</v>
      </c>
      <c r="B507" s="258" t="s">
        <v>146</v>
      </c>
      <c r="C507" s="62" t="s">
        <v>147</v>
      </c>
      <c r="D507" s="261">
        <v>1000</v>
      </c>
      <c r="E507" s="288" t="s">
        <v>212</v>
      </c>
      <c r="F507" t="s">
        <v>1173</v>
      </c>
    </row>
    <row r="508" spans="1:6" ht="15.75" customHeight="1">
      <c r="A508" s="274">
        <v>46114</v>
      </c>
      <c r="B508" s="258" t="s">
        <v>1348</v>
      </c>
      <c r="C508" s="62" t="s">
        <v>128</v>
      </c>
      <c r="D508" s="261">
        <v>28.94</v>
      </c>
      <c r="E508" s="288" t="s">
        <v>212</v>
      </c>
      <c r="F508" t="s">
        <v>1173</v>
      </c>
    </row>
    <row r="509" spans="1:6" ht="15.75" customHeight="1">
      <c r="A509" s="289">
        <v>46114</v>
      </c>
      <c r="B509" s="290" t="s">
        <v>1350</v>
      </c>
      <c r="C509" s="291" t="s">
        <v>128</v>
      </c>
      <c r="D509" s="292">
        <v>23.29</v>
      </c>
      <c r="E509" s="288" t="s">
        <v>212</v>
      </c>
      <c r="F509" t="s">
        <v>1173</v>
      </c>
    </row>
    <row r="510" spans="1:6" ht="15.75" customHeight="1">
      <c r="A510" s="274">
        <v>46118</v>
      </c>
      <c r="B510" s="290" t="s">
        <v>1348</v>
      </c>
      <c r="C510" s="291" t="s">
        <v>128</v>
      </c>
      <c r="D510" s="292">
        <v>25.34</v>
      </c>
      <c r="E510" s="288" t="s">
        <v>212</v>
      </c>
      <c r="F510" t="s">
        <v>1173</v>
      </c>
    </row>
    <row r="511" spans="1:6" ht="15.75" customHeight="1">
      <c r="A511" s="274">
        <v>46118</v>
      </c>
      <c r="B511" s="258" t="s">
        <v>157</v>
      </c>
      <c r="C511" s="62" t="s">
        <v>132</v>
      </c>
      <c r="D511" s="261">
        <v>1700</v>
      </c>
      <c r="E511" s="288" t="s">
        <v>212</v>
      </c>
      <c r="F511" t="s">
        <v>1173</v>
      </c>
    </row>
    <row r="512" spans="1:6" ht="15.75" customHeight="1">
      <c r="A512" s="274">
        <v>46118</v>
      </c>
      <c r="B512" s="258" t="s">
        <v>769</v>
      </c>
      <c r="C512" s="258" t="s">
        <v>130</v>
      </c>
      <c r="D512" s="261">
        <v>327.5</v>
      </c>
      <c r="E512" s="288" t="s">
        <v>212</v>
      </c>
      <c r="F512" t="s">
        <v>1173</v>
      </c>
    </row>
    <row r="513" spans="1:6" ht="15.75" customHeight="1">
      <c r="A513" s="274">
        <v>46118</v>
      </c>
      <c r="B513" s="258" t="s">
        <v>774</v>
      </c>
      <c r="C513" s="258" t="s">
        <v>130</v>
      </c>
      <c r="D513" s="261">
        <v>632.5</v>
      </c>
      <c r="E513" s="288" t="s">
        <v>212</v>
      </c>
      <c r="F513" t="s">
        <v>1173</v>
      </c>
    </row>
    <row r="514" spans="1:6" ht="15.75" customHeight="1">
      <c r="A514" s="274">
        <v>46118</v>
      </c>
      <c r="B514" s="258" t="s">
        <v>1351</v>
      </c>
      <c r="C514" s="258" t="s">
        <v>130</v>
      </c>
      <c r="D514" s="261">
        <v>270</v>
      </c>
      <c r="E514" s="288" t="s">
        <v>212</v>
      </c>
      <c r="F514" t="s">
        <v>1173</v>
      </c>
    </row>
    <row r="515" spans="1:6" ht="15.75" customHeight="1">
      <c r="A515" s="274">
        <v>46118</v>
      </c>
      <c r="B515" s="258" t="s">
        <v>1352</v>
      </c>
      <c r="C515" s="258" t="s">
        <v>130</v>
      </c>
      <c r="D515" s="261">
        <v>308.86</v>
      </c>
      <c r="E515" s="288" t="s">
        <v>212</v>
      </c>
      <c r="F515" t="s">
        <v>1173</v>
      </c>
    </row>
    <row r="516" spans="1:6" ht="15.75" customHeight="1">
      <c r="A516" s="274">
        <v>46118</v>
      </c>
      <c r="B516" s="258" t="s">
        <v>770</v>
      </c>
      <c r="C516" s="258" t="s">
        <v>130</v>
      </c>
      <c r="D516" s="261">
        <v>3773.29</v>
      </c>
      <c r="E516" s="288" t="s">
        <v>212</v>
      </c>
      <c r="F516" t="s">
        <v>1173</v>
      </c>
    </row>
    <row r="517" spans="1:6" ht="15.75" customHeight="1">
      <c r="A517" s="274">
        <v>46118</v>
      </c>
      <c r="B517" s="258" t="s">
        <v>770</v>
      </c>
      <c r="C517" s="258" t="s">
        <v>130</v>
      </c>
      <c r="D517" s="261">
        <v>500.47</v>
      </c>
      <c r="E517" s="288" t="s">
        <v>212</v>
      </c>
      <c r="F517" t="s">
        <v>1173</v>
      </c>
    </row>
    <row r="518" spans="1:6" ht="15.75" customHeight="1">
      <c r="A518" s="274">
        <v>46118</v>
      </c>
      <c r="B518" s="258" t="s">
        <v>1353</v>
      </c>
      <c r="C518" s="258" t="s">
        <v>130</v>
      </c>
      <c r="D518" s="261">
        <v>920.67</v>
      </c>
      <c r="E518" s="288" t="s">
        <v>212</v>
      </c>
      <c r="F518" t="s">
        <v>1173</v>
      </c>
    </row>
    <row r="519" spans="1:6" ht="15.75" customHeight="1">
      <c r="A519" s="274">
        <v>46118</v>
      </c>
      <c r="B519" s="258" t="s">
        <v>761</v>
      </c>
      <c r="C519" s="258" t="s">
        <v>130</v>
      </c>
      <c r="D519" s="261">
        <v>802.46</v>
      </c>
      <c r="E519" s="288" t="s">
        <v>212</v>
      </c>
      <c r="F519" t="s">
        <v>1173</v>
      </c>
    </row>
    <row r="520" spans="1:6" ht="15.75" customHeight="1">
      <c r="A520" s="274">
        <v>46118</v>
      </c>
      <c r="B520" s="258" t="s">
        <v>715</v>
      </c>
      <c r="C520" s="258" t="s">
        <v>130</v>
      </c>
      <c r="D520" s="261">
        <v>387.28</v>
      </c>
      <c r="E520" s="288" t="s">
        <v>212</v>
      </c>
      <c r="F520" t="s">
        <v>1173</v>
      </c>
    </row>
    <row r="521" spans="1:6" ht="15.75" customHeight="1">
      <c r="A521" s="274">
        <v>46118</v>
      </c>
      <c r="B521" s="258" t="s">
        <v>1354</v>
      </c>
      <c r="C521" s="258" t="s">
        <v>130</v>
      </c>
      <c r="D521" s="261">
        <v>325</v>
      </c>
      <c r="E521" s="288" t="s">
        <v>212</v>
      </c>
      <c r="F521" t="s">
        <v>1173</v>
      </c>
    </row>
    <row r="522" spans="1:6" ht="15.75" customHeight="1">
      <c r="A522" s="274">
        <v>46118</v>
      </c>
      <c r="B522" s="258" t="s">
        <v>1355</v>
      </c>
      <c r="C522" s="258" t="s">
        <v>130</v>
      </c>
      <c r="D522" s="261">
        <v>270</v>
      </c>
      <c r="E522" s="288" t="s">
        <v>212</v>
      </c>
      <c r="F522" t="s">
        <v>1173</v>
      </c>
    </row>
    <row r="523" spans="1:6" ht="15.75" customHeight="1">
      <c r="A523" s="274">
        <v>46118</v>
      </c>
      <c r="B523" s="258" t="s">
        <v>1351</v>
      </c>
      <c r="C523" s="258" t="s">
        <v>130</v>
      </c>
      <c r="D523" s="261">
        <v>283.5</v>
      </c>
      <c r="E523" s="288" t="s">
        <v>212</v>
      </c>
      <c r="F523" t="s">
        <v>1173</v>
      </c>
    </row>
    <row r="524" spans="1:6" ht="15.75" customHeight="1">
      <c r="A524" s="274">
        <v>46118</v>
      </c>
      <c r="B524" s="258" t="s">
        <v>654</v>
      </c>
      <c r="C524" s="258" t="s">
        <v>130</v>
      </c>
      <c r="D524" s="261">
        <v>170</v>
      </c>
      <c r="E524" s="288" t="s">
        <v>212</v>
      </c>
      <c r="F524" t="s">
        <v>1173</v>
      </c>
    </row>
    <row r="525" spans="1:6" ht="15.75" customHeight="1">
      <c r="A525" s="274">
        <v>46118</v>
      </c>
      <c r="B525" s="258" t="s">
        <v>1356</v>
      </c>
      <c r="C525" s="258" t="s">
        <v>130</v>
      </c>
      <c r="D525" s="261">
        <v>628.32000000000005</v>
      </c>
      <c r="E525" s="288" t="s">
        <v>212</v>
      </c>
      <c r="F525" t="s">
        <v>1173</v>
      </c>
    </row>
    <row r="526" spans="1:6" ht="15.75" customHeight="1">
      <c r="A526" s="274">
        <v>46118</v>
      </c>
      <c r="B526" s="258" t="s">
        <v>1357</v>
      </c>
      <c r="C526" s="258" t="s">
        <v>130</v>
      </c>
      <c r="D526" s="261">
        <v>720</v>
      </c>
      <c r="E526" s="288" t="s">
        <v>212</v>
      </c>
      <c r="F526" t="s">
        <v>1173</v>
      </c>
    </row>
    <row r="527" spans="1:6" ht="15.75" customHeight="1">
      <c r="A527" s="274">
        <v>46118</v>
      </c>
      <c r="B527" s="258" t="s">
        <v>1358</v>
      </c>
      <c r="C527" s="258" t="s">
        <v>130</v>
      </c>
      <c r="D527" s="261">
        <v>342</v>
      </c>
      <c r="E527" s="288" t="s">
        <v>212</v>
      </c>
      <c r="F527" t="s">
        <v>1173</v>
      </c>
    </row>
    <row r="528" spans="1:6" ht="15.75" customHeight="1">
      <c r="A528" s="274">
        <v>46118</v>
      </c>
      <c r="B528" s="258" t="s">
        <v>1357</v>
      </c>
      <c r="C528" s="258" t="s">
        <v>130</v>
      </c>
      <c r="D528" s="261">
        <v>1303.6300000000001</v>
      </c>
      <c r="E528" s="288" t="s">
        <v>212</v>
      </c>
      <c r="F528" t="s">
        <v>1173</v>
      </c>
    </row>
    <row r="529" spans="1:6" ht="15.75" customHeight="1">
      <c r="A529" s="274">
        <v>46118</v>
      </c>
      <c r="B529" s="258" t="s">
        <v>1359</v>
      </c>
      <c r="C529" s="258" t="s">
        <v>130</v>
      </c>
      <c r="D529" s="261">
        <v>650</v>
      </c>
      <c r="E529" s="288" t="s">
        <v>212</v>
      </c>
      <c r="F529" t="s">
        <v>1173</v>
      </c>
    </row>
    <row r="530" spans="1:6" ht="15.75" customHeight="1">
      <c r="A530" s="274">
        <v>46118</v>
      </c>
      <c r="B530" s="258" t="s">
        <v>761</v>
      </c>
      <c r="C530" s="258" t="s">
        <v>130</v>
      </c>
      <c r="D530" s="261">
        <v>385.73</v>
      </c>
      <c r="E530" s="288" t="s">
        <v>212</v>
      </c>
      <c r="F530" t="s">
        <v>1173</v>
      </c>
    </row>
    <row r="531" spans="1:6" ht="15.75" customHeight="1">
      <c r="A531" s="274">
        <v>46118</v>
      </c>
      <c r="B531" s="258" t="s">
        <v>773</v>
      </c>
      <c r="C531" s="258" t="s">
        <v>145</v>
      </c>
      <c r="D531" s="261">
        <v>1801.14</v>
      </c>
      <c r="E531" s="288" t="s">
        <v>212</v>
      </c>
      <c r="F531" t="s">
        <v>1173</v>
      </c>
    </row>
    <row r="532" spans="1:6" ht="15.75" customHeight="1">
      <c r="A532" s="274">
        <v>46118</v>
      </c>
      <c r="B532" s="258" t="s">
        <v>1360</v>
      </c>
      <c r="C532" s="258" t="s">
        <v>145</v>
      </c>
      <c r="D532" s="261">
        <v>290.97000000000003</v>
      </c>
      <c r="E532" s="288" t="s">
        <v>212</v>
      </c>
      <c r="F532" t="s">
        <v>1173</v>
      </c>
    </row>
    <row r="533" spans="1:6" ht="15.75" customHeight="1">
      <c r="A533" s="274">
        <v>46118</v>
      </c>
      <c r="B533" s="258" t="s">
        <v>1360</v>
      </c>
      <c r="C533" s="258" t="s">
        <v>145</v>
      </c>
      <c r="D533" s="261">
        <v>571.5</v>
      </c>
      <c r="E533" s="288" t="s">
        <v>212</v>
      </c>
      <c r="F533" t="s">
        <v>1173</v>
      </c>
    </row>
    <row r="534" spans="1:6" ht="15.75" customHeight="1">
      <c r="A534" s="289">
        <v>46118</v>
      </c>
      <c r="B534" s="284" t="s">
        <v>1361</v>
      </c>
      <c r="C534" s="285" t="s">
        <v>132</v>
      </c>
      <c r="D534" s="293">
        <v>790</v>
      </c>
      <c r="E534" s="288" t="s">
        <v>212</v>
      </c>
      <c r="F534" t="s">
        <v>1173</v>
      </c>
    </row>
    <row r="535" spans="1:6" ht="15.75" customHeight="1">
      <c r="A535" s="274">
        <v>46119</v>
      </c>
      <c r="B535" s="258" t="s">
        <v>1348</v>
      </c>
      <c r="C535" s="62" t="s">
        <v>128</v>
      </c>
      <c r="D535" s="261">
        <v>7.24</v>
      </c>
      <c r="E535" s="288" t="s">
        <v>212</v>
      </c>
      <c r="F535" t="s">
        <v>1173</v>
      </c>
    </row>
    <row r="536" spans="1:6" ht="15.75" customHeight="1">
      <c r="A536" s="274">
        <v>46119</v>
      </c>
      <c r="B536" s="258" t="s">
        <v>110</v>
      </c>
      <c r="C536" s="62" t="s">
        <v>110</v>
      </c>
      <c r="D536" s="261">
        <v>7000</v>
      </c>
      <c r="E536" s="288" t="s">
        <v>212</v>
      </c>
      <c r="F536" t="s">
        <v>1173</v>
      </c>
    </row>
    <row r="537" spans="1:6" ht="15.75" customHeight="1">
      <c r="A537" s="274">
        <v>46119</v>
      </c>
      <c r="B537" s="258" t="s">
        <v>1362</v>
      </c>
      <c r="C537" s="258" t="s">
        <v>132</v>
      </c>
      <c r="D537" s="261">
        <v>1200</v>
      </c>
      <c r="E537" s="288" t="s">
        <v>212</v>
      </c>
      <c r="F537" t="s">
        <v>1173</v>
      </c>
    </row>
    <row r="538" spans="1:6" ht="15.75" customHeight="1">
      <c r="A538" s="274">
        <v>46119</v>
      </c>
      <c r="B538" s="258" t="s">
        <v>779</v>
      </c>
      <c r="C538" s="258" t="s">
        <v>132</v>
      </c>
      <c r="D538" s="261">
        <v>2419.48</v>
      </c>
      <c r="E538" s="288" t="s">
        <v>212</v>
      </c>
      <c r="F538" t="s">
        <v>1173</v>
      </c>
    </row>
    <row r="539" spans="1:6" ht="15.75" customHeight="1">
      <c r="A539" s="274">
        <v>46119</v>
      </c>
      <c r="B539" s="258" t="s">
        <v>747</v>
      </c>
      <c r="C539" s="258" t="s">
        <v>132</v>
      </c>
      <c r="D539" s="261">
        <v>1028.32</v>
      </c>
      <c r="E539" s="288" t="s">
        <v>212</v>
      </c>
      <c r="F539" t="s">
        <v>1173</v>
      </c>
    </row>
    <row r="540" spans="1:6" ht="15.75" customHeight="1">
      <c r="A540" s="274">
        <v>46119</v>
      </c>
      <c r="B540" s="258" t="s">
        <v>678</v>
      </c>
      <c r="C540" s="258" t="s">
        <v>132</v>
      </c>
      <c r="D540" s="261">
        <v>1749.25</v>
      </c>
      <c r="E540" s="288" t="s">
        <v>212</v>
      </c>
      <c r="F540" t="s">
        <v>1173</v>
      </c>
    </row>
    <row r="541" spans="1:6" ht="15.75" customHeight="1">
      <c r="A541" s="274">
        <v>46119</v>
      </c>
      <c r="B541" s="258" t="s">
        <v>727</v>
      </c>
      <c r="C541" s="258" t="s">
        <v>132</v>
      </c>
      <c r="D541" s="261">
        <v>1900</v>
      </c>
      <c r="E541" s="288" t="s">
        <v>212</v>
      </c>
      <c r="F541" t="s">
        <v>1173</v>
      </c>
    </row>
    <row r="542" spans="1:6" ht="15.75" customHeight="1">
      <c r="A542" s="274">
        <v>46119</v>
      </c>
      <c r="B542" s="67" t="s">
        <v>723</v>
      </c>
      <c r="C542" s="258" t="s">
        <v>130</v>
      </c>
      <c r="D542" s="68">
        <v>30</v>
      </c>
      <c r="E542" s="288" t="s">
        <v>212</v>
      </c>
      <c r="F542" t="s">
        <v>1173</v>
      </c>
    </row>
    <row r="543" spans="1:6" ht="15.75" customHeight="1">
      <c r="A543" s="274">
        <v>46119</v>
      </c>
      <c r="B543" s="69" t="s">
        <v>788</v>
      </c>
      <c r="C543" s="258" t="s">
        <v>130</v>
      </c>
      <c r="D543" s="66">
        <v>445</v>
      </c>
      <c r="E543" s="288" t="s">
        <v>212</v>
      </c>
      <c r="F543" t="s">
        <v>1173</v>
      </c>
    </row>
    <row r="544" spans="1:6" ht="15.75" customHeight="1">
      <c r="A544" s="274">
        <v>46119</v>
      </c>
      <c r="B544" s="67" t="s">
        <v>1363</v>
      </c>
      <c r="C544" s="258" t="s">
        <v>130</v>
      </c>
      <c r="D544" s="68">
        <v>1725</v>
      </c>
      <c r="E544" s="288" t="s">
        <v>212</v>
      </c>
      <c r="F544" t="s">
        <v>1173</v>
      </c>
    </row>
    <row r="545" spans="1:6" ht="15.75" customHeight="1">
      <c r="A545" s="274">
        <v>46120</v>
      </c>
      <c r="B545" s="67" t="s">
        <v>1348</v>
      </c>
      <c r="C545" s="258" t="s">
        <v>128</v>
      </c>
      <c r="D545" s="68">
        <v>10.86</v>
      </c>
      <c r="E545" s="288" t="s">
        <v>212</v>
      </c>
      <c r="F545" t="s">
        <v>1173</v>
      </c>
    </row>
    <row r="546" spans="1:6" ht="15.75" customHeight="1">
      <c r="A546" s="274">
        <v>46120</v>
      </c>
      <c r="B546" s="67" t="s">
        <v>713</v>
      </c>
      <c r="C546" s="258" t="s">
        <v>130</v>
      </c>
      <c r="D546" s="68">
        <v>65</v>
      </c>
      <c r="E546" s="288" t="s">
        <v>212</v>
      </c>
      <c r="F546" t="s">
        <v>1173</v>
      </c>
    </row>
    <row r="547" spans="1:6" ht="15.75" customHeight="1">
      <c r="A547" s="274">
        <v>46120</v>
      </c>
      <c r="B547" s="69" t="s">
        <v>1357</v>
      </c>
      <c r="C547" s="258" t="s">
        <v>130</v>
      </c>
      <c r="D547" s="66">
        <v>270</v>
      </c>
      <c r="E547" s="288" t="s">
        <v>212</v>
      </c>
      <c r="F547" t="s">
        <v>1173</v>
      </c>
    </row>
    <row r="548" spans="1:6" ht="15.75" customHeight="1">
      <c r="A548" s="274">
        <v>46120</v>
      </c>
      <c r="B548" s="67" t="s">
        <v>1364</v>
      </c>
      <c r="C548" s="258" t="s">
        <v>130</v>
      </c>
      <c r="D548" s="68">
        <v>437.62</v>
      </c>
      <c r="E548" s="288" t="s">
        <v>212</v>
      </c>
      <c r="F548" t="s">
        <v>1173</v>
      </c>
    </row>
    <row r="549" spans="1:6" ht="15.75" customHeight="1">
      <c r="A549" s="274">
        <v>46120</v>
      </c>
      <c r="B549" s="69" t="s">
        <v>1365</v>
      </c>
      <c r="C549" s="258" t="s">
        <v>130</v>
      </c>
      <c r="D549" s="66">
        <v>187.5</v>
      </c>
      <c r="E549" s="288" t="s">
        <v>212</v>
      </c>
      <c r="F549" t="s">
        <v>1173</v>
      </c>
    </row>
    <row r="550" spans="1:6" ht="15.75" customHeight="1">
      <c r="A550" s="274">
        <v>46120</v>
      </c>
      <c r="B550" s="67" t="s">
        <v>1366</v>
      </c>
      <c r="C550" s="258" t="s">
        <v>130</v>
      </c>
      <c r="D550" s="68">
        <v>638.24</v>
      </c>
      <c r="E550" s="288" t="s">
        <v>212</v>
      </c>
      <c r="F550" t="s">
        <v>1173</v>
      </c>
    </row>
    <row r="551" spans="1:6" ht="15.75" customHeight="1">
      <c r="A551" s="274">
        <v>46120</v>
      </c>
      <c r="B551" s="69" t="s">
        <v>1367</v>
      </c>
      <c r="C551" s="258" t="s">
        <v>130</v>
      </c>
      <c r="D551" s="66">
        <v>399.84</v>
      </c>
      <c r="E551" s="288" t="s">
        <v>212</v>
      </c>
      <c r="F551" t="s">
        <v>1173</v>
      </c>
    </row>
    <row r="552" spans="1:6" ht="15.75" customHeight="1">
      <c r="A552" s="274">
        <v>46120</v>
      </c>
      <c r="B552" s="67" t="s">
        <v>671</v>
      </c>
      <c r="C552" s="258" t="s">
        <v>130</v>
      </c>
      <c r="D552" s="68">
        <v>2274.77</v>
      </c>
      <c r="E552" s="288" t="s">
        <v>212</v>
      </c>
      <c r="F552" t="s">
        <v>1173</v>
      </c>
    </row>
    <row r="553" spans="1:6" ht="15.75" customHeight="1">
      <c r="A553" s="274">
        <v>46120</v>
      </c>
      <c r="B553" s="69" t="s">
        <v>676</v>
      </c>
      <c r="C553" s="258" t="s">
        <v>130</v>
      </c>
      <c r="D553" s="66">
        <v>342</v>
      </c>
      <c r="E553" s="288" t="s">
        <v>212</v>
      </c>
      <c r="F553" t="s">
        <v>1173</v>
      </c>
    </row>
    <row r="554" spans="1:6" ht="15.75" customHeight="1">
      <c r="A554" s="274">
        <v>46121</v>
      </c>
      <c r="B554" s="69" t="s">
        <v>1348</v>
      </c>
      <c r="C554" s="294" t="s">
        <v>128</v>
      </c>
      <c r="D554" s="66">
        <v>12.67</v>
      </c>
      <c r="E554" s="288" t="s">
        <v>212</v>
      </c>
      <c r="F554" t="s">
        <v>1173</v>
      </c>
    </row>
    <row r="555" spans="1:6" ht="15.75" customHeight="1">
      <c r="A555" s="274">
        <v>46121</v>
      </c>
      <c r="B555" s="67" t="s">
        <v>770</v>
      </c>
      <c r="C555" s="294" t="s">
        <v>130</v>
      </c>
      <c r="D555" s="68">
        <v>573.79999999999995</v>
      </c>
      <c r="E555" s="288" t="s">
        <v>212</v>
      </c>
      <c r="F555" t="s">
        <v>1173</v>
      </c>
    </row>
    <row r="556" spans="1:6" ht="15.75" customHeight="1">
      <c r="A556" s="274">
        <v>46121</v>
      </c>
      <c r="B556" s="69" t="s">
        <v>1368</v>
      </c>
      <c r="C556" s="294" t="s">
        <v>130</v>
      </c>
      <c r="D556" s="66">
        <v>823.18</v>
      </c>
      <c r="E556" s="288" t="s">
        <v>212</v>
      </c>
      <c r="F556" t="s">
        <v>1173</v>
      </c>
    </row>
    <row r="557" spans="1:6" ht="15.75" customHeight="1">
      <c r="A557" s="274">
        <v>46121</v>
      </c>
      <c r="B557" s="67" t="s">
        <v>647</v>
      </c>
      <c r="C557" s="294" t="s">
        <v>130</v>
      </c>
      <c r="D557" s="68">
        <v>424</v>
      </c>
      <c r="E557" s="288" t="s">
        <v>212</v>
      </c>
      <c r="F557" t="s">
        <v>1173</v>
      </c>
    </row>
    <row r="558" spans="1:6" ht="15.75" customHeight="1">
      <c r="A558" s="274">
        <v>46121</v>
      </c>
      <c r="B558" s="69" t="s">
        <v>1352</v>
      </c>
      <c r="C558" s="294" t="s">
        <v>130</v>
      </c>
      <c r="D558" s="66">
        <v>215.13</v>
      </c>
      <c r="E558" s="288" t="s">
        <v>212</v>
      </c>
      <c r="F558" t="s">
        <v>1173</v>
      </c>
    </row>
    <row r="559" spans="1:6" ht="15.75" customHeight="1">
      <c r="A559" s="274">
        <v>46121</v>
      </c>
      <c r="B559" s="67" t="s">
        <v>1369</v>
      </c>
      <c r="C559" s="294" t="s">
        <v>130</v>
      </c>
      <c r="D559" s="68">
        <v>150</v>
      </c>
      <c r="E559" s="288" t="s">
        <v>212</v>
      </c>
      <c r="F559" t="s">
        <v>1173</v>
      </c>
    </row>
    <row r="560" spans="1:6" ht="15.75" customHeight="1">
      <c r="A560" s="274">
        <v>46121</v>
      </c>
      <c r="B560" s="69" t="s">
        <v>786</v>
      </c>
      <c r="C560" s="294" t="s">
        <v>130</v>
      </c>
      <c r="D560" s="66">
        <v>614.54999999999995</v>
      </c>
      <c r="E560" s="288" t="s">
        <v>212</v>
      </c>
      <c r="F560" t="s">
        <v>1173</v>
      </c>
    </row>
    <row r="561" spans="1:6" ht="15.75" customHeight="1">
      <c r="A561" s="274">
        <v>46122</v>
      </c>
      <c r="B561" s="69" t="s">
        <v>733</v>
      </c>
      <c r="C561" s="258" t="s">
        <v>145</v>
      </c>
      <c r="D561" s="66">
        <v>175.9</v>
      </c>
      <c r="E561" s="288" t="s">
        <v>212</v>
      </c>
      <c r="F561" t="s">
        <v>1173</v>
      </c>
    </row>
    <row r="562" spans="1:6" ht="15.75" customHeight="1">
      <c r="A562" s="274">
        <v>46122</v>
      </c>
      <c r="B562" s="69" t="s">
        <v>787</v>
      </c>
      <c r="C562" s="258" t="s">
        <v>122</v>
      </c>
      <c r="D562" s="66">
        <v>931.74</v>
      </c>
      <c r="E562" s="288" t="s">
        <v>212</v>
      </c>
      <c r="F562" t="s">
        <v>1173</v>
      </c>
    </row>
    <row r="563" spans="1:6" ht="15.75" customHeight="1">
      <c r="A563" s="274">
        <v>46122</v>
      </c>
      <c r="B563" s="67" t="s">
        <v>1370</v>
      </c>
      <c r="C563" s="258" t="s">
        <v>132</v>
      </c>
      <c r="D563" s="68">
        <v>65.37</v>
      </c>
      <c r="E563" s="288" t="s">
        <v>212</v>
      </c>
      <c r="F563" t="s">
        <v>1173</v>
      </c>
    </row>
    <row r="564" spans="1:6" ht="15.75" customHeight="1">
      <c r="A564" s="274">
        <v>46122</v>
      </c>
      <c r="B564" s="69" t="s">
        <v>769</v>
      </c>
      <c r="C564" s="258" t="s">
        <v>130</v>
      </c>
      <c r="D564" s="66">
        <v>142.5</v>
      </c>
      <c r="E564" s="288" t="s">
        <v>212</v>
      </c>
      <c r="F564" t="s">
        <v>1173</v>
      </c>
    </row>
    <row r="565" spans="1:6" ht="15.75" customHeight="1">
      <c r="A565" s="274">
        <v>46122</v>
      </c>
      <c r="B565" s="67" t="s">
        <v>761</v>
      </c>
      <c r="C565" s="258" t="s">
        <v>130</v>
      </c>
      <c r="D565" s="68">
        <v>384.75</v>
      </c>
      <c r="E565" s="288" t="s">
        <v>212</v>
      </c>
      <c r="F565" t="s">
        <v>1173</v>
      </c>
    </row>
    <row r="566" spans="1:6" ht="15.75" customHeight="1">
      <c r="A566" s="274">
        <v>46122</v>
      </c>
      <c r="B566" s="69" t="s">
        <v>1371</v>
      </c>
      <c r="C566" s="258" t="s">
        <v>130</v>
      </c>
      <c r="D566" s="66">
        <v>2620.16</v>
      </c>
      <c r="E566" s="288" t="s">
        <v>212</v>
      </c>
      <c r="F566" t="s">
        <v>1173</v>
      </c>
    </row>
    <row r="567" spans="1:6" ht="15.75" customHeight="1">
      <c r="A567" s="274">
        <v>46122</v>
      </c>
      <c r="B567" s="67" t="s">
        <v>1365</v>
      </c>
      <c r="C567" s="258" t="s">
        <v>130</v>
      </c>
      <c r="D567" s="68">
        <v>150</v>
      </c>
      <c r="E567" s="288" t="s">
        <v>212</v>
      </c>
      <c r="F567" t="s">
        <v>1173</v>
      </c>
    </row>
    <row r="568" spans="1:6" ht="15.75" customHeight="1">
      <c r="A568" s="274">
        <v>46122</v>
      </c>
      <c r="B568" s="69" t="s">
        <v>1366</v>
      </c>
      <c r="C568" s="258" t="s">
        <v>130</v>
      </c>
      <c r="D568" s="66">
        <v>573.72</v>
      </c>
      <c r="E568" s="288" t="s">
        <v>212</v>
      </c>
      <c r="F568" t="s">
        <v>1173</v>
      </c>
    </row>
    <row r="569" spans="1:6" ht="15.75" customHeight="1">
      <c r="A569" s="274">
        <v>46122</v>
      </c>
      <c r="B569" s="67" t="s">
        <v>1352</v>
      </c>
      <c r="C569" s="258" t="s">
        <v>130</v>
      </c>
      <c r="D569" s="68">
        <v>665.63</v>
      </c>
      <c r="E569" s="288" t="s">
        <v>212</v>
      </c>
      <c r="F569" t="s">
        <v>1173</v>
      </c>
    </row>
    <row r="570" spans="1:6" ht="15.75" customHeight="1">
      <c r="A570" s="274">
        <v>46122</v>
      </c>
      <c r="B570" s="69" t="s">
        <v>1372</v>
      </c>
      <c r="C570" s="258" t="s">
        <v>130</v>
      </c>
      <c r="D570" s="66">
        <v>1920.46</v>
      </c>
      <c r="E570" s="288" t="s">
        <v>212</v>
      </c>
      <c r="F570" t="s">
        <v>1173</v>
      </c>
    </row>
    <row r="571" spans="1:6" ht="15.75" customHeight="1">
      <c r="A571" s="274">
        <v>46122</v>
      </c>
      <c r="B571" s="67" t="s">
        <v>1373</v>
      </c>
      <c r="C571" s="258" t="s">
        <v>130</v>
      </c>
      <c r="D571" s="68">
        <v>577.5</v>
      </c>
      <c r="E571" s="288" t="s">
        <v>212</v>
      </c>
      <c r="F571" t="s">
        <v>1173</v>
      </c>
    </row>
    <row r="572" spans="1:6" ht="15.75" customHeight="1">
      <c r="A572" s="274">
        <v>46122</v>
      </c>
      <c r="B572" s="258" t="s">
        <v>154</v>
      </c>
      <c r="C572" s="258" t="s">
        <v>147</v>
      </c>
      <c r="D572" s="261">
        <v>8000</v>
      </c>
      <c r="E572" s="288" t="s">
        <v>212</v>
      </c>
      <c r="F572" t="s">
        <v>1173</v>
      </c>
    </row>
    <row r="573" spans="1:6" ht="15.75" customHeight="1">
      <c r="A573" s="274">
        <v>46122</v>
      </c>
      <c r="B573" s="258" t="s">
        <v>1348</v>
      </c>
      <c r="C573" s="258" t="s">
        <v>128</v>
      </c>
      <c r="D573" s="261">
        <v>12.67</v>
      </c>
      <c r="E573" s="288" t="s">
        <v>212</v>
      </c>
      <c r="F573" t="s">
        <v>1173</v>
      </c>
    </row>
    <row r="574" spans="1:6" ht="15.75" customHeight="1">
      <c r="A574" s="274">
        <v>46125</v>
      </c>
      <c r="B574" s="295" t="s">
        <v>1374</v>
      </c>
      <c r="C574" s="295" t="s">
        <v>149</v>
      </c>
      <c r="D574" s="296">
        <v>25246.44</v>
      </c>
      <c r="E574" s="288" t="s">
        <v>212</v>
      </c>
      <c r="F574" t="s">
        <v>1173</v>
      </c>
    </row>
    <row r="575" spans="1:6" ht="15.75" customHeight="1">
      <c r="A575" s="274">
        <v>46125</v>
      </c>
      <c r="B575" s="258" t="s">
        <v>693</v>
      </c>
      <c r="C575" s="258" t="s">
        <v>130</v>
      </c>
      <c r="D575" s="261">
        <v>3137.75</v>
      </c>
      <c r="E575" s="288" t="s">
        <v>212</v>
      </c>
      <c r="F575" t="s">
        <v>1173</v>
      </c>
    </row>
    <row r="576" spans="1:6" ht="15.75" customHeight="1">
      <c r="A576" s="274">
        <v>46125</v>
      </c>
      <c r="B576" s="258" t="s">
        <v>716</v>
      </c>
      <c r="C576" s="258" t="s">
        <v>130</v>
      </c>
      <c r="D576" s="261">
        <v>531.32000000000005</v>
      </c>
      <c r="E576" s="288" t="s">
        <v>212</v>
      </c>
      <c r="F576" t="s">
        <v>1173</v>
      </c>
    </row>
    <row r="577" spans="1:6" ht="15.75" customHeight="1">
      <c r="A577" s="274">
        <v>46125</v>
      </c>
      <c r="B577" s="258" t="s">
        <v>716</v>
      </c>
      <c r="C577" s="258" t="s">
        <v>130</v>
      </c>
      <c r="D577" s="261">
        <v>496.89</v>
      </c>
      <c r="E577" s="288" t="s">
        <v>212</v>
      </c>
      <c r="F577" t="s">
        <v>1173</v>
      </c>
    </row>
    <row r="578" spans="1:6" ht="15.75" customHeight="1">
      <c r="A578" s="274">
        <v>46125</v>
      </c>
      <c r="B578" s="258" t="s">
        <v>716</v>
      </c>
      <c r="C578" s="258" t="s">
        <v>130</v>
      </c>
      <c r="D578" s="261">
        <v>528.44000000000005</v>
      </c>
      <c r="E578" s="288" t="s">
        <v>212</v>
      </c>
      <c r="F578" t="s">
        <v>1173</v>
      </c>
    </row>
    <row r="579" spans="1:6" ht="15.75" customHeight="1">
      <c r="A579" s="274">
        <v>46125</v>
      </c>
      <c r="B579" s="258" t="s">
        <v>716</v>
      </c>
      <c r="C579" s="258" t="s">
        <v>130</v>
      </c>
      <c r="D579" s="261">
        <v>577.09</v>
      </c>
      <c r="E579" s="288" t="s">
        <v>212</v>
      </c>
      <c r="F579" t="s">
        <v>1173</v>
      </c>
    </row>
    <row r="580" spans="1:6" ht="15.75" customHeight="1">
      <c r="A580" s="274">
        <v>46125</v>
      </c>
      <c r="B580" s="258" t="s">
        <v>716</v>
      </c>
      <c r="C580" s="258" t="s">
        <v>130</v>
      </c>
      <c r="D580" s="261">
        <v>478.91</v>
      </c>
      <c r="E580" s="288" t="s">
        <v>212</v>
      </c>
      <c r="F580" t="s">
        <v>1173</v>
      </c>
    </row>
    <row r="581" spans="1:6" ht="15.75" customHeight="1">
      <c r="A581" s="274">
        <v>46125</v>
      </c>
      <c r="B581" s="258" t="s">
        <v>129</v>
      </c>
      <c r="C581" s="258" t="s">
        <v>130</v>
      </c>
      <c r="D581" s="261">
        <v>575.33000000000004</v>
      </c>
      <c r="E581" s="288" t="s">
        <v>212</v>
      </c>
      <c r="F581" t="s">
        <v>1173</v>
      </c>
    </row>
    <row r="582" spans="1:6" ht="15.75" customHeight="1">
      <c r="A582" s="274">
        <v>46125</v>
      </c>
      <c r="B582" s="258" t="s">
        <v>654</v>
      </c>
      <c r="C582" s="258" t="s">
        <v>130</v>
      </c>
      <c r="D582" s="261">
        <v>707.05</v>
      </c>
      <c r="E582" s="288" t="s">
        <v>212</v>
      </c>
      <c r="F582" t="s">
        <v>1173</v>
      </c>
    </row>
    <row r="583" spans="1:6" ht="15.75" customHeight="1">
      <c r="A583" s="274">
        <v>46125</v>
      </c>
      <c r="B583" s="258" t="s">
        <v>1352</v>
      </c>
      <c r="C583" s="258" t="s">
        <v>130</v>
      </c>
      <c r="D583" s="261">
        <v>464.02</v>
      </c>
      <c r="E583" s="288" t="s">
        <v>212</v>
      </c>
      <c r="F583" t="s">
        <v>1173</v>
      </c>
    </row>
    <row r="584" spans="1:6" ht="15.75" customHeight="1">
      <c r="A584" s="274">
        <v>46125</v>
      </c>
      <c r="B584" s="258" t="s">
        <v>129</v>
      </c>
      <c r="C584" s="258" t="s">
        <v>130</v>
      </c>
      <c r="D584" s="261">
        <v>772.73</v>
      </c>
      <c r="E584" s="288" t="s">
        <v>212</v>
      </c>
      <c r="F584" t="s">
        <v>1173</v>
      </c>
    </row>
    <row r="585" spans="1:6" ht="15.75" customHeight="1">
      <c r="A585" s="274">
        <v>46125</v>
      </c>
      <c r="B585" s="258" t="s">
        <v>715</v>
      </c>
      <c r="C585" s="258" t="s">
        <v>130</v>
      </c>
      <c r="D585" s="261">
        <v>422.52</v>
      </c>
      <c r="E585" s="288" t="s">
        <v>212</v>
      </c>
      <c r="F585" t="s">
        <v>1173</v>
      </c>
    </row>
    <row r="586" spans="1:6" ht="15.75" customHeight="1">
      <c r="A586" s="274">
        <v>46125</v>
      </c>
      <c r="B586" s="258" t="s">
        <v>473</v>
      </c>
      <c r="C586" s="258" t="s">
        <v>130</v>
      </c>
      <c r="D586" s="261">
        <v>424.9</v>
      </c>
      <c r="E586" s="288" t="s">
        <v>212</v>
      </c>
      <c r="F586" t="s">
        <v>1173</v>
      </c>
    </row>
    <row r="587" spans="1:6" ht="15.75" customHeight="1">
      <c r="A587" s="274">
        <v>46125</v>
      </c>
      <c r="B587" s="258" t="s">
        <v>807</v>
      </c>
      <c r="C587" s="258" t="s">
        <v>130</v>
      </c>
      <c r="D587" s="261">
        <v>186</v>
      </c>
      <c r="E587" s="288" t="s">
        <v>212</v>
      </c>
      <c r="F587" t="s">
        <v>1173</v>
      </c>
    </row>
    <row r="588" spans="1:6" ht="15.75" customHeight="1">
      <c r="A588" s="274">
        <v>46125</v>
      </c>
      <c r="B588" s="258" t="s">
        <v>1375</v>
      </c>
      <c r="C588" s="258" t="s">
        <v>130</v>
      </c>
      <c r="D588" s="261">
        <v>951.78</v>
      </c>
      <c r="E588" s="288" t="s">
        <v>212</v>
      </c>
      <c r="F588" t="s">
        <v>1173</v>
      </c>
    </row>
    <row r="589" spans="1:6" ht="15.75" customHeight="1">
      <c r="A589" s="274">
        <v>46125</v>
      </c>
      <c r="B589" s="63" t="s">
        <v>1348</v>
      </c>
      <c r="C589" s="62" t="s">
        <v>128</v>
      </c>
      <c r="D589" s="64">
        <v>18.100000000000001</v>
      </c>
      <c r="E589" s="288" t="s">
        <v>212</v>
      </c>
      <c r="F589" t="s">
        <v>1173</v>
      </c>
    </row>
    <row r="590" spans="1:6" ht="15.75" customHeight="1">
      <c r="A590" s="274">
        <v>46126</v>
      </c>
      <c r="B590" s="258" t="s">
        <v>1376</v>
      </c>
      <c r="C590" s="258" t="s">
        <v>130</v>
      </c>
      <c r="D590" s="261">
        <v>499.8</v>
      </c>
      <c r="E590" s="288" t="s">
        <v>212</v>
      </c>
      <c r="F590" t="s">
        <v>1173</v>
      </c>
    </row>
    <row r="591" spans="1:6" ht="15.75" customHeight="1">
      <c r="A591" s="274">
        <v>46126</v>
      </c>
      <c r="B591" s="258" t="s">
        <v>1348</v>
      </c>
      <c r="C591" s="258" t="s">
        <v>128</v>
      </c>
      <c r="D591" s="261">
        <v>5.43</v>
      </c>
      <c r="E591" s="288" t="s">
        <v>212</v>
      </c>
      <c r="F591" t="s">
        <v>1173</v>
      </c>
    </row>
    <row r="592" spans="1:6" ht="15.75" customHeight="1">
      <c r="A592" s="274">
        <v>46126</v>
      </c>
      <c r="B592" s="63" t="s">
        <v>1377</v>
      </c>
      <c r="C592" s="258" t="s">
        <v>130</v>
      </c>
      <c r="D592" s="261">
        <v>151.69999999999999</v>
      </c>
      <c r="E592" s="288" t="s">
        <v>212</v>
      </c>
      <c r="F592" t="s">
        <v>1173</v>
      </c>
    </row>
    <row r="593" spans="1:6" ht="15.75" customHeight="1">
      <c r="A593" s="274">
        <v>46127</v>
      </c>
      <c r="B593" s="63" t="s">
        <v>716</v>
      </c>
      <c r="C593" s="258" t="s">
        <v>130</v>
      </c>
      <c r="D593" s="261">
        <v>436.24</v>
      </c>
      <c r="E593" s="288" t="s">
        <v>212</v>
      </c>
      <c r="F593" t="s">
        <v>1173</v>
      </c>
    </row>
    <row r="594" spans="1:6" ht="15.75" customHeight="1">
      <c r="A594" s="274">
        <v>46127</v>
      </c>
      <c r="B594" s="258" t="s">
        <v>1365</v>
      </c>
      <c r="C594" s="258" t="s">
        <v>130</v>
      </c>
      <c r="D594" s="261">
        <v>187.5</v>
      </c>
      <c r="E594" s="288" t="s">
        <v>212</v>
      </c>
      <c r="F594" t="s">
        <v>1173</v>
      </c>
    </row>
    <row r="595" spans="1:6" ht="15.75" customHeight="1">
      <c r="A595" s="274">
        <v>46127</v>
      </c>
      <c r="B595" s="258" t="s">
        <v>1367</v>
      </c>
      <c r="C595" s="258" t="s">
        <v>130</v>
      </c>
      <c r="D595" s="261">
        <v>399.84</v>
      </c>
      <c r="E595" s="288" t="s">
        <v>212</v>
      </c>
      <c r="F595" t="s">
        <v>1173</v>
      </c>
    </row>
    <row r="596" spans="1:6" ht="15.75" customHeight="1">
      <c r="A596" s="274">
        <v>46127</v>
      </c>
      <c r="B596" s="258" t="s">
        <v>129</v>
      </c>
      <c r="C596" s="258" t="s">
        <v>130</v>
      </c>
      <c r="D596" s="261">
        <v>598</v>
      </c>
      <c r="E596" s="288" t="s">
        <v>212</v>
      </c>
      <c r="F596" t="s">
        <v>1173</v>
      </c>
    </row>
    <row r="597" spans="1:6" ht="15.75" customHeight="1">
      <c r="A597" s="274">
        <v>46127</v>
      </c>
      <c r="B597" s="258" t="s">
        <v>1352</v>
      </c>
      <c r="C597" s="258" t="s">
        <v>130</v>
      </c>
      <c r="D597" s="261">
        <v>789.17</v>
      </c>
      <c r="E597" s="288" t="s">
        <v>212</v>
      </c>
      <c r="F597" t="s">
        <v>1173</v>
      </c>
    </row>
    <row r="598" spans="1:6" ht="15.75" customHeight="1">
      <c r="A598" s="274">
        <v>46127</v>
      </c>
      <c r="B598" s="258" t="s">
        <v>1352</v>
      </c>
      <c r="C598" s="258" t="s">
        <v>130</v>
      </c>
      <c r="D598" s="261">
        <v>263.06</v>
      </c>
      <c r="E598" s="288" t="s">
        <v>212</v>
      </c>
      <c r="F598" t="s">
        <v>1173</v>
      </c>
    </row>
    <row r="599" spans="1:6" ht="15.75" customHeight="1">
      <c r="A599" s="274">
        <v>46127</v>
      </c>
      <c r="B599" s="258" t="s">
        <v>1352</v>
      </c>
      <c r="C599" s="258" t="s">
        <v>130</v>
      </c>
      <c r="D599" s="261">
        <v>143.78</v>
      </c>
      <c r="E599" s="288" t="s">
        <v>212</v>
      </c>
      <c r="F599" t="s">
        <v>1173</v>
      </c>
    </row>
    <row r="600" spans="1:6" ht="15.75" customHeight="1">
      <c r="A600" s="274">
        <v>46127</v>
      </c>
      <c r="B600" s="69" t="s">
        <v>144</v>
      </c>
      <c r="C600" s="258" t="s">
        <v>145</v>
      </c>
      <c r="D600" s="66">
        <v>612</v>
      </c>
      <c r="E600" s="288" t="s">
        <v>212</v>
      </c>
      <c r="F600" t="s">
        <v>1173</v>
      </c>
    </row>
    <row r="601" spans="1:6" ht="15.75" customHeight="1">
      <c r="A601" s="274">
        <v>46127</v>
      </c>
      <c r="B601" s="258" t="s">
        <v>1348</v>
      </c>
      <c r="C601" s="258" t="s">
        <v>128</v>
      </c>
      <c r="D601" s="297">
        <v>9.0500000000000007</v>
      </c>
      <c r="E601" s="288" t="s">
        <v>212</v>
      </c>
      <c r="F601" t="s">
        <v>1173</v>
      </c>
    </row>
    <row r="602" spans="1:6" ht="15.75" customHeight="1">
      <c r="A602" s="274">
        <v>46128</v>
      </c>
      <c r="B602" s="258" t="s">
        <v>771</v>
      </c>
      <c r="C602" s="258" t="s">
        <v>130</v>
      </c>
      <c r="D602" s="297">
        <v>596.66</v>
      </c>
      <c r="E602" s="288" t="s">
        <v>212</v>
      </c>
      <c r="F602" t="s">
        <v>1173</v>
      </c>
    </row>
    <row r="603" spans="1:6" ht="15.75" customHeight="1">
      <c r="A603" s="274">
        <v>46128</v>
      </c>
      <c r="B603" s="258" t="s">
        <v>1378</v>
      </c>
      <c r="C603" s="258" t="s">
        <v>130</v>
      </c>
      <c r="D603" s="297">
        <v>1495</v>
      </c>
      <c r="E603" s="288" t="s">
        <v>212</v>
      </c>
      <c r="F603" t="s">
        <v>1173</v>
      </c>
    </row>
    <row r="604" spans="1:6" ht="15.75" customHeight="1">
      <c r="A604" s="274">
        <v>46128</v>
      </c>
      <c r="B604" s="258" t="s">
        <v>803</v>
      </c>
      <c r="C604" s="258" t="s">
        <v>130</v>
      </c>
      <c r="D604" s="297">
        <v>874.84</v>
      </c>
      <c r="E604" s="288" t="s">
        <v>212</v>
      </c>
      <c r="F604" t="s">
        <v>1173</v>
      </c>
    </row>
    <row r="605" spans="1:6" ht="15.75" customHeight="1">
      <c r="A605" s="274">
        <v>46128</v>
      </c>
      <c r="B605" s="258" t="s">
        <v>803</v>
      </c>
      <c r="C605" s="258" t="s">
        <v>130</v>
      </c>
      <c r="D605" s="297">
        <v>271.48</v>
      </c>
      <c r="E605" s="288" t="s">
        <v>212</v>
      </c>
      <c r="F605" t="s">
        <v>1173</v>
      </c>
    </row>
    <row r="606" spans="1:6" ht="15.75" customHeight="1">
      <c r="A606" s="274">
        <v>46128</v>
      </c>
      <c r="B606" s="258" t="s">
        <v>809</v>
      </c>
      <c r="C606" s="258" t="s">
        <v>130</v>
      </c>
      <c r="D606" s="297">
        <v>800</v>
      </c>
      <c r="E606" s="288" t="s">
        <v>212</v>
      </c>
      <c r="F606" t="s">
        <v>1173</v>
      </c>
    </row>
    <row r="607" spans="1:6" ht="15.75" customHeight="1">
      <c r="A607" s="274">
        <v>46128</v>
      </c>
      <c r="B607" s="258" t="s">
        <v>1353</v>
      </c>
      <c r="C607" s="258" t="s">
        <v>130</v>
      </c>
      <c r="D607" s="297">
        <v>920.68</v>
      </c>
      <c r="E607" s="288" t="s">
        <v>212</v>
      </c>
      <c r="F607" t="s">
        <v>1173</v>
      </c>
    </row>
    <row r="608" spans="1:6" ht="15.75" customHeight="1">
      <c r="A608" s="274">
        <v>46128</v>
      </c>
      <c r="B608" s="258" t="s">
        <v>1379</v>
      </c>
      <c r="C608" s="258" t="s">
        <v>130</v>
      </c>
      <c r="D608" s="297">
        <v>348</v>
      </c>
      <c r="E608" s="288" t="s">
        <v>212</v>
      </c>
      <c r="F608" t="s">
        <v>1173</v>
      </c>
    </row>
    <row r="609" spans="1:6" ht="15.75" customHeight="1">
      <c r="A609" s="274">
        <v>46128</v>
      </c>
      <c r="B609" s="258" t="s">
        <v>774</v>
      </c>
      <c r="C609" s="258" t="s">
        <v>130</v>
      </c>
      <c r="D609" s="297">
        <v>259.7</v>
      </c>
      <c r="E609" s="288" t="s">
        <v>212</v>
      </c>
      <c r="F609" t="s">
        <v>1173</v>
      </c>
    </row>
    <row r="610" spans="1:6" ht="15.75" customHeight="1">
      <c r="A610" s="274">
        <v>46128</v>
      </c>
      <c r="B610" s="258" t="s">
        <v>1380</v>
      </c>
      <c r="C610" s="258" t="s">
        <v>130</v>
      </c>
      <c r="D610" s="297">
        <v>1100</v>
      </c>
      <c r="E610" s="288" t="s">
        <v>212</v>
      </c>
      <c r="F610" t="s">
        <v>1173</v>
      </c>
    </row>
    <row r="611" spans="1:6" ht="15.75" customHeight="1">
      <c r="A611" s="274">
        <v>46128</v>
      </c>
      <c r="B611" s="258" t="s">
        <v>1381</v>
      </c>
      <c r="C611" s="258" t="s">
        <v>130</v>
      </c>
      <c r="D611" s="297">
        <v>419.68</v>
      </c>
      <c r="E611" s="288" t="s">
        <v>212</v>
      </c>
      <c r="F611" t="s">
        <v>1173</v>
      </c>
    </row>
    <row r="612" spans="1:6" ht="15.75" customHeight="1">
      <c r="A612" s="274">
        <v>46128</v>
      </c>
      <c r="B612" s="258" t="s">
        <v>1352</v>
      </c>
      <c r="C612" s="258" t="s">
        <v>130</v>
      </c>
      <c r="D612" s="297">
        <v>143.78</v>
      </c>
      <c r="E612" s="288" t="s">
        <v>212</v>
      </c>
      <c r="F612" t="s">
        <v>1173</v>
      </c>
    </row>
    <row r="613" spans="1:6" ht="15.75" customHeight="1">
      <c r="A613" s="274">
        <v>46128</v>
      </c>
      <c r="B613" s="258" t="s">
        <v>653</v>
      </c>
      <c r="C613" s="258" t="s">
        <v>130</v>
      </c>
      <c r="D613" s="297">
        <v>193.2</v>
      </c>
      <c r="E613" s="288" t="s">
        <v>212</v>
      </c>
      <c r="F613" t="s">
        <v>1173</v>
      </c>
    </row>
    <row r="614" spans="1:6" ht="15.75" customHeight="1">
      <c r="A614" s="274">
        <v>46128</v>
      </c>
      <c r="B614" s="258" t="s">
        <v>183</v>
      </c>
      <c r="C614" s="258" t="s">
        <v>130</v>
      </c>
      <c r="D614" s="297">
        <v>168</v>
      </c>
      <c r="E614" s="288" t="s">
        <v>212</v>
      </c>
      <c r="F614" t="s">
        <v>1173</v>
      </c>
    </row>
    <row r="615" spans="1:6" ht="15.75" customHeight="1">
      <c r="A615" s="274">
        <v>46128</v>
      </c>
      <c r="B615" s="258" t="s">
        <v>1348</v>
      </c>
      <c r="C615" s="258" t="s">
        <v>128</v>
      </c>
      <c r="D615" s="297">
        <v>7.24</v>
      </c>
      <c r="E615" s="288" t="s">
        <v>212</v>
      </c>
      <c r="F615" t="s">
        <v>1173</v>
      </c>
    </row>
    <row r="616" spans="1:6" ht="15.75" customHeight="1">
      <c r="A616" s="274">
        <v>46128</v>
      </c>
      <c r="B616" s="258" t="s">
        <v>716</v>
      </c>
      <c r="C616" s="258" t="s">
        <v>130</v>
      </c>
      <c r="D616" s="297">
        <v>673.57</v>
      </c>
      <c r="E616" s="288" t="s">
        <v>212</v>
      </c>
      <c r="F616" t="s">
        <v>1173</v>
      </c>
    </row>
    <row r="617" spans="1:6" ht="15.75" customHeight="1">
      <c r="A617" s="274">
        <v>46128</v>
      </c>
      <c r="B617" s="258" t="s">
        <v>1372</v>
      </c>
      <c r="C617" s="258" t="s">
        <v>130</v>
      </c>
      <c r="D617" s="297">
        <v>1312.5</v>
      </c>
      <c r="E617" s="288" t="s">
        <v>212</v>
      </c>
      <c r="F617" t="s">
        <v>1173</v>
      </c>
    </row>
    <row r="618" spans="1:6" ht="15.75" customHeight="1">
      <c r="A618" s="274">
        <v>46128</v>
      </c>
      <c r="B618" s="258" t="s">
        <v>653</v>
      </c>
      <c r="C618" s="258" t="s">
        <v>130</v>
      </c>
      <c r="D618" s="297">
        <v>609.6</v>
      </c>
      <c r="E618" s="288" t="s">
        <v>212</v>
      </c>
      <c r="F618" t="s">
        <v>1173</v>
      </c>
    </row>
    <row r="619" spans="1:6" ht="15.75" customHeight="1">
      <c r="A619" s="274">
        <v>46128</v>
      </c>
      <c r="B619" s="258" t="s">
        <v>129</v>
      </c>
      <c r="C619" s="258" t="s">
        <v>130</v>
      </c>
      <c r="D619" s="297">
        <v>683.6</v>
      </c>
      <c r="E619" s="288" t="s">
        <v>212</v>
      </c>
      <c r="F619" t="s">
        <v>1173</v>
      </c>
    </row>
    <row r="620" spans="1:6" ht="15.75" customHeight="1">
      <c r="A620" s="274">
        <v>46128</v>
      </c>
      <c r="B620" s="258" t="s">
        <v>1375</v>
      </c>
      <c r="C620" s="258" t="s">
        <v>130</v>
      </c>
      <c r="D620" s="297">
        <v>507</v>
      </c>
      <c r="E620" s="288" t="s">
        <v>212</v>
      </c>
      <c r="F620" t="s">
        <v>1173</v>
      </c>
    </row>
    <row r="621" spans="1:6" ht="15.75" customHeight="1">
      <c r="A621" s="274">
        <v>46128</v>
      </c>
      <c r="B621" s="258" t="s">
        <v>1382</v>
      </c>
      <c r="C621" s="258" t="s">
        <v>130</v>
      </c>
      <c r="D621" s="297">
        <v>385</v>
      </c>
      <c r="E621" s="288" t="s">
        <v>212</v>
      </c>
      <c r="F621" t="s">
        <v>1173</v>
      </c>
    </row>
    <row r="622" spans="1:6" ht="15.75" customHeight="1">
      <c r="A622" s="274">
        <v>46128</v>
      </c>
      <c r="B622" s="258" t="s">
        <v>1383</v>
      </c>
      <c r="C622" s="258" t="s">
        <v>130</v>
      </c>
      <c r="D622" s="297">
        <v>1708.05</v>
      </c>
      <c r="E622" s="288" t="s">
        <v>212</v>
      </c>
      <c r="F622" t="s">
        <v>1173</v>
      </c>
    </row>
    <row r="623" spans="1:6" ht="15.75" customHeight="1">
      <c r="A623" s="298">
        <v>46129</v>
      </c>
      <c r="B623" s="299" t="s">
        <v>1348</v>
      </c>
      <c r="C623" s="299" t="s">
        <v>128</v>
      </c>
      <c r="D623" s="300">
        <v>14.48</v>
      </c>
      <c r="E623" s="288" t="s">
        <v>212</v>
      </c>
      <c r="F623" t="s">
        <v>1173</v>
      </c>
    </row>
    <row r="624" spans="1:6" ht="15.75" customHeight="1">
      <c r="A624" s="298">
        <v>46132</v>
      </c>
      <c r="B624" s="299" t="s">
        <v>1348</v>
      </c>
      <c r="C624" s="299" t="s">
        <v>128</v>
      </c>
      <c r="D624" s="300">
        <v>20</v>
      </c>
      <c r="E624" s="288" t="s">
        <v>212</v>
      </c>
      <c r="F624" t="s">
        <v>1173</v>
      </c>
    </row>
    <row r="625" spans="1:6" ht="15.75" customHeight="1">
      <c r="A625" s="298">
        <v>46132</v>
      </c>
      <c r="B625" s="299" t="s">
        <v>148</v>
      </c>
      <c r="C625" s="299" t="s">
        <v>149</v>
      </c>
      <c r="D625" s="300">
        <v>20749.05</v>
      </c>
      <c r="E625" s="288" t="s">
        <v>212</v>
      </c>
      <c r="F625" t="s">
        <v>1173</v>
      </c>
    </row>
    <row r="626" spans="1:6" ht="15.75" customHeight="1">
      <c r="A626" s="298">
        <v>46132</v>
      </c>
      <c r="B626" s="299" t="s">
        <v>1384</v>
      </c>
      <c r="C626" s="299" t="s">
        <v>132</v>
      </c>
      <c r="D626" s="300">
        <v>855.2</v>
      </c>
      <c r="E626" s="288" t="s">
        <v>212</v>
      </c>
      <c r="F626" t="s">
        <v>1173</v>
      </c>
    </row>
    <row r="627" spans="1:6" ht="15.75" customHeight="1">
      <c r="A627" s="298">
        <v>46132</v>
      </c>
      <c r="B627" s="299" t="s">
        <v>1385</v>
      </c>
      <c r="C627" s="299" t="s">
        <v>132</v>
      </c>
      <c r="D627" s="300">
        <v>720</v>
      </c>
      <c r="E627" s="288" t="s">
        <v>212</v>
      </c>
      <c r="F627" t="s">
        <v>1173</v>
      </c>
    </row>
    <row r="628" spans="1:6" ht="15.75" customHeight="1">
      <c r="A628" s="298">
        <v>46132</v>
      </c>
      <c r="B628" s="299" t="s">
        <v>694</v>
      </c>
      <c r="C628" s="299" t="s">
        <v>132</v>
      </c>
      <c r="D628" s="300">
        <v>573.26</v>
      </c>
      <c r="E628" s="288" t="s">
        <v>212</v>
      </c>
      <c r="F628" t="s">
        <v>1173</v>
      </c>
    </row>
    <row r="629" spans="1:6" ht="15.75" customHeight="1">
      <c r="A629" s="298">
        <v>46132</v>
      </c>
      <c r="B629" s="301" t="s">
        <v>696</v>
      </c>
      <c r="C629" s="299" t="s">
        <v>149</v>
      </c>
      <c r="D629" s="302">
        <v>1067.8399999999999</v>
      </c>
      <c r="E629" s="288" t="s">
        <v>212</v>
      </c>
      <c r="F629" t="s">
        <v>1173</v>
      </c>
    </row>
    <row r="630" spans="1:6" ht="15.75" customHeight="1">
      <c r="A630" s="298">
        <v>46132</v>
      </c>
      <c r="B630" s="301" t="s">
        <v>715</v>
      </c>
      <c r="C630" s="299" t="s">
        <v>130</v>
      </c>
      <c r="D630" s="302">
        <v>386.5</v>
      </c>
      <c r="E630" s="288" t="s">
        <v>212</v>
      </c>
      <c r="F630" t="s">
        <v>1173</v>
      </c>
    </row>
    <row r="631" spans="1:6" ht="15.75" customHeight="1">
      <c r="A631" s="298">
        <v>46132</v>
      </c>
      <c r="B631" s="301" t="s">
        <v>715</v>
      </c>
      <c r="C631" s="299" t="s">
        <v>130</v>
      </c>
      <c r="D631" s="302">
        <v>1356.82</v>
      </c>
      <c r="E631" s="288" t="s">
        <v>212</v>
      </c>
      <c r="F631" t="s">
        <v>1173</v>
      </c>
    </row>
    <row r="632" spans="1:6" ht="15.75" customHeight="1">
      <c r="A632" s="298">
        <v>46132</v>
      </c>
      <c r="B632" s="301" t="s">
        <v>774</v>
      </c>
      <c r="C632" s="299" t="s">
        <v>130</v>
      </c>
      <c r="D632" s="302">
        <v>280.89999999999998</v>
      </c>
      <c r="E632" s="288" t="s">
        <v>212</v>
      </c>
      <c r="F632" t="s">
        <v>1173</v>
      </c>
    </row>
    <row r="633" spans="1:6" ht="15.75" customHeight="1">
      <c r="A633" s="298">
        <v>46132</v>
      </c>
      <c r="B633" s="301" t="s">
        <v>1352</v>
      </c>
      <c r="C633" s="299" t="s">
        <v>130</v>
      </c>
      <c r="D633" s="302">
        <v>218.33</v>
      </c>
      <c r="E633" s="288" t="s">
        <v>212</v>
      </c>
      <c r="F633" t="s">
        <v>1173</v>
      </c>
    </row>
    <row r="634" spans="1:6" ht="15.75" customHeight="1">
      <c r="A634" s="298">
        <v>46132</v>
      </c>
      <c r="B634" s="301" t="s">
        <v>716</v>
      </c>
      <c r="C634" s="299" t="s">
        <v>130</v>
      </c>
      <c r="D634" s="302">
        <v>3773.29</v>
      </c>
      <c r="E634" s="288" t="s">
        <v>212</v>
      </c>
      <c r="F634" t="s">
        <v>1173</v>
      </c>
    </row>
    <row r="635" spans="1:6" ht="15.75" customHeight="1">
      <c r="A635" s="298">
        <v>46132</v>
      </c>
      <c r="B635" s="301" t="s">
        <v>713</v>
      </c>
      <c r="C635" s="299" t="s">
        <v>130</v>
      </c>
      <c r="D635" s="302">
        <v>342</v>
      </c>
      <c r="E635" s="288" t="s">
        <v>212</v>
      </c>
      <c r="F635" t="s">
        <v>1173</v>
      </c>
    </row>
    <row r="636" spans="1:6" ht="15.75" customHeight="1">
      <c r="A636" s="298">
        <v>46132</v>
      </c>
      <c r="B636" s="301" t="s">
        <v>698</v>
      </c>
      <c r="C636" s="299" t="s">
        <v>141</v>
      </c>
      <c r="D636" s="302">
        <v>473.47</v>
      </c>
      <c r="E636" s="288" t="s">
        <v>212</v>
      </c>
      <c r="F636" t="s">
        <v>1173</v>
      </c>
    </row>
    <row r="637" spans="1:6" ht="15.75" customHeight="1">
      <c r="A637" s="298">
        <v>46132</v>
      </c>
      <c r="B637" s="301" t="s">
        <v>698</v>
      </c>
      <c r="C637" s="299" t="s">
        <v>141</v>
      </c>
      <c r="D637" s="302">
        <v>496.24</v>
      </c>
      <c r="E637" s="288" t="s">
        <v>212</v>
      </c>
      <c r="F637" t="s">
        <v>1173</v>
      </c>
    </row>
    <row r="638" spans="1:6" ht="15.75" customHeight="1">
      <c r="A638" s="298">
        <v>46134</v>
      </c>
      <c r="B638" s="69" t="s">
        <v>809</v>
      </c>
      <c r="C638" s="258" t="s">
        <v>130</v>
      </c>
      <c r="D638" s="66">
        <v>415.53</v>
      </c>
      <c r="E638" s="288" t="s">
        <v>212</v>
      </c>
      <c r="F638" t="s">
        <v>1173</v>
      </c>
    </row>
    <row r="639" spans="1:6" ht="15.75" customHeight="1">
      <c r="A639" s="298">
        <v>46134</v>
      </c>
      <c r="B639" s="67" t="s">
        <v>807</v>
      </c>
      <c r="C639" s="258" t="s">
        <v>130</v>
      </c>
      <c r="D639" s="68">
        <v>540</v>
      </c>
      <c r="E639" s="288" t="s">
        <v>212</v>
      </c>
      <c r="F639" t="s">
        <v>1173</v>
      </c>
    </row>
    <row r="640" spans="1:6" ht="15.75" customHeight="1">
      <c r="A640" s="298">
        <v>46134</v>
      </c>
      <c r="B640" s="69" t="s">
        <v>1363</v>
      </c>
      <c r="C640" s="258" t="s">
        <v>130</v>
      </c>
      <c r="D640" s="64">
        <v>1725</v>
      </c>
      <c r="E640" s="288" t="s">
        <v>212</v>
      </c>
      <c r="F640" t="s">
        <v>1173</v>
      </c>
    </row>
    <row r="641" spans="1:6" ht="15.75" customHeight="1">
      <c r="A641" s="298">
        <v>46134</v>
      </c>
      <c r="B641" s="67" t="s">
        <v>693</v>
      </c>
      <c r="C641" s="258" t="s">
        <v>130</v>
      </c>
      <c r="D641" s="64">
        <v>2274.77</v>
      </c>
      <c r="E641" s="288" t="s">
        <v>212</v>
      </c>
      <c r="F641" t="s">
        <v>1173</v>
      </c>
    </row>
    <row r="642" spans="1:6" ht="15.75" customHeight="1">
      <c r="A642" s="298">
        <v>46134</v>
      </c>
      <c r="B642" s="69" t="s">
        <v>1353</v>
      </c>
      <c r="C642" s="258" t="s">
        <v>130</v>
      </c>
      <c r="D642" s="66">
        <v>613.78</v>
      </c>
      <c r="E642" s="288" t="s">
        <v>212</v>
      </c>
      <c r="F642" t="s">
        <v>1173</v>
      </c>
    </row>
    <row r="643" spans="1:6" ht="15.75" customHeight="1">
      <c r="A643" s="298">
        <v>46134</v>
      </c>
      <c r="B643" s="69" t="s">
        <v>1386</v>
      </c>
      <c r="C643" s="258" t="s">
        <v>130</v>
      </c>
      <c r="D643" s="66">
        <v>967.5</v>
      </c>
      <c r="E643" s="288" t="s">
        <v>212</v>
      </c>
      <c r="F643" t="s">
        <v>1173</v>
      </c>
    </row>
    <row r="644" spans="1:6" ht="15.75" customHeight="1">
      <c r="A644" s="298">
        <v>46134</v>
      </c>
      <c r="B644" s="69" t="s">
        <v>809</v>
      </c>
      <c r="C644" s="258" t="s">
        <v>130</v>
      </c>
      <c r="D644" s="66">
        <v>377.05</v>
      </c>
      <c r="E644" s="288" t="s">
        <v>212</v>
      </c>
      <c r="F644" t="s">
        <v>1173</v>
      </c>
    </row>
    <row r="645" spans="1:6" ht="15.75" customHeight="1">
      <c r="A645" s="298">
        <v>46134</v>
      </c>
      <c r="B645" s="69" t="s">
        <v>1387</v>
      </c>
      <c r="C645" s="258" t="s">
        <v>130</v>
      </c>
      <c r="D645" s="66">
        <v>2914.99</v>
      </c>
      <c r="E645" s="288" t="s">
        <v>212</v>
      </c>
      <c r="F645" t="s">
        <v>1173</v>
      </c>
    </row>
    <row r="646" spans="1:6" ht="15.75" customHeight="1">
      <c r="A646" s="298">
        <v>46134</v>
      </c>
      <c r="B646" s="67" t="s">
        <v>473</v>
      </c>
      <c r="C646" s="258" t="s">
        <v>130</v>
      </c>
      <c r="D646" s="68">
        <v>512.25</v>
      </c>
      <c r="E646" s="288" t="s">
        <v>212</v>
      </c>
      <c r="F646" t="s">
        <v>1173</v>
      </c>
    </row>
    <row r="647" spans="1:6" ht="15.75" customHeight="1">
      <c r="A647" s="298">
        <v>46134</v>
      </c>
      <c r="B647" s="69" t="s">
        <v>693</v>
      </c>
      <c r="C647" s="258" t="s">
        <v>130</v>
      </c>
      <c r="D647" s="66">
        <v>3800.77</v>
      </c>
      <c r="E647" s="288" t="s">
        <v>212</v>
      </c>
      <c r="F647" t="s">
        <v>1173</v>
      </c>
    </row>
    <row r="648" spans="1:6" ht="15.75" customHeight="1">
      <c r="A648" s="298">
        <v>46134</v>
      </c>
      <c r="B648" s="67" t="s">
        <v>693</v>
      </c>
      <c r="C648" s="258" t="s">
        <v>130</v>
      </c>
      <c r="D648" s="68">
        <v>456.91</v>
      </c>
      <c r="E648" s="288" t="s">
        <v>212</v>
      </c>
      <c r="F648" t="s">
        <v>1173</v>
      </c>
    </row>
    <row r="649" spans="1:6" ht="15.75" customHeight="1">
      <c r="A649" s="298">
        <v>46134</v>
      </c>
      <c r="B649" s="63" t="s">
        <v>129</v>
      </c>
      <c r="C649" s="258" t="s">
        <v>130</v>
      </c>
      <c r="D649" s="64">
        <v>470</v>
      </c>
      <c r="E649" s="288" t="s">
        <v>212</v>
      </c>
      <c r="F649" t="s">
        <v>1173</v>
      </c>
    </row>
    <row r="650" spans="1:6" ht="15.75" customHeight="1">
      <c r="A650" s="298">
        <v>46134</v>
      </c>
      <c r="B650" s="63" t="s">
        <v>1365</v>
      </c>
      <c r="C650" s="258" t="s">
        <v>130</v>
      </c>
      <c r="D650" s="64">
        <v>197.5</v>
      </c>
      <c r="E650" s="288" t="s">
        <v>212</v>
      </c>
      <c r="F650" t="s">
        <v>1173</v>
      </c>
    </row>
    <row r="651" spans="1:6" ht="15.75" customHeight="1">
      <c r="A651" s="298">
        <v>46134</v>
      </c>
      <c r="B651" s="63" t="s">
        <v>1348</v>
      </c>
      <c r="C651" s="258" t="s">
        <v>128</v>
      </c>
      <c r="D651" s="64">
        <v>12.67</v>
      </c>
      <c r="E651" s="288" t="s">
        <v>212</v>
      </c>
      <c r="F651" t="s">
        <v>1173</v>
      </c>
    </row>
    <row r="652" spans="1:6" ht="15.75" customHeight="1">
      <c r="A652" s="298">
        <v>46134</v>
      </c>
      <c r="B652" s="63" t="s">
        <v>152</v>
      </c>
      <c r="C652" s="62" t="s">
        <v>147</v>
      </c>
      <c r="D652" s="64">
        <v>3508.61</v>
      </c>
      <c r="E652" s="288" t="s">
        <v>212</v>
      </c>
      <c r="F652" t="s">
        <v>1173</v>
      </c>
    </row>
    <row r="653" spans="1:6" ht="15.75" customHeight="1">
      <c r="A653" s="298">
        <v>46135</v>
      </c>
      <c r="B653" s="63" t="s">
        <v>1348</v>
      </c>
      <c r="C653" s="258" t="s">
        <v>128</v>
      </c>
      <c r="D653" s="64">
        <v>9.0500000000000007</v>
      </c>
      <c r="E653" s="288" t="s">
        <v>212</v>
      </c>
      <c r="F653" t="s">
        <v>1173</v>
      </c>
    </row>
    <row r="654" spans="1:6" ht="15.75" customHeight="1">
      <c r="A654" s="298">
        <v>46135</v>
      </c>
      <c r="B654" s="63" t="s">
        <v>123</v>
      </c>
      <c r="C654" s="62" t="s">
        <v>1388</v>
      </c>
      <c r="D654" s="64">
        <v>2566.2800000000002</v>
      </c>
      <c r="E654" s="288" t="s">
        <v>212</v>
      </c>
      <c r="F654" t="s">
        <v>1173</v>
      </c>
    </row>
    <row r="655" spans="1:6" ht="15.75" customHeight="1">
      <c r="A655" s="298">
        <v>46135</v>
      </c>
      <c r="B655" s="63" t="s">
        <v>771</v>
      </c>
      <c r="C655" s="62" t="s">
        <v>130</v>
      </c>
      <c r="D655" s="64">
        <v>581.54999999999995</v>
      </c>
      <c r="E655" s="288" t="s">
        <v>212</v>
      </c>
      <c r="F655" t="s">
        <v>1173</v>
      </c>
    </row>
    <row r="656" spans="1:6" ht="15.75" customHeight="1">
      <c r="A656" s="298">
        <v>46135</v>
      </c>
      <c r="B656" s="63" t="s">
        <v>1389</v>
      </c>
      <c r="C656" s="62" t="s">
        <v>130</v>
      </c>
      <c r="D656" s="64">
        <v>351</v>
      </c>
      <c r="E656" s="288" t="s">
        <v>212</v>
      </c>
      <c r="F656" t="s">
        <v>1173</v>
      </c>
    </row>
    <row r="657" spans="1:6" ht="15.75" customHeight="1">
      <c r="A657" s="298">
        <v>46135</v>
      </c>
      <c r="B657" s="63" t="s">
        <v>812</v>
      </c>
      <c r="C657" s="62" t="s">
        <v>130</v>
      </c>
      <c r="D657" s="64">
        <v>647.92999999999995</v>
      </c>
      <c r="E657" s="288" t="s">
        <v>212</v>
      </c>
      <c r="F657" t="s">
        <v>1173</v>
      </c>
    </row>
    <row r="658" spans="1:6" ht="15.75" customHeight="1">
      <c r="A658" s="298">
        <v>46135</v>
      </c>
      <c r="B658" s="264" t="s">
        <v>803</v>
      </c>
      <c r="C658" s="62" t="s">
        <v>130</v>
      </c>
      <c r="D658" s="64">
        <v>166</v>
      </c>
      <c r="E658" s="288" t="s">
        <v>212</v>
      </c>
      <c r="F658" t="s">
        <v>1173</v>
      </c>
    </row>
    <row r="659" spans="1:6" ht="15.75" customHeight="1">
      <c r="A659" s="298">
        <v>46135</v>
      </c>
      <c r="B659" s="63" t="s">
        <v>716</v>
      </c>
      <c r="C659" s="62" t="s">
        <v>130</v>
      </c>
      <c r="D659" s="64">
        <v>638.24</v>
      </c>
      <c r="E659" s="288" t="s">
        <v>212</v>
      </c>
      <c r="F659" t="s">
        <v>1173</v>
      </c>
    </row>
    <row r="660" spans="1:6" ht="15.75" customHeight="1">
      <c r="A660" s="298">
        <v>46135</v>
      </c>
      <c r="B660" s="63" t="s">
        <v>1390</v>
      </c>
      <c r="C660" s="62" t="s">
        <v>130</v>
      </c>
      <c r="D660" s="64">
        <v>345.06</v>
      </c>
      <c r="E660" s="288" t="s">
        <v>212</v>
      </c>
      <c r="F660" t="s">
        <v>1173</v>
      </c>
    </row>
    <row r="661" spans="1:6" ht="15.75" customHeight="1">
      <c r="A661" s="298">
        <v>46135</v>
      </c>
      <c r="B661" s="63" t="s">
        <v>815</v>
      </c>
      <c r="C661" s="62" t="s">
        <v>130</v>
      </c>
      <c r="D661" s="64">
        <v>344.5</v>
      </c>
      <c r="E661" s="288" t="s">
        <v>212</v>
      </c>
      <c r="F661" t="s">
        <v>1173</v>
      </c>
    </row>
    <row r="662" spans="1:6" ht="15.75" customHeight="1">
      <c r="A662" s="298">
        <v>46135</v>
      </c>
      <c r="B662" s="63" t="s">
        <v>1391</v>
      </c>
      <c r="C662" s="62" t="s">
        <v>130</v>
      </c>
      <c r="D662" s="64">
        <v>127</v>
      </c>
      <c r="E662" s="288" t="s">
        <v>212</v>
      </c>
      <c r="F662" t="s">
        <v>1173</v>
      </c>
    </row>
    <row r="663" spans="1:6" ht="15.75" customHeight="1">
      <c r="A663" s="298">
        <v>46135</v>
      </c>
      <c r="B663" s="274" t="s">
        <v>731</v>
      </c>
      <c r="C663" s="62" t="s">
        <v>130</v>
      </c>
      <c r="D663" s="64">
        <v>1116.29</v>
      </c>
      <c r="E663" s="288" t="s">
        <v>212</v>
      </c>
      <c r="F663" t="s">
        <v>1173</v>
      </c>
    </row>
    <row r="664" spans="1:6" ht="15.75" customHeight="1">
      <c r="A664" s="298">
        <v>46135</v>
      </c>
      <c r="B664" s="274" t="s">
        <v>774</v>
      </c>
      <c r="C664" s="62" t="s">
        <v>130</v>
      </c>
      <c r="D664" s="64">
        <v>621.6</v>
      </c>
      <c r="E664" s="288" t="s">
        <v>212</v>
      </c>
      <c r="F664" t="s">
        <v>1173</v>
      </c>
    </row>
    <row r="665" spans="1:6" ht="15.75" customHeight="1">
      <c r="A665" s="298">
        <v>46135</v>
      </c>
      <c r="B665" s="63" t="s">
        <v>653</v>
      </c>
      <c r="C665" s="62" t="s">
        <v>130</v>
      </c>
      <c r="D665" s="64">
        <v>298.87</v>
      </c>
      <c r="E665" s="288" t="s">
        <v>212</v>
      </c>
      <c r="F665" t="s">
        <v>1173</v>
      </c>
    </row>
    <row r="666" spans="1:6" ht="15.75" customHeight="1">
      <c r="A666" s="298">
        <v>46136</v>
      </c>
      <c r="B666" s="63" t="s">
        <v>1392</v>
      </c>
      <c r="C666" s="62" t="s">
        <v>130</v>
      </c>
      <c r="D666" s="64">
        <v>1324</v>
      </c>
      <c r="E666" s="288" t="s">
        <v>212</v>
      </c>
      <c r="F666" t="s">
        <v>1173</v>
      </c>
    </row>
    <row r="667" spans="1:6" ht="15.75" customHeight="1">
      <c r="A667" s="298">
        <v>46136</v>
      </c>
      <c r="B667" s="63" t="s">
        <v>803</v>
      </c>
      <c r="C667" s="62" t="s">
        <v>130</v>
      </c>
      <c r="D667" s="64">
        <v>1436.16</v>
      </c>
      <c r="E667" s="288" t="s">
        <v>212</v>
      </c>
      <c r="F667" t="s">
        <v>1173</v>
      </c>
    </row>
    <row r="668" spans="1:6" ht="15.75" customHeight="1">
      <c r="A668" s="298">
        <v>46136</v>
      </c>
      <c r="B668" s="63" t="s">
        <v>716</v>
      </c>
      <c r="C668" s="62" t="s">
        <v>130</v>
      </c>
      <c r="D668" s="64">
        <v>1225.6500000000001</v>
      </c>
      <c r="E668" s="288" t="s">
        <v>212</v>
      </c>
      <c r="F668" t="s">
        <v>1173</v>
      </c>
    </row>
    <row r="669" spans="1:6" ht="15.75" customHeight="1">
      <c r="A669" s="298">
        <v>46136</v>
      </c>
      <c r="B669" s="63" t="s">
        <v>716</v>
      </c>
      <c r="C669" s="62" t="s">
        <v>130</v>
      </c>
      <c r="D669" s="64">
        <v>573.79999999999995</v>
      </c>
      <c r="E669" s="288" t="s">
        <v>212</v>
      </c>
      <c r="F669" t="s">
        <v>1173</v>
      </c>
    </row>
    <row r="670" spans="1:6" ht="15.75" customHeight="1">
      <c r="A670" s="298">
        <v>46136</v>
      </c>
      <c r="B670" s="63" t="s">
        <v>774</v>
      </c>
      <c r="C670" s="62" t="s">
        <v>130</v>
      </c>
      <c r="D670" s="64">
        <v>778.04</v>
      </c>
      <c r="E670" s="288" t="s">
        <v>212</v>
      </c>
      <c r="F670" t="s">
        <v>1173</v>
      </c>
    </row>
    <row r="671" spans="1:6" ht="15.75" customHeight="1">
      <c r="A671" s="298">
        <v>46136</v>
      </c>
      <c r="B671" s="63" t="s">
        <v>129</v>
      </c>
      <c r="C671" s="62" t="s">
        <v>130</v>
      </c>
      <c r="D671" s="64">
        <v>858</v>
      </c>
      <c r="E671" s="288" t="s">
        <v>212</v>
      </c>
      <c r="F671" t="s">
        <v>1173</v>
      </c>
    </row>
    <row r="672" spans="1:6" ht="15.75" customHeight="1">
      <c r="A672" s="298">
        <v>46136</v>
      </c>
      <c r="B672" s="264" t="s">
        <v>1348</v>
      </c>
      <c r="C672" s="62" t="s">
        <v>128</v>
      </c>
      <c r="D672" s="303">
        <v>7.24</v>
      </c>
      <c r="E672" s="288" t="s">
        <v>212</v>
      </c>
      <c r="F672" t="s">
        <v>1173</v>
      </c>
    </row>
    <row r="673" spans="1:6" ht="15.75" customHeight="1">
      <c r="A673" s="274">
        <v>46139</v>
      </c>
      <c r="B673" s="279" t="s">
        <v>702</v>
      </c>
      <c r="C673" s="280" t="s">
        <v>145</v>
      </c>
      <c r="D673" s="261">
        <v>545.15</v>
      </c>
      <c r="E673" s="288" t="s">
        <v>212</v>
      </c>
      <c r="F673" t="s">
        <v>1173</v>
      </c>
    </row>
    <row r="674" spans="1:6" ht="15.75" customHeight="1">
      <c r="A674" s="274">
        <v>46139</v>
      </c>
      <c r="B674" s="281" t="s">
        <v>716</v>
      </c>
      <c r="C674" s="278" t="s">
        <v>130</v>
      </c>
      <c r="D674" s="261">
        <v>1028.05</v>
      </c>
      <c r="E674" s="288" t="s">
        <v>212</v>
      </c>
      <c r="F674" t="s">
        <v>1173</v>
      </c>
    </row>
    <row r="675" spans="1:6" ht="15.75" customHeight="1">
      <c r="A675" s="274">
        <v>46139</v>
      </c>
      <c r="B675" s="258" t="s">
        <v>716</v>
      </c>
      <c r="C675" s="278" t="s">
        <v>130</v>
      </c>
      <c r="D675" s="261">
        <v>496.89</v>
      </c>
      <c r="E675" s="288" t="s">
        <v>212</v>
      </c>
      <c r="F675" t="s">
        <v>1173</v>
      </c>
    </row>
    <row r="676" spans="1:6" ht="15.75" customHeight="1">
      <c r="A676" s="274">
        <v>46139</v>
      </c>
      <c r="B676" s="258" t="s">
        <v>716</v>
      </c>
      <c r="C676" s="278" t="s">
        <v>130</v>
      </c>
      <c r="D676" s="261">
        <v>528.44000000000005</v>
      </c>
      <c r="E676" s="288" t="s">
        <v>212</v>
      </c>
      <c r="F676" t="s">
        <v>1173</v>
      </c>
    </row>
    <row r="677" spans="1:6" ht="15.75" customHeight="1">
      <c r="A677" s="274">
        <v>46139</v>
      </c>
      <c r="B677" s="279" t="s">
        <v>129</v>
      </c>
      <c r="C677" s="278" t="s">
        <v>130</v>
      </c>
      <c r="D677" s="261">
        <v>779.27</v>
      </c>
      <c r="E677" s="288" t="s">
        <v>212</v>
      </c>
      <c r="F677" t="s">
        <v>1173</v>
      </c>
    </row>
    <row r="678" spans="1:6" ht="15.75" customHeight="1">
      <c r="A678" s="274">
        <v>46139</v>
      </c>
      <c r="B678" s="279" t="s">
        <v>129</v>
      </c>
      <c r="C678" s="278" t="s">
        <v>130</v>
      </c>
      <c r="D678" s="261">
        <v>772.73</v>
      </c>
      <c r="E678" s="288" t="s">
        <v>212</v>
      </c>
      <c r="F678" t="s">
        <v>1173</v>
      </c>
    </row>
    <row r="679" spans="1:6" ht="15.75" customHeight="1">
      <c r="A679" s="274">
        <v>46139</v>
      </c>
      <c r="B679" s="279" t="s">
        <v>129</v>
      </c>
      <c r="C679" s="278" t="s">
        <v>130</v>
      </c>
      <c r="D679" s="261">
        <v>904.43</v>
      </c>
      <c r="E679" s="288" t="s">
        <v>212</v>
      </c>
      <c r="F679" t="s">
        <v>1173</v>
      </c>
    </row>
    <row r="680" spans="1:6" ht="15.75" customHeight="1">
      <c r="A680" s="274">
        <v>46139</v>
      </c>
      <c r="B680" s="279" t="s">
        <v>1393</v>
      </c>
      <c r="C680" s="278" t="s">
        <v>130</v>
      </c>
      <c r="D680" s="261">
        <v>360</v>
      </c>
      <c r="E680" s="288" t="s">
        <v>212</v>
      </c>
      <c r="F680" t="s">
        <v>1173</v>
      </c>
    </row>
    <row r="681" spans="1:6" ht="15.75" customHeight="1">
      <c r="A681" s="274">
        <v>46139</v>
      </c>
      <c r="B681" s="258" t="s">
        <v>717</v>
      </c>
      <c r="C681" s="278" t="s">
        <v>130</v>
      </c>
      <c r="D681" s="261">
        <v>490</v>
      </c>
      <c r="E681" s="288" t="s">
        <v>212</v>
      </c>
      <c r="F681" t="s">
        <v>1173</v>
      </c>
    </row>
    <row r="682" spans="1:6" ht="15.75" customHeight="1">
      <c r="A682" s="274">
        <v>46139</v>
      </c>
      <c r="B682" s="279" t="s">
        <v>715</v>
      </c>
      <c r="C682" s="278" t="s">
        <v>130</v>
      </c>
      <c r="D682" s="261">
        <v>422.52</v>
      </c>
      <c r="E682" s="288" t="s">
        <v>212</v>
      </c>
      <c r="F682" t="s">
        <v>1173</v>
      </c>
    </row>
    <row r="683" spans="1:6" ht="15.75" customHeight="1">
      <c r="A683" s="274">
        <v>46139</v>
      </c>
      <c r="B683" s="172" t="s">
        <v>1394</v>
      </c>
      <c r="C683" s="278" t="s">
        <v>130</v>
      </c>
      <c r="D683" s="261">
        <v>1372.02</v>
      </c>
      <c r="E683" s="288" t="s">
        <v>212</v>
      </c>
      <c r="F683" t="s">
        <v>1173</v>
      </c>
    </row>
    <row r="684" spans="1:6" ht="15.75" customHeight="1">
      <c r="A684" s="274">
        <v>46139</v>
      </c>
      <c r="B684" s="279" t="s">
        <v>809</v>
      </c>
      <c r="C684" s="278" t="s">
        <v>130</v>
      </c>
      <c r="D684" s="261">
        <v>463.05</v>
      </c>
      <c r="E684" s="288" t="s">
        <v>212</v>
      </c>
      <c r="F684" t="s">
        <v>1173</v>
      </c>
    </row>
    <row r="685" spans="1:6" ht="15.75" customHeight="1">
      <c r="A685" s="274">
        <v>46139</v>
      </c>
      <c r="B685" s="172" t="s">
        <v>1382</v>
      </c>
      <c r="C685" s="278" t="s">
        <v>130</v>
      </c>
      <c r="D685" s="261">
        <v>770</v>
      </c>
      <c r="E685" s="288" t="s">
        <v>212</v>
      </c>
      <c r="F685" t="s">
        <v>1173</v>
      </c>
    </row>
    <row r="686" spans="1:6" ht="15.75" customHeight="1">
      <c r="A686" s="274">
        <v>46139</v>
      </c>
      <c r="B686" s="279" t="s">
        <v>1395</v>
      </c>
      <c r="C686" s="280" t="s">
        <v>145</v>
      </c>
      <c r="D686" s="261">
        <v>4200</v>
      </c>
      <c r="E686" s="288" t="s">
        <v>212</v>
      </c>
      <c r="F686" t="s">
        <v>1173</v>
      </c>
    </row>
    <row r="687" spans="1:6" ht="15.75" customHeight="1">
      <c r="A687" s="274">
        <v>46139</v>
      </c>
      <c r="B687" s="172" t="s">
        <v>158</v>
      </c>
      <c r="C687" s="173" t="s">
        <v>159</v>
      </c>
      <c r="D687" s="261">
        <v>150</v>
      </c>
      <c r="E687" s="288" t="s">
        <v>212</v>
      </c>
      <c r="F687" t="s">
        <v>1173</v>
      </c>
    </row>
    <row r="688" spans="1:6" ht="15.75" customHeight="1">
      <c r="A688" s="274">
        <v>46139</v>
      </c>
      <c r="B688" s="279" t="s">
        <v>713</v>
      </c>
      <c r="C688" s="280" t="s">
        <v>130</v>
      </c>
      <c r="D688" s="261">
        <v>10.5</v>
      </c>
      <c r="E688" s="288" t="s">
        <v>212</v>
      </c>
      <c r="F688" t="s">
        <v>1173</v>
      </c>
    </row>
    <row r="689" spans="1:6" ht="15.75" customHeight="1">
      <c r="A689" s="274">
        <v>46139</v>
      </c>
      <c r="B689" s="172" t="s">
        <v>1270</v>
      </c>
      <c r="C689" s="173" t="s">
        <v>132</v>
      </c>
      <c r="D689" s="261">
        <v>50</v>
      </c>
      <c r="E689" s="288" t="s">
        <v>212</v>
      </c>
      <c r="F689" t="s">
        <v>1173</v>
      </c>
    </row>
    <row r="690" spans="1:6" ht="15.75" customHeight="1">
      <c r="A690" s="274">
        <v>46139</v>
      </c>
      <c r="B690" s="279" t="s">
        <v>678</v>
      </c>
      <c r="C690" s="173" t="s">
        <v>132</v>
      </c>
      <c r="D690" s="261">
        <v>50</v>
      </c>
      <c r="E690" s="288" t="s">
        <v>212</v>
      </c>
      <c r="F690" t="s">
        <v>1173</v>
      </c>
    </row>
    <row r="691" spans="1:6" ht="15.75" customHeight="1">
      <c r="A691" s="289">
        <v>46139</v>
      </c>
      <c r="B691" s="304" t="s">
        <v>1348</v>
      </c>
      <c r="C691" s="291" t="s">
        <v>128</v>
      </c>
      <c r="D691" s="305">
        <v>16.29</v>
      </c>
      <c r="E691" s="288" t="s">
        <v>212</v>
      </c>
      <c r="F691" t="s">
        <v>1173</v>
      </c>
    </row>
    <row r="692" spans="1:6" ht="15.75" customHeight="1">
      <c r="A692" s="289">
        <v>46140</v>
      </c>
      <c r="B692" s="304" t="s">
        <v>1348</v>
      </c>
      <c r="C692" s="291" t="s">
        <v>128</v>
      </c>
      <c r="D692" s="305">
        <v>9.0500000000000007</v>
      </c>
      <c r="E692" s="288" t="s">
        <v>212</v>
      </c>
      <c r="F692" t="s">
        <v>1173</v>
      </c>
    </row>
    <row r="693" spans="1:6" ht="15.75" customHeight="1">
      <c r="A693" s="274">
        <v>46140</v>
      </c>
      <c r="B693" s="264" t="s">
        <v>654</v>
      </c>
      <c r="C693" s="62" t="s">
        <v>130</v>
      </c>
      <c r="D693" s="306">
        <v>910</v>
      </c>
      <c r="E693" s="288" t="s">
        <v>212</v>
      </c>
      <c r="F693" t="s">
        <v>1173</v>
      </c>
    </row>
    <row r="694" spans="1:6" ht="15.75" customHeight="1">
      <c r="A694" s="274">
        <v>46140</v>
      </c>
      <c r="B694" s="264" t="s">
        <v>1365</v>
      </c>
      <c r="C694" s="62" t="s">
        <v>130</v>
      </c>
      <c r="D694" s="306">
        <v>187.5</v>
      </c>
      <c r="E694" s="288" t="s">
        <v>212</v>
      </c>
      <c r="F694" t="s">
        <v>1173</v>
      </c>
    </row>
    <row r="695" spans="1:6" ht="15.75" customHeight="1">
      <c r="A695" s="274">
        <v>46140</v>
      </c>
      <c r="B695" s="264" t="s">
        <v>1363</v>
      </c>
      <c r="C695" s="62" t="s">
        <v>130</v>
      </c>
      <c r="D695" s="303">
        <v>800</v>
      </c>
      <c r="E695" s="288" t="s">
        <v>212</v>
      </c>
      <c r="F695" t="s">
        <v>1173</v>
      </c>
    </row>
    <row r="696" spans="1:6" ht="15.75" customHeight="1">
      <c r="A696" s="274">
        <v>46140</v>
      </c>
      <c r="B696" s="264" t="s">
        <v>129</v>
      </c>
      <c r="C696" s="62" t="s">
        <v>130</v>
      </c>
      <c r="D696" s="306">
        <v>575.33000000000004</v>
      </c>
      <c r="E696" s="288" t="s">
        <v>212</v>
      </c>
      <c r="F696" t="s">
        <v>1173</v>
      </c>
    </row>
    <row r="697" spans="1:6" ht="15.75" customHeight="1">
      <c r="A697" s="274">
        <v>46140</v>
      </c>
      <c r="B697" s="264" t="s">
        <v>754</v>
      </c>
      <c r="C697" s="62" t="s">
        <v>110</v>
      </c>
      <c r="D697" s="303">
        <v>5500</v>
      </c>
      <c r="E697" s="288" t="s">
        <v>212</v>
      </c>
      <c r="F697" t="s">
        <v>1173</v>
      </c>
    </row>
    <row r="698" spans="1:6" ht="15.75" customHeight="1" thickBot="1">
      <c r="A698" s="274">
        <v>46141</v>
      </c>
      <c r="B698" s="304" t="s">
        <v>812</v>
      </c>
      <c r="C698" s="307" t="s">
        <v>130</v>
      </c>
      <c r="D698" s="308">
        <v>23.85</v>
      </c>
      <c r="E698" s="288" t="s">
        <v>212</v>
      </c>
      <c r="F698" t="s">
        <v>1173</v>
      </c>
    </row>
    <row r="699" spans="1:6" ht="15.75" customHeight="1" thickBot="1">
      <c r="A699" s="274">
        <v>46141</v>
      </c>
      <c r="B699" s="304" t="s">
        <v>1396</v>
      </c>
      <c r="C699" s="307" t="s">
        <v>130</v>
      </c>
      <c r="D699" s="309">
        <v>3418.37</v>
      </c>
      <c r="E699" s="288" t="s">
        <v>212</v>
      </c>
      <c r="F699" t="s">
        <v>1173</v>
      </c>
    </row>
    <row r="700" spans="1:6" ht="15.75" customHeight="1" thickBot="1">
      <c r="A700" s="274">
        <v>46141</v>
      </c>
      <c r="B700" s="304" t="s">
        <v>716</v>
      </c>
      <c r="C700" s="307" t="s">
        <v>130</v>
      </c>
      <c r="D700" s="308">
        <v>551.11</v>
      </c>
      <c r="E700" s="288" t="s">
        <v>212</v>
      </c>
      <c r="F700" t="s">
        <v>1173</v>
      </c>
    </row>
    <row r="701" spans="1:6" ht="15.75" customHeight="1">
      <c r="A701" s="274">
        <v>46141</v>
      </c>
      <c r="B701" s="63" t="s">
        <v>129</v>
      </c>
      <c r="C701" s="307" t="s">
        <v>130</v>
      </c>
      <c r="D701" s="64">
        <v>456.5</v>
      </c>
      <c r="E701" s="288" t="s">
        <v>212</v>
      </c>
      <c r="F701" t="s">
        <v>1173</v>
      </c>
    </row>
    <row r="702" spans="1:6" ht="15.75" customHeight="1">
      <c r="A702" s="274">
        <v>46141</v>
      </c>
      <c r="B702" s="63" t="s">
        <v>1348</v>
      </c>
      <c r="C702" s="62" t="s">
        <v>128</v>
      </c>
      <c r="D702" s="64">
        <v>7.24</v>
      </c>
      <c r="E702" s="288" t="s">
        <v>212</v>
      </c>
      <c r="F702" t="s">
        <v>1173</v>
      </c>
    </row>
    <row r="703" spans="1:6" ht="15.75" customHeight="1">
      <c r="A703" s="274">
        <v>46142</v>
      </c>
      <c r="B703" s="63" t="s">
        <v>1348</v>
      </c>
      <c r="C703" s="62" t="s">
        <v>128</v>
      </c>
      <c r="D703" s="64">
        <v>18.100000000000001</v>
      </c>
      <c r="E703" s="288" t="s">
        <v>212</v>
      </c>
      <c r="F703" t="s">
        <v>1173</v>
      </c>
    </row>
    <row r="704" spans="1:6" ht="15.75" customHeight="1">
      <c r="A704" s="274">
        <v>46142</v>
      </c>
      <c r="B704" s="67" t="s">
        <v>812</v>
      </c>
      <c r="C704" s="258" t="s">
        <v>130</v>
      </c>
      <c r="D704" s="68">
        <v>548.33000000000004</v>
      </c>
      <c r="E704" s="288" t="s">
        <v>212</v>
      </c>
      <c r="F704" t="s">
        <v>1173</v>
      </c>
    </row>
    <row r="705" spans="1:6" ht="15.75" customHeight="1">
      <c r="A705" s="274">
        <v>46142</v>
      </c>
      <c r="B705" s="63" t="s">
        <v>774</v>
      </c>
      <c r="C705" s="258" t="s">
        <v>130</v>
      </c>
      <c r="D705" s="64">
        <v>555</v>
      </c>
      <c r="E705" s="288" t="s">
        <v>212</v>
      </c>
      <c r="F705" t="s">
        <v>1173</v>
      </c>
    </row>
    <row r="706" spans="1:6" ht="15.75" customHeight="1">
      <c r="A706" s="274">
        <v>46142</v>
      </c>
      <c r="B706" s="63" t="s">
        <v>771</v>
      </c>
      <c r="C706" s="258" t="s">
        <v>130</v>
      </c>
      <c r="D706" s="64">
        <v>1511.24</v>
      </c>
      <c r="E706" s="288" t="s">
        <v>212</v>
      </c>
      <c r="F706" t="s">
        <v>1173</v>
      </c>
    </row>
    <row r="707" spans="1:6" ht="15.75" customHeight="1">
      <c r="A707" s="274">
        <v>46142</v>
      </c>
      <c r="B707" s="63" t="s">
        <v>1376</v>
      </c>
      <c r="C707" s="258" t="s">
        <v>130</v>
      </c>
      <c r="D707" s="64">
        <v>693.6</v>
      </c>
      <c r="E707" s="288" t="s">
        <v>212</v>
      </c>
      <c r="F707" t="s">
        <v>1173</v>
      </c>
    </row>
    <row r="708" spans="1:6" ht="15.75" customHeight="1">
      <c r="A708" s="274">
        <v>46142</v>
      </c>
      <c r="B708" s="63" t="s">
        <v>473</v>
      </c>
      <c r="C708" s="258" t="s">
        <v>130</v>
      </c>
      <c r="D708" s="64">
        <v>328</v>
      </c>
      <c r="E708" s="288" t="s">
        <v>212</v>
      </c>
      <c r="F708" t="s">
        <v>1173</v>
      </c>
    </row>
    <row r="709" spans="1:6" ht="15.75" customHeight="1">
      <c r="A709" s="274">
        <v>46142</v>
      </c>
      <c r="B709" s="63" t="s">
        <v>1397</v>
      </c>
      <c r="C709" s="62" t="s">
        <v>147</v>
      </c>
      <c r="D709" s="64">
        <v>5270.37</v>
      </c>
      <c r="E709" s="288" t="s">
        <v>212</v>
      </c>
      <c r="F709" t="s">
        <v>1173</v>
      </c>
    </row>
    <row r="710" spans="1:6" ht="15.75" customHeight="1">
      <c r="A710" s="274">
        <v>46126</v>
      </c>
      <c r="B710" s="62" t="s">
        <v>123</v>
      </c>
      <c r="C710" s="63" t="s">
        <v>173</v>
      </c>
      <c r="D710" s="310">
        <v>6372.54</v>
      </c>
      <c r="E710" s="288" t="s">
        <v>341</v>
      </c>
      <c r="F710" t="s">
        <v>1173</v>
      </c>
    </row>
    <row r="711" spans="1:6" ht="15.75" customHeight="1">
      <c r="A711" s="274">
        <v>46127</v>
      </c>
      <c r="B711" s="62" t="s">
        <v>1398</v>
      </c>
      <c r="C711" s="63" t="s">
        <v>128</v>
      </c>
      <c r="D711" s="310">
        <v>218.6</v>
      </c>
      <c r="E711" s="288" t="s">
        <v>341</v>
      </c>
      <c r="F711" t="s">
        <v>1173</v>
      </c>
    </row>
    <row r="712" spans="1:6" ht="15.75" customHeight="1">
      <c r="A712" s="274">
        <v>46142</v>
      </c>
      <c r="B712" s="258" t="s">
        <v>1348</v>
      </c>
      <c r="C712" s="62" t="s">
        <v>128</v>
      </c>
      <c r="D712" s="311">
        <v>1.6</v>
      </c>
      <c r="E712" s="288" t="s">
        <v>341</v>
      </c>
      <c r="F712" t="s">
        <v>1173</v>
      </c>
    </row>
    <row r="713" spans="1:6" ht="15.75" customHeight="1">
      <c r="A713" s="274">
        <v>46156</v>
      </c>
      <c r="B713" s="62" t="s">
        <v>123</v>
      </c>
      <c r="C713" s="63" t="s">
        <v>1566</v>
      </c>
      <c r="D713" s="310">
        <v>6441.56</v>
      </c>
      <c r="E713" s="288" t="s">
        <v>341</v>
      </c>
      <c r="F713" t="s">
        <v>1482</v>
      </c>
    </row>
    <row r="714" spans="1:6" ht="15.75" customHeight="1">
      <c r="A714" s="274">
        <v>46156</v>
      </c>
      <c r="B714" s="62" t="s">
        <v>1567</v>
      </c>
      <c r="C714" s="63" t="s">
        <v>128</v>
      </c>
      <c r="D714" s="310">
        <v>183.6</v>
      </c>
      <c r="E714" s="288" t="s">
        <v>341</v>
      </c>
      <c r="F714" t="s">
        <v>1482</v>
      </c>
    </row>
    <row r="715" spans="1:6" ht="15.75" customHeight="1">
      <c r="A715" s="274">
        <v>46157</v>
      </c>
      <c r="B715" s="258" t="s">
        <v>1568</v>
      </c>
      <c r="C715" s="63" t="s">
        <v>128</v>
      </c>
      <c r="D715" s="369">
        <v>218.6</v>
      </c>
      <c r="E715" s="288" t="s">
        <v>341</v>
      </c>
      <c r="F715" t="s">
        <v>1482</v>
      </c>
    </row>
    <row r="716" spans="1:6" ht="15.75" customHeight="1">
      <c r="A716" s="274">
        <v>46146</v>
      </c>
      <c r="B716" s="67" t="s">
        <v>713</v>
      </c>
      <c r="C716" s="264" t="s">
        <v>130</v>
      </c>
      <c r="D716" s="68">
        <v>200</v>
      </c>
      <c r="E716" s="288" t="s">
        <v>212</v>
      </c>
      <c r="F716" t="s">
        <v>1482</v>
      </c>
    </row>
    <row r="717" spans="1:6" ht="15.75" customHeight="1">
      <c r="A717" s="274">
        <v>46146</v>
      </c>
      <c r="B717" s="258" t="s">
        <v>716</v>
      </c>
      <c r="C717" s="264" t="s">
        <v>130</v>
      </c>
      <c r="D717" s="261">
        <v>787.98</v>
      </c>
      <c r="E717" s="288" t="s">
        <v>212</v>
      </c>
      <c r="F717" t="s">
        <v>1482</v>
      </c>
    </row>
    <row r="718" spans="1:6" ht="15.75" customHeight="1">
      <c r="A718" s="274">
        <v>46146</v>
      </c>
      <c r="B718" s="258" t="s">
        <v>716</v>
      </c>
      <c r="C718" s="264" t="s">
        <v>130</v>
      </c>
      <c r="D718" s="261">
        <v>673.78</v>
      </c>
      <c r="E718" s="288" t="s">
        <v>212</v>
      </c>
      <c r="F718" t="s">
        <v>1482</v>
      </c>
    </row>
    <row r="719" spans="1:6" ht="15.75" customHeight="1">
      <c r="A719" s="274">
        <v>46146</v>
      </c>
      <c r="B719" s="258" t="s">
        <v>716</v>
      </c>
      <c r="C719" s="264" t="s">
        <v>130</v>
      </c>
      <c r="D719" s="261">
        <v>3773.29</v>
      </c>
      <c r="E719" s="288" t="s">
        <v>212</v>
      </c>
      <c r="F719" t="s">
        <v>1482</v>
      </c>
    </row>
    <row r="720" spans="1:6" ht="15.75" customHeight="1">
      <c r="A720" s="274">
        <v>46146</v>
      </c>
      <c r="B720" s="258" t="s">
        <v>812</v>
      </c>
      <c r="C720" s="264" t="s">
        <v>130</v>
      </c>
      <c r="D720" s="261">
        <v>699.44</v>
      </c>
      <c r="E720" s="288" t="s">
        <v>212</v>
      </c>
      <c r="F720" t="s">
        <v>1482</v>
      </c>
    </row>
    <row r="721" spans="1:6" ht="15.75" customHeight="1">
      <c r="A721" s="274">
        <v>46146</v>
      </c>
      <c r="B721" s="258" t="s">
        <v>790</v>
      </c>
      <c r="C721" s="264" t="s">
        <v>130</v>
      </c>
      <c r="D721" s="261">
        <v>390.08</v>
      </c>
      <c r="E721" s="288" t="s">
        <v>212</v>
      </c>
      <c r="F721" t="s">
        <v>1482</v>
      </c>
    </row>
    <row r="722" spans="1:6" ht="15.75" customHeight="1">
      <c r="A722" s="274">
        <v>46146</v>
      </c>
      <c r="B722" s="258" t="s">
        <v>803</v>
      </c>
      <c r="C722" s="264" t="s">
        <v>130</v>
      </c>
      <c r="D722" s="261">
        <v>455.15</v>
      </c>
      <c r="E722" s="288" t="s">
        <v>212</v>
      </c>
      <c r="F722" t="s">
        <v>1482</v>
      </c>
    </row>
    <row r="723" spans="1:6" ht="15.75" customHeight="1">
      <c r="A723" s="274">
        <v>46146</v>
      </c>
      <c r="B723" s="258" t="s">
        <v>809</v>
      </c>
      <c r="C723" s="264" t="s">
        <v>130</v>
      </c>
      <c r="D723" s="261">
        <v>53.6</v>
      </c>
      <c r="E723" s="288" t="s">
        <v>212</v>
      </c>
      <c r="F723" t="s">
        <v>1482</v>
      </c>
    </row>
    <row r="724" spans="1:6" ht="15.75" customHeight="1">
      <c r="A724" s="274">
        <v>46146</v>
      </c>
      <c r="B724" s="258" t="s">
        <v>1569</v>
      </c>
      <c r="C724" s="264" t="s">
        <v>1570</v>
      </c>
      <c r="D724" s="261">
        <v>229.47</v>
      </c>
      <c r="E724" s="288" t="s">
        <v>212</v>
      </c>
      <c r="F724" t="s">
        <v>1482</v>
      </c>
    </row>
    <row r="725" spans="1:6" ht="15.75" customHeight="1">
      <c r="A725" s="274">
        <v>46146</v>
      </c>
      <c r="B725" s="258" t="s">
        <v>127</v>
      </c>
      <c r="C725" s="264" t="s">
        <v>128</v>
      </c>
      <c r="D725" s="261">
        <v>21.72</v>
      </c>
      <c r="E725" s="288" t="s">
        <v>212</v>
      </c>
      <c r="F725" t="s">
        <v>1482</v>
      </c>
    </row>
    <row r="726" spans="1:6" ht="15.75" customHeight="1">
      <c r="A726" s="274">
        <v>46147</v>
      </c>
      <c r="B726" s="258" t="s">
        <v>127</v>
      </c>
      <c r="C726" s="264" t="s">
        <v>128</v>
      </c>
      <c r="D726" s="261">
        <v>30.59</v>
      </c>
      <c r="E726" s="288" t="s">
        <v>212</v>
      </c>
      <c r="F726" t="s">
        <v>1482</v>
      </c>
    </row>
    <row r="727" spans="1:6" ht="15.75" customHeight="1">
      <c r="A727" s="274">
        <v>46147</v>
      </c>
      <c r="B727" s="258" t="s">
        <v>1571</v>
      </c>
      <c r="C727" s="264" t="s">
        <v>128</v>
      </c>
      <c r="D727" s="261">
        <v>101.39</v>
      </c>
      <c r="E727" s="288" t="s">
        <v>212</v>
      </c>
      <c r="F727" t="s">
        <v>1482</v>
      </c>
    </row>
    <row r="728" spans="1:6" ht="15.75" customHeight="1">
      <c r="A728" s="274">
        <v>46147</v>
      </c>
      <c r="B728" s="258" t="s">
        <v>657</v>
      </c>
      <c r="C728" s="264" t="s">
        <v>130</v>
      </c>
      <c r="D728" s="370">
        <v>1293.25</v>
      </c>
      <c r="E728" s="288" t="s">
        <v>212</v>
      </c>
      <c r="F728" t="s">
        <v>1482</v>
      </c>
    </row>
    <row r="729" spans="1:6" ht="15.75" customHeight="1">
      <c r="A729" s="274">
        <v>46147</v>
      </c>
      <c r="B729" s="258" t="s">
        <v>676</v>
      </c>
      <c r="C729" s="264" t="s">
        <v>130</v>
      </c>
      <c r="D729" s="371">
        <v>461.7</v>
      </c>
      <c r="E729" s="288" t="s">
        <v>212</v>
      </c>
      <c r="F729" t="s">
        <v>1482</v>
      </c>
    </row>
    <row r="730" spans="1:6" ht="15.75" customHeight="1">
      <c r="A730" s="274">
        <v>46147</v>
      </c>
      <c r="B730" s="258" t="s">
        <v>652</v>
      </c>
      <c r="C730" s="264" t="s">
        <v>130</v>
      </c>
      <c r="D730" s="372">
        <v>363</v>
      </c>
      <c r="E730" s="288" t="s">
        <v>212</v>
      </c>
      <c r="F730" t="s">
        <v>1482</v>
      </c>
    </row>
    <row r="731" spans="1:6" ht="15.75" customHeight="1">
      <c r="A731" s="274">
        <v>46147</v>
      </c>
      <c r="B731" s="258" t="s">
        <v>1572</v>
      </c>
      <c r="C731" s="264" t="s">
        <v>169</v>
      </c>
      <c r="D731" s="371">
        <v>2946.68</v>
      </c>
      <c r="E731" s="288" t="s">
        <v>212</v>
      </c>
      <c r="F731" t="s">
        <v>1482</v>
      </c>
    </row>
    <row r="732" spans="1:6" ht="15.75" customHeight="1">
      <c r="A732" s="274">
        <v>46147</v>
      </c>
      <c r="B732" s="258" t="s">
        <v>1573</v>
      </c>
      <c r="C732" s="264" t="s">
        <v>145</v>
      </c>
      <c r="D732" s="372">
        <v>290.93</v>
      </c>
      <c r="E732" s="288" t="s">
        <v>212</v>
      </c>
      <c r="F732" t="s">
        <v>1482</v>
      </c>
    </row>
    <row r="733" spans="1:6" ht="15.75" customHeight="1">
      <c r="A733" s="274">
        <v>46147</v>
      </c>
      <c r="B733" s="258" t="s">
        <v>1574</v>
      </c>
      <c r="C733" s="264" t="s">
        <v>145</v>
      </c>
      <c r="D733" s="371">
        <v>571.54</v>
      </c>
      <c r="E733" s="288" t="s">
        <v>212</v>
      </c>
      <c r="F733" t="s">
        <v>1482</v>
      </c>
    </row>
    <row r="734" spans="1:6" ht="15.75" customHeight="1">
      <c r="A734" s="274">
        <v>46147</v>
      </c>
      <c r="B734" s="258" t="s">
        <v>161</v>
      </c>
      <c r="C734" s="264" t="s">
        <v>130</v>
      </c>
      <c r="D734" s="371">
        <v>190</v>
      </c>
      <c r="E734" s="288" t="s">
        <v>212</v>
      </c>
      <c r="F734" t="s">
        <v>1482</v>
      </c>
    </row>
    <row r="735" spans="1:6" ht="15.75" customHeight="1">
      <c r="A735" s="274">
        <v>46148</v>
      </c>
      <c r="B735" s="258" t="s">
        <v>127</v>
      </c>
      <c r="C735" s="264" t="s">
        <v>128</v>
      </c>
      <c r="D735" s="371">
        <v>5.43</v>
      </c>
      <c r="E735" s="288" t="s">
        <v>212</v>
      </c>
      <c r="F735" t="s">
        <v>1482</v>
      </c>
    </row>
    <row r="736" spans="1:6" ht="15.75" customHeight="1">
      <c r="A736" s="274">
        <v>46148</v>
      </c>
      <c r="B736" s="258" t="s">
        <v>664</v>
      </c>
      <c r="C736" s="264" t="s">
        <v>130</v>
      </c>
      <c r="D736" s="372">
        <v>2934.11</v>
      </c>
      <c r="E736" s="288" t="s">
        <v>212</v>
      </c>
      <c r="F736" t="s">
        <v>1482</v>
      </c>
    </row>
    <row r="737" spans="1:6" ht="15.75" customHeight="1">
      <c r="A737" s="274">
        <v>46148</v>
      </c>
      <c r="B737" s="258" t="s">
        <v>669</v>
      </c>
      <c r="C737" s="264" t="s">
        <v>130</v>
      </c>
      <c r="D737" s="371">
        <v>1991.14</v>
      </c>
      <c r="E737" s="288" t="s">
        <v>212</v>
      </c>
      <c r="F737" t="s">
        <v>1482</v>
      </c>
    </row>
    <row r="738" spans="1:6" ht="15.75" customHeight="1">
      <c r="A738" s="274">
        <v>46148</v>
      </c>
      <c r="B738" s="258" t="s">
        <v>473</v>
      </c>
      <c r="C738" s="264" t="s">
        <v>130</v>
      </c>
      <c r="D738" s="372">
        <v>512.25</v>
      </c>
      <c r="E738" s="288" t="s">
        <v>212</v>
      </c>
      <c r="F738" t="s">
        <v>1482</v>
      </c>
    </row>
    <row r="739" spans="1:6" ht="15.75" customHeight="1">
      <c r="A739" s="274">
        <v>46148</v>
      </c>
      <c r="B739" s="258" t="s">
        <v>1575</v>
      </c>
      <c r="C739" s="264" t="s">
        <v>130</v>
      </c>
      <c r="D739" s="371">
        <v>967.5</v>
      </c>
      <c r="E739" s="288" t="s">
        <v>212</v>
      </c>
      <c r="F739" t="s">
        <v>1482</v>
      </c>
    </row>
    <row r="740" spans="1:6" ht="15.75" customHeight="1">
      <c r="A740" s="274">
        <v>46148</v>
      </c>
      <c r="B740" s="258" t="s">
        <v>1576</v>
      </c>
      <c r="C740" s="264" t="s">
        <v>130</v>
      </c>
      <c r="D740" s="372">
        <v>2638.76</v>
      </c>
      <c r="E740" s="288" t="s">
        <v>212</v>
      </c>
      <c r="F740" t="s">
        <v>1482</v>
      </c>
    </row>
    <row r="741" spans="1:6" ht="15.75" customHeight="1">
      <c r="A741" s="274">
        <v>46148</v>
      </c>
      <c r="B741" s="258" t="s">
        <v>650</v>
      </c>
      <c r="C741" s="264" t="s">
        <v>130</v>
      </c>
      <c r="D741" s="371">
        <v>584.27</v>
      </c>
      <c r="E741" s="288" t="s">
        <v>212</v>
      </c>
      <c r="F741" t="s">
        <v>1482</v>
      </c>
    </row>
    <row r="742" spans="1:6" ht="15.75" customHeight="1">
      <c r="A742" s="274">
        <v>46148</v>
      </c>
      <c r="B742" s="258" t="s">
        <v>676</v>
      </c>
      <c r="C742" s="264" t="s">
        <v>130</v>
      </c>
      <c r="D742" s="372">
        <v>1305</v>
      </c>
      <c r="E742" s="288" t="s">
        <v>212</v>
      </c>
      <c r="F742" t="s">
        <v>1482</v>
      </c>
    </row>
    <row r="743" spans="1:6" ht="15.75" customHeight="1">
      <c r="A743" s="274">
        <v>46148</v>
      </c>
      <c r="B743" s="258" t="s">
        <v>788</v>
      </c>
      <c r="C743" s="264" t="s">
        <v>130</v>
      </c>
      <c r="D743" s="371">
        <v>191</v>
      </c>
      <c r="E743" s="288" t="s">
        <v>212</v>
      </c>
      <c r="F743" t="s">
        <v>1482</v>
      </c>
    </row>
    <row r="744" spans="1:6" ht="15.75" customHeight="1">
      <c r="A744" s="274">
        <v>46149</v>
      </c>
      <c r="B744" s="258" t="s">
        <v>679</v>
      </c>
      <c r="C744" s="264" t="s">
        <v>130</v>
      </c>
      <c r="D744" s="372">
        <v>613.78</v>
      </c>
      <c r="E744" s="288" t="s">
        <v>212</v>
      </c>
      <c r="F744" t="s">
        <v>1482</v>
      </c>
    </row>
    <row r="745" spans="1:6" ht="15.75" customHeight="1">
      <c r="A745" s="274">
        <v>46149</v>
      </c>
      <c r="B745" s="258" t="s">
        <v>721</v>
      </c>
      <c r="C745" s="264" t="s">
        <v>130</v>
      </c>
      <c r="D745" s="371">
        <v>548.34</v>
      </c>
      <c r="E745" s="288" t="s">
        <v>212</v>
      </c>
      <c r="F745" t="s">
        <v>1482</v>
      </c>
    </row>
    <row r="746" spans="1:6" ht="15.75" customHeight="1">
      <c r="A746" s="274">
        <v>46149</v>
      </c>
      <c r="B746" s="258" t="s">
        <v>657</v>
      </c>
      <c r="C746" s="264" t="s">
        <v>130</v>
      </c>
      <c r="D746" s="372">
        <v>566.66</v>
      </c>
      <c r="E746" s="288" t="s">
        <v>212</v>
      </c>
      <c r="F746" t="s">
        <v>1482</v>
      </c>
    </row>
    <row r="747" spans="1:6" ht="15.75" customHeight="1">
      <c r="A747" s="274">
        <v>46149</v>
      </c>
      <c r="B747" s="258" t="s">
        <v>655</v>
      </c>
      <c r="C747" s="264" t="s">
        <v>130</v>
      </c>
      <c r="D747" s="371">
        <v>683.43</v>
      </c>
      <c r="E747" s="288" t="s">
        <v>212</v>
      </c>
      <c r="F747" t="s">
        <v>1482</v>
      </c>
    </row>
    <row r="748" spans="1:6" ht="15.75" customHeight="1">
      <c r="A748" s="274">
        <v>46149</v>
      </c>
      <c r="B748" s="258" t="s">
        <v>655</v>
      </c>
      <c r="C748" s="264" t="s">
        <v>130</v>
      </c>
      <c r="D748" s="372">
        <v>833.02</v>
      </c>
      <c r="E748" s="288" t="s">
        <v>212</v>
      </c>
      <c r="F748" t="s">
        <v>1482</v>
      </c>
    </row>
    <row r="749" spans="1:6" ht="15.75" customHeight="1">
      <c r="A749" s="274">
        <v>46149</v>
      </c>
      <c r="B749" s="258" t="s">
        <v>667</v>
      </c>
      <c r="C749" s="264" t="s">
        <v>130</v>
      </c>
      <c r="D749" s="371">
        <v>482.07</v>
      </c>
      <c r="E749" s="288" t="s">
        <v>212</v>
      </c>
      <c r="F749" t="s">
        <v>1482</v>
      </c>
    </row>
    <row r="750" spans="1:6" ht="15.75" customHeight="1">
      <c r="A750" s="274">
        <v>46149</v>
      </c>
      <c r="B750" s="258" t="s">
        <v>664</v>
      </c>
      <c r="C750" s="264" t="s">
        <v>130</v>
      </c>
      <c r="D750" s="372">
        <v>3483.88</v>
      </c>
      <c r="E750" s="288" t="s">
        <v>212</v>
      </c>
      <c r="F750" t="s">
        <v>1482</v>
      </c>
    </row>
    <row r="751" spans="1:6" ht="15.75" customHeight="1">
      <c r="A751" s="274">
        <v>46149</v>
      </c>
      <c r="B751" s="63" t="s">
        <v>727</v>
      </c>
      <c r="C751" s="63" t="s">
        <v>132</v>
      </c>
      <c r="D751" s="64">
        <v>2000</v>
      </c>
      <c r="E751" s="288" t="s">
        <v>212</v>
      </c>
      <c r="F751" t="s">
        <v>1482</v>
      </c>
    </row>
    <row r="752" spans="1:6" ht="15.75" customHeight="1">
      <c r="A752" s="274">
        <v>46149</v>
      </c>
      <c r="B752" s="295" t="s">
        <v>678</v>
      </c>
      <c r="C752" s="63" t="s">
        <v>132</v>
      </c>
      <c r="D752" s="296">
        <v>1550.69</v>
      </c>
      <c r="E752" s="288" t="s">
        <v>212</v>
      </c>
      <c r="F752" t="s">
        <v>1482</v>
      </c>
    </row>
    <row r="753" spans="1:6" ht="15.75" customHeight="1">
      <c r="A753" s="274">
        <v>46149</v>
      </c>
      <c r="B753" s="258" t="s">
        <v>1577</v>
      </c>
      <c r="C753" s="63" t="s">
        <v>132</v>
      </c>
      <c r="D753" s="261">
        <v>1028.32</v>
      </c>
      <c r="E753" s="288" t="s">
        <v>212</v>
      </c>
      <c r="F753" t="s">
        <v>1482</v>
      </c>
    </row>
    <row r="754" spans="1:6" ht="15.75" customHeight="1">
      <c r="A754" s="274">
        <v>46149</v>
      </c>
      <c r="B754" s="258" t="s">
        <v>1578</v>
      </c>
      <c r="C754" s="63" t="s">
        <v>132</v>
      </c>
      <c r="D754" s="261">
        <v>2418.48</v>
      </c>
      <c r="E754" s="288" t="s">
        <v>212</v>
      </c>
      <c r="F754" t="s">
        <v>1482</v>
      </c>
    </row>
    <row r="755" spans="1:6" ht="15.75" customHeight="1">
      <c r="A755" s="274">
        <v>46149</v>
      </c>
      <c r="B755" s="258" t="s">
        <v>127</v>
      </c>
      <c r="C755" s="264" t="s">
        <v>128</v>
      </c>
      <c r="D755" s="261">
        <v>12.67</v>
      </c>
      <c r="E755" s="288" t="s">
        <v>212</v>
      </c>
      <c r="F755" t="s">
        <v>1482</v>
      </c>
    </row>
    <row r="756" spans="1:6" ht="15.75" customHeight="1">
      <c r="A756" s="274">
        <v>46150</v>
      </c>
      <c r="B756" s="258" t="s">
        <v>127</v>
      </c>
      <c r="C756" s="264" t="s">
        <v>128</v>
      </c>
      <c r="D756" s="261">
        <v>12.67</v>
      </c>
      <c r="E756" s="288" t="s">
        <v>212</v>
      </c>
      <c r="F756" t="s">
        <v>1482</v>
      </c>
    </row>
    <row r="757" spans="1:6" ht="15.75" customHeight="1">
      <c r="A757" s="274">
        <v>46150</v>
      </c>
      <c r="B757" s="258" t="s">
        <v>1579</v>
      </c>
      <c r="C757" s="264" t="s">
        <v>130</v>
      </c>
      <c r="D757" s="261">
        <v>104</v>
      </c>
      <c r="E757" s="288" t="s">
        <v>212</v>
      </c>
      <c r="F757" t="s">
        <v>1482</v>
      </c>
    </row>
    <row r="758" spans="1:6" ht="15.75" customHeight="1">
      <c r="A758" s="274">
        <v>46150</v>
      </c>
      <c r="B758" s="258" t="s">
        <v>655</v>
      </c>
      <c r="C758" s="264" t="s">
        <v>130</v>
      </c>
      <c r="D758" s="371">
        <v>638.42999999999995</v>
      </c>
      <c r="E758" s="288" t="s">
        <v>212</v>
      </c>
      <c r="F758" t="s">
        <v>1482</v>
      </c>
    </row>
    <row r="759" spans="1:6" ht="15.75" customHeight="1">
      <c r="A759" s="274">
        <v>46150</v>
      </c>
      <c r="B759" s="258" t="s">
        <v>158</v>
      </c>
      <c r="C759" s="264" t="s">
        <v>169</v>
      </c>
      <c r="D759" s="261">
        <v>530</v>
      </c>
      <c r="E759" s="288" t="s">
        <v>212</v>
      </c>
      <c r="F759" t="s">
        <v>1482</v>
      </c>
    </row>
    <row r="760" spans="1:6" ht="15.75" customHeight="1">
      <c r="A760" s="274">
        <v>46150</v>
      </c>
      <c r="B760" s="258" t="s">
        <v>154</v>
      </c>
      <c r="C760" s="63" t="s">
        <v>147</v>
      </c>
      <c r="D760" s="261">
        <v>8500</v>
      </c>
      <c r="E760" s="288" t="s">
        <v>212</v>
      </c>
      <c r="F760" t="s">
        <v>1482</v>
      </c>
    </row>
    <row r="761" spans="1:6" ht="15.75" customHeight="1">
      <c r="A761" s="274">
        <v>46150</v>
      </c>
      <c r="B761" s="258" t="s">
        <v>1269</v>
      </c>
      <c r="C761" s="63" t="s">
        <v>110</v>
      </c>
      <c r="D761" s="261">
        <v>666.36</v>
      </c>
      <c r="E761" s="288" t="s">
        <v>212</v>
      </c>
      <c r="F761" t="s">
        <v>1482</v>
      </c>
    </row>
    <row r="762" spans="1:6" ht="15.75" customHeight="1">
      <c r="A762" s="274">
        <v>46153</v>
      </c>
      <c r="B762" s="373" t="s">
        <v>1580</v>
      </c>
      <c r="C762" s="63" t="s">
        <v>122</v>
      </c>
      <c r="D762" s="261">
        <v>2620.16</v>
      </c>
      <c r="E762" s="288" t="s">
        <v>212</v>
      </c>
      <c r="F762" t="s">
        <v>1482</v>
      </c>
    </row>
    <row r="763" spans="1:6" ht="15.75" customHeight="1">
      <c r="A763" s="274">
        <v>46153</v>
      </c>
      <c r="B763" s="374" t="s">
        <v>1581</v>
      </c>
      <c r="C763" s="63" t="s">
        <v>130</v>
      </c>
      <c r="D763" s="261">
        <v>1708.05</v>
      </c>
      <c r="E763" s="288" t="s">
        <v>212</v>
      </c>
      <c r="F763" t="s">
        <v>1482</v>
      </c>
    </row>
    <row r="764" spans="1:6" ht="15.75" customHeight="1">
      <c r="A764" s="274">
        <v>46153</v>
      </c>
      <c r="B764" s="373" t="s">
        <v>775</v>
      </c>
      <c r="C764" s="63" t="s">
        <v>130</v>
      </c>
      <c r="D764" s="261">
        <v>1462.5</v>
      </c>
      <c r="E764" s="288" t="s">
        <v>212</v>
      </c>
      <c r="F764" t="s">
        <v>1482</v>
      </c>
    </row>
    <row r="765" spans="1:6" ht="15.75" customHeight="1">
      <c r="A765" s="274">
        <v>46153</v>
      </c>
      <c r="B765" s="374" t="s">
        <v>761</v>
      </c>
      <c r="C765" s="63" t="s">
        <v>130</v>
      </c>
      <c r="D765" s="261">
        <v>1404.5</v>
      </c>
      <c r="E765" s="288" t="s">
        <v>212</v>
      </c>
      <c r="F765" t="s">
        <v>1482</v>
      </c>
    </row>
    <row r="766" spans="1:6" ht="15.75" customHeight="1">
      <c r="A766" s="274">
        <v>46153</v>
      </c>
      <c r="B766" s="373" t="s">
        <v>778</v>
      </c>
      <c r="C766" s="63" t="s">
        <v>130</v>
      </c>
      <c r="D766" s="261">
        <v>1324</v>
      </c>
      <c r="E766" s="288" t="s">
        <v>212</v>
      </c>
      <c r="F766" t="s">
        <v>1482</v>
      </c>
    </row>
    <row r="767" spans="1:6" ht="15.75" customHeight="1">
      <c r="A767" s="274">
        <v>46153</v>
      </c>
      <c r="B767" s="374" t="s">
        <v>1366</v>
      </c>
      <c r="C767" s="63" t="s">
        <v>130</v>
      </c>
      <c r="D767" s="261">
        <v>1225.6500000000001</v>
      </c>
      <c r="E767" s="288" t="s">
        <v>212</v>
      </c>
      <c r="F767" t="s">
        <v>1482</v>
      </c>
    </row>
    <row r="768" spans="1:6" ht="15.75" customHeight="1">
      <c r="A768" s="274">
        <v>46153</v>
      </c>
      <c r="B768" s="373" t="s">
        <v>770</v>
      </c>
      <c r="C768" s="63" t="s">
        <v>130</v>
      </c>
      <c r="D768" s="261">
        <v>1028.05</v>
      </c>
      <c r="E768" s="288" t="s">
        <v>212</v>
      </c>
      <c r="F768" t="s">
        <v>1482</v>
      </c>
    </row>
    <row r="769" spans="1:6" ht="15.75" customHeight="1">
      <c r="A769" s="274">
        <v>46153</v>
      </c>
      <c r="B769" s="374" t="s">
        <v>1365</v>
      </c>
      <c r="C769" s="63" t="s">
        <v>130</v>
      </c>
      <c r="D769" s="261">
        <v>920.5</v>
      </c>
      <c r="E769" s="288" t="s">
        <v>212</v>
      </c>
      <c r="F769" t="s">
        <v>1482</v>
      </c>
    </row>
    <row r="770" spans="1:6" ht="15.75" customHeight="1">
      <c r="A770" s="274">
        <v>46153</v>
      </c>
      <c r="B770" s="373" t="s">
        <v>759</v>
      </c>
      <c r="C770" s="63" t="s">
        <v>130</v>
      </c>
      <c r="D770" s="261">
        <v>904.43</v>
      </c>
      <c r="E770" s="288" t="s">
        <v>212</v>
      </c>
      <c r="F770" t="s">
        <v>1482</v>
      </c>
    </row>
    <row r="771" spans="1:6" ht="15.75" customHeight="1">
      <c r="A771" s="274">
        <v>46153</v>
      </c>
      <c r="B771" s="374" t="s">
        <v>759</v>
      </c>
      <c r="C771" s="63" t="s">
        <v>130</v>
      </c>
      <c r="D771" s="261">
        <v>858</v>
      </c>
      <c r="E771" s="288" t="s">
        <v>212</v>
      </c>
      <c r="F771" t="s">
        <v>1482</v>
      </c>
    </row>
    <row r="772" spans="1:6" ht="15.75" customHeight="1">
      <c r="A772" s="274">
        <v>46153</v>
      </c>
      <c r="B772" s="373" t="s">
        <v>759</v>
      </c>
      <c r="C772" s="63" t="s">
        <v>130</v>
      </c>
      <c r="D772" s="261">
        <v>779.27</v>
      </c>
      <c r="E772" s="288" t="s">
        <v>212</v>
      </c>
      <c r="F772" t="s">
        <v>1482</v>
      </c>
    </row>
    <row r="773" spans="1:6" ht="15.75" customHeight="1">
      <c r="A773" s="274">
        <v>46153</v>
      </c>
      <c r="B773" s="374" t="s">
        <v>759</v>
      </c>
      <c r="C773" s="63" t="s">
        <v>130</v>
      </c>
      <c r="D773" s="261">
        <v>640.5</v>
      </c>
      <c r="E773" s="288" t="s">
        <v>212</v>
      </c>
      <c r="F773" t="s">
        <v>1482</v>
      </c>
    </row>
    <row r="774" spans="1:6" ht="15.75" customHeight="1">
      <c r="A774" s="274">
        <v>46153</v>
      </c>
      <c r="B774" s="373" t="s">
        <v>769</v>
      </c>
      <c r="C774" s="63" t="s">
        <v>130</v>
      </c>
      <c r="D774" s="261">
        <v>624.5</v>
      </c>
      <c r="E774" s="288" t="s">
        <v>212</v>
      </c>
      <c r="F774" t="s">
        <v>1482</v>
      </c>
    </row>
    <row r="775" spans="1:6" ht="15.75" customHeight="1">
      <c r="A775" s="274">
        <v>46153</v>
      </c>
      <c r="B775" s="374" t="s">
        <v>1582</v>
      </c>
      <c r="C775" s="63" t="s">
        <v>132</v>
      </c>
      <c r="D775" s="261">
        <v>560</v>
      </c>
      <c r="E775" s="288" t="s">
        <v>212</v>
      </c>
      <c r="F775" t="s">
        <v>1482</v>
      </c>
    </row>
    <row r="776" spans="1:6" ht="15.75" customHeight="1">
      <c r="A776" s="274">
        <v>46153</v>
      </c>
      <c r="B776" s="373" t="s">
        <v>717</v>
      </c>
      <c r="C776" s="63" t="s">
        <v>130</v>
      </c>
      <c r="D776" s="261">
        <v>556.91</v>
      </c>
      <c r="E776" s="288" t="s">
        <v>212</v>
      </c>
      <c r="F776" t="s">
        <v>1482</v>
      </c>
    </row>
    <row r="777" spans="1:6" ht="15.75" customHeight="1">
      <c r="A777" s="274">
        <v>46153</v>
      </c>
      <c r="B777" s="374" t="s">
        <v>717</v>
      </c>
      <c r="C777" s="63" t="s">
        <v>130</v>
      </c>
      <c r="D777" s="261">
        <v>521</v>
      </c>
      <c r="E777" s="288" t="s">
        <v>212</v>
      </c>
      <c r="F777" t="s">
        <v>1482</v>
      </c>
    </row>
    <row r="778" spans="1:6" ht="15.75" customHeight="1">
      <c r="A778" s="274">
        <v>46153</v>
      </c>
      <c r="B778" s="373" t="s">
        <v>1366</v>
      </c>
      <c r="C778" s="63" t="s">
        <v>130</v>
      </c>
      <c r="D778" s="261">
        <v>497.04</v>
      </c>
      <c r="E778" s="288" t="s">
        <v>212</v>
      </c>
      <c r="F778" t="s">
        <v>1482</v>
      </c>
    </row>
    <row r="779" spans="1:6" ht="15.75" customHeight="1">
      <c r="A779" s="274">
        <v>46153</v>
      </c>
      <c r="B779" s="374" t="s">
        <v>770</v>
      </c>
      <c r="C779" s="63" t="s">
        <v>130</v>
      </c>
      <c r="D779" s="261">
        <v>467.99</v>
      </c>
      <c r="E779" s="288" t="s">
        <v>212</v>
      </c>
      <c r="F779" t="s">
        <v>1482</v>
      </c>
    </row>
    <row r="780" spans="1:6" ht="15.75" customHeight="1">
      <c r="A780" s="274">
        <v>46153</v>
      </c>
      <c r="B780" s="373" t="s">
        <v>1583</v>
      </c>
      <c r="C780" s="63" t="s">
        <v>1570</v>
      </c>
      <c r="D780" s="261">
        <v>229.47</v>
      </c>
      <c r="E780" s="288" t="s">
        <v>212</v>
      </c>
      <c r="F780" t="s">
        <v>1482</v>
      </c>
    </row>
    <row r="781" spans="1:6" ht="15.75" customHeight="1">
      <c r="A781" s="274">
        <v>46153</v>
      </c>
      <c r="B781" s="374" t="s">
        <v>1584</v>
      </c>
      <c r="C781" s="63" t="s">
        <v>130</v>
      </c>
      <c r="D781" s="261">
        <v>85.73</v>
      </c>
      <c r="E781" s="288" t="s">
        <v>212</v>
      </c>
      <c r="F781" t="s">
        <v>1482</v>
      </c>
    </row>
    <row r="782" spans="1:6" ht="15.75" customHeight="1">
      <c r="A782" s="274">
        <v>46153</v>
      </c>
      <c r="B782" s="373" t="s">
        <v>1585</v>
      </c>
      <c r="C782" s="63" t="s">
        <v>132</v>
      </c>
      <c r="D782" s="261">
        <v>65.37</v>
      </c>
      <c r="E782" s="288" t="s">
        <v>212</v>
      </c>
      <c r="F782" t="s">
        <v>1482</v>
      </c>
    </row>
    <row r="783" spans="1:6" ht="15.75" customHeight="1">
      <c r="A783" s="274">
        <v>46153</v>
      </c>
      <c r="B783" s="374" t="s">
        <v>1586</v>
      </c>
      <c r="C783" s="63" t="s">
        <v>130</v>
      </c>
      <c r="D783" s="261">
        <v>49</v>
      </c>
      <c r="E783" s="288" t="s">
        <v>212</v>
      </c>
      <c r="F783" t="s">
        <v>1482</v>
      </c>
    </row>
    <row r="784" spans="1:6" ht="15.75" customHeight="1">
      <c r="A784" s="274">
        <v>46153</v>
      </c>
      <c r="B784" s="69" t="s">
        <v>733</v>
      </c>
      <c r="C784" s="63" t="s">
        <v>145</v>
      </c>
      <c r="D784" s="66">
        <v>175.9</v>
      </c>
      <c r="E784" s="288" t="s">
        <v>212</v>
      </c>
      <c r="F784" t="s">
        <v>1482</v>
      </c>
    </row>
    <row r="785" spans="1:6" ht="15.75" customHeight="1">
      <c r="A785" s="274">
        <v>46153</v>
      </c>
      <c r="B785" s="67" t="s">
        <v>127</v>
      </c>
      <c r="C785" s="63" t="s">
        <v>128</v>
      </c>
      <c r="D785" s="68">
        <v>10.86</v>
      </c>
      <c r="E785" s="288" t="s">
        <v>212</v>
      </c>
      <c r="F785" t="s">
        <v>1482</v>
      </c>
    </row>
    <row r="786" spans="1:6" ht="15.75" customHeight="1">
      <c r="A786" s="274">
        <v>46154</v>
      </c>
      <c r="B786" s="67" t="s">
        <v>127</v>
      </c>
      <c r="C786" s="63" t="s">
        <v>128</v>
      </c>
      <c r="D786" s="68">
        <v>16.29</v>
      </c>
      <c r="E786" s="288" t="s">
        <v>212</v>
      </c>
      <c r="F786" t="s">
        <v>1482</v>
      </c>
    </row>
    <row r="787" spans="1:6" ht="15.75" customHeight="1">
      <c r="A787" s="274">
        <v>46154</v>
      </c>
      <c r="B787" s="69" t="s">
        <v>715</v>
      </c>
      <c r="C787" s="63" t="s">
        <v>130</v>
      </c>
      <c r="D787" s="66">
        <v>664.56</v>
      </c>
      <c r="E787" s="288" t="s">
        <v>212</v>
      </c>
      <c r="F787" t="s">
        <v>1482</v>
      </c>
    </row>
    <row r="788" spans="1:6" ht="15.75" customHeight="1">
      <c r="A788" s="274">
        <v>46154</v>
      </c>
      <c r="B788" s="69" t="s">
        <v>715</v>
      </c>
      <c r="C788" s="63" t="s">
        <v>130</v>
      </c>
      <c r="D788" s="66">
        <v>577.41</v>
      </c>
      <c r="E788" s="288" t="s">
        <v>212</v>
      </c>
      <c r="F788" t="s">
        <v>1482</v>
      </c>
    </row>
    <row r="789" spans="1:6" ht="15.75" customHeight="1">
      <c r="A789" s="274">
        <v>46154</v>
      </c>
      <c r="B789" s="69" t="s">
        <v>715</v>
      </c>
      <c r="C789" s="63" t="s">
        <v>130</v>
      </c>
      <c r="D789" s="68">
        <v>309.75</v>
      </c>
      <c r="E789" s="288" t="s">
        <v>212</v>
      </c>
      <c r="F789" t="s">
        <v>1482</v>
      </c>
    </row>
    <row r="790" spans="1:6" ht="15.75" customHeight="1">
      <c r="A790" s="274">
        <v>46154</v>
      </c>
      <c r="B790" s="69" t="s">
        <v>716</v>
      </c>
      <c r="C790" s="63" t="s">
        <v>130</v>
      </c>
      <c r="D790" s="66">
        <v>358.4</v>
      </c>
      <c r="E790" s="288" t="s">
        <v>212</v>
      </c>
      <c r="F790" t="s">
        <v>1482</v>
      </c>
    </row>
    <row r="791" spans="1:6" ht="15.75" customHeight="1">
      <c r="A791" s="274">
        <v>46154</v>
      </c>
      <c r="B791" s="67" t="s">
        <v>716</v>
      </c>
      <c r="C791" s="63" t="s">
        <v>130</v>
      </c>
      <c r="D791" s="68">
        <v>528.61</v>
      </c>
      <c r="E791" s="288" t="s">
        <v>212</v>
      </c>
      <c r="F791" t="s">
        <v>1482</v>
      </c>
    </row>
    <row r="792" spans="1:6" ht="15.75" customHeight="1">
      <c r="A792" s="274">
        <v>46155</v>
      </c>
      <c r="B792" s="69" t="s">
        <v>127</v>
      </c>
      <c r="C792" s="264" t="s">
        <v>128</v>
      </c>
      <c r="D792" s="68">
        <v>19.91</v>
      </c>
      <c r="E792" s="288" t="s">
        <v>212</v>
      </c>
      <c r="F792" t="s">
        <v>1482</v>
      </c>
    </row>
    <row r="793" spans="1:6" ht="15.75" customHeight="1">
      <c r="A793" s="274">
        <v>46155</v>
      </c>
      <c r="B793" s="69" t="s">
        <v>748</v>
      </c>
      <c r="C793" s="264" t="s">
        <v>130</v>
      </c>
      <c r="D793" s="66">
        <v>111</v>
      </c>
      <c r="E793" s="288" t="s">
        <v>212</v>
      </c>
      <c r="F793" t="s">
        <v>1482</v>
      </c>
    </row>
    <row r="794" spans="1:6" ht="15.75" customHeight="1">
      <c r="A794" s="274">
        <v>46155</v>
      </c>
      <c r="B794" s="67" t="s">
        <v>805</v>
      </c>
      <c r="C794" s="264" t="s">
        <v>130</v>
      </c>
      <c r="D794" s="68">
        <v>800</v>
      </c>
      <c r="E794" s="288" t="s">
        <v>212</v>
      </c>
      <c r="F794" t="s">
        <v>1482</v>
      </c>
    </row>
    <row r="795" spans="1:6" ht="15.75" customHeight="1">
      <c r="A795" s="274">
        <v>46155</v>
      </c>
      <c r="B795" s="69" t="s">
        <v>716</v>
      </c>
      <c r="C795" s="264" t="s">
        <v>130</v>
      </c>
      <c r="D795" s="66">
        <v>632.73</v>
      </c>
      <c r="E795" s="288" t="s">
        <v>212</v>
      </c>
      <c r="F795" t="s">
        <v>1482</v>
      </c>
    </row>
    <row r="796" spans="1:6" ht="15.75" customHeight="1">
      <c r="A796" s="274">
        <v>46155</v>
      </c>
      <c r="B796" s="67" t="s">
        <v>1581</v>
      </c>
      <c r="C796" s="264" t="s">
        <v>130</v>
      </c>
      <c r="D796" s="68">
        <v>1371.08</v>
      </c>
      <c r="E796" s="288" t="s">
        <v>212</v>
      </c>
      <c r="F796" t="s">
        <v>1482</v>
      </c>
    </row>
    <row r="797" spans="1:6" ht="15.75" customHeight="1">
      <c r="A797" s="274">
        <v>46155</v>
      </c>
      <c r="B797" s="258" t="s">
        <v>812</v>
      </c>
      <c r="C797" s="264" t="s">
        <v>130</v>
      </c>
      <c r="D797" s="261">
        <v>476.75</v>
      </c>
      <c r="E797" s="288" t="s">
        <v>212</v>
      </c>
      <c r="F797" t="s">
        <v>1482</v>
      </c>
    </row>
    <row r="798" spans="1:6" ht="15.75" customHeight="1">
      <c r="A798" s="274">
        <v>46155</v>
      </c>
      <c r="B798" s="258" t="s">
        <v>691</v>
      </c>
      <c r="C798" s="264" t="s">
        <v>130</v>
      </c>
      <c r="D798" s="261">
        <v>708</v>
      </c>
      <c r="E798" s="288" t="s">
        <v>212</v>
      </c>
      <c r="F798" t="s">
        <v>1482</v>
      </c>
    </row>
    <row r="799" spans="1:6" ht="15.75" customHeight="1">
      <c r="A799" s="274">
        <v>46155</v>
      </c>
      <c r="B799" s="295" t="s">
        <v>724</v>
      </c>
      <c r="C799" s="264" t="s">
        <v>130</v>
      </c>
      <c r="D799" s="296">
        <v>205</v>
      </c>
      <c r="E799" s="288" t="s">
        <v>212</v>
      </c>
      <c r="F799" t="s">
        <v>1482</v>
      </c>
    </row>
    <row r="800" spans="1:6" ht="15.75" customHeight="1">
      <c r="A800" s="274">
        <v>46155</v>
      </c>
      <c r="B800" s="258" t="s">
        <v>803</v>
      </c>
      <c r="C800" s="264" t="s">
        <v>130</v>
      </c>
      <c r="D800" s="261">
        <v>522</v>
      </c>
      <c r="E800" s="288" t="s">
        <v>212</v>
      </c>
      <c r="F800" t="s">
        <v>1482</v>
      </c>
    </row>
    <row r="801" spans="1:6" ht="15.75" customHeight="1">
      <c r="A801" s="274">
        <v>46155</v>
      </c>
      <c r="B801" s="258" t="s">
        <v>1393</v>
      </c>
      <c r="C801" s="264" t="s">
        <v>130</v>
      </c>
      <c r="D801" s="261">
        <v>522</v>
      </c>
      <c r="E801" s="288" t="s">
        <v>212</v>
      </c>
      <c r="F801" t="s">
        <v>1482</v>
      </c>
    </row>
    <row r="802" spans="1:6" ht="15.75" customHeight="1">
      <c r="A802" s="274">
        <v>46155</v>
      </c>
      <c r="B802" s="258" t="s">
        <v>812</v>
      </c>
      <c r="C802" s="264" t="s">
        <v>130</v>
      </c>
      <c r="D802" s="261">
        <v>212</v>
      </c>
      <c r="E802" s="288" t="s">
        <v>212</v>
      </c>
      <c r="F802" t="s">
        <v>1482</v>
      </c>
    </row>
    <row r="803" spans="1:6" ht="15.75" customHeight="1">
      <c r="A803" s="274">
        <v>46155</v>
      </c>
      <c r="B803" s="258" t="s">
        <v>129</v>
      </c>
      <c r="C803" s="264" t="s">
        <v>130</v>
      </c>
      <c r="D803" s="261">
        <v>725.8</v>
      </c>
      <c r="E803" s="288" t="s">
        <v>212</v>
      </c>
      <c r="F803" t="s">
        <v>1482</v>
      </c>
    </row>
    <row r="804" spans="1:6" ht="15.75" customHeight="1">
      <c r="A804" s="289">
        <v>46155</v>
      </c>
      <c r="B804" s="290" t="s">
        <v>715</v>
      </c>
      <c r="C804" s="375" t="s">
        <v>130</v>
      </c>
      <c r="D804" s="292">
        <v>164.17</v>
      </c>
      <c r="E804" s="288" t="s">
        <v>212</v>
      </c>
      <c r="F804" t="s">
        <v>1482</v>
      </c>
    </row>
    <row r="805" spans="1:6" ht="15.75" customHeight="1">
      <c r="A805" s="289">
        <v>46156</v>
      </c>
      <c r="B805" s="290" t="s">
        <v>1349</v>
      </c>
      <c r="C805" s="375" t="s">
        <v>130</v>
      </c>
      <c r="D805" s="292">
        <v>342</v>
      </c>
      <c r="E805" s="288" t="s">
        <v>212</v>
      </c>
      <c r="F805" t="s">
        <v>1482</v>
      </c>
    </row>
    <row r="806" spans="1:6" ht="15.75" customHeight="1">
      <c r="A806" s="274">
        <v>46156</v>
      </c>
      <c r="B806" s="258" t="s">
        <v>127</v>
      </c>
      <c r="C806" s="264" t="s">
        <v>128</v>
      </c>
      <c r="D806" s="261">
        <v>16.29</v>
      </c>
      <c r="E806" s="288" t="s">
        <v>212</v>
      </c>
      <c r="F806" t="s">
        <v>1482</v>
      </c>
    </row>
    <row r="807" spans="1:6" ht="15.75" customHeight="1">
      <c r="A807" s="274">
        <v>46156</v>
      </c>
      <c r="B807" s="258" t="s">
        <v>716</v>
      </c>
      <c r="C807" s="264" t="s">
        <v>130</v>
      </c>
      <c r="D807" s="261">
        <v>551.11</v>
      </c>
      <c r="E807" s="288" t="s">
        <v>212</v>
      </c>
      <c r="F807" t="s">
        <v>1482</v>
      </c>
    </row>
    <row r="808" spans="1:6" ht="15.75" customHeight="1">
      <c r="A808" s="274">
        <v>46156</v>
      </c>
      <c r="B808" s="258" t="s">
        <v>717</v>
      </c>
      <c r="C808" s="264" t="s">
        <v>130</v>
      </c>
      <c r="D808" s="261">
        <v>341.18</v>
      </c>
      <c r="E808" s="288" t="s">
        <v>212</v>
      </c>
      <c r="F808" t="s">
        <v>1482</v>
      </c>
    </row>
    <row r="809" spans="1:6" ht="15.75" customHeight="1">
      <c r="A809" s="274">
        <v>46156</v>
      </c>
      <c r="B809" s="258" t="s">
        <v>691</v>
      </c>
      <c r="C809" s="264" t="s">
        <v>130</v>
      </c>
      <c r="D809" s="261">
        <v>177</v>
      </c>
      <c r="E809" s="288" t="s">
        <v>212</v>
      </c>
      <c r="F809" t="s">
        <v>1482</v>
      </c>
    </row>
    <row r="810" spans="1:6" ht="15.75" customHeight="1">
      <c r="A810" s="274">
        <v>46156</v>
      </c>
      <c r="B810" s="258" t="s">
        <v>129</v>
      </c>
      <c r="C810" s="264" t="s">
        <v>130</v>
      </c>
      <c r="D810" s="261">
        <v>931.73</v>
      </c>
      <c r="E810" s="288" t="s">
        <v>212</v>
      </c>
      <c r="F810" t="s">
        <v>1482</v>
      </c>
    </row>
    <row r="811" spans="1:6" ht="15.75" customHeight="1">
      <c r="A811" s="274">
        <v>46156</v>
      </c>
      <c r="B811" s="258" t="s">
        <v>473</v>
      </c>
      <c r="C811" s="264" t="s">
        <v>130</v>
      </c>
      <c r="D811" s="261">
        <v>275</v>
      </c>
      <c r="E811" s="288" t="s">
        <v>212</v>
      </c>
      <c r="F811" t="s">
        <v>1482</v>
      </c>
    </row>
    <row r="812" spans="1:6" ht="15.75" customHeight="1">
      <c r="A812" s="274">
        <v>46157</v>
      </c>
      <c r="B812" s="258" t="s">
        <v>716</v>
      </c>
      <c r="C812" s="264" t="s">
        <v>130</v>
      </c>
      <c r="D812" s="261">
        <v>1889.48</v>
      </c>
      <c r="E812" s="288" t="s">
        <v>212</v>
      </c>
      <c r="F812" t="s">
        <v>1482</v>
      </c>
    </row>
    <row r="813" spans="1:6" ht="15.75" customHeight="1">
      <c r="A813" s="274">
        <v>46157</v>
      </c>
      <c r="B813" s="258" t="s">
        <v>803</v>
      </c>
      <c r="C813" s="264" t="s">
        <v>130</v>
      </c>
      <c r="D813" s="261">
        <v>455.85</v>
      </c>
      <c r="E813" s="288" t="s">
        <v>212</v>
      </c>
      <c r="F813" t="s">
        <v>1482</v>
      </c>
    </row>
    <row r="814" spans="1:6" ht="15.75" customHeight="1">
      <c r="A814" s="274">
        <v>46157</v>
      </c>
      <c r="B814" s="258" t="s">
        <v>1390</v>
      </c>
      <c r="C814" s="264" t="s">
        <v>130</v>
      </c>
      <c r="D814" s="261">
        <v>520</v>
      </c>
      <c r="E814" s="288" t="s">
        <v>212</v>
      </c>
      <c r="F814" t="s">
        <v>1482</v>
      </c>
    </row>
    <row r="815" spans="1:6" ht="15.75" customHeight="1">
      <c r="A815" s="274">
        <v>46157</v>
      </c>
      <c r="B815" s="63" t="s">
        <v>144</v>
      </c>
      <c r="C815" s="264" t="s">
        <v>130</v>
      </c>
      <c r="D815" s="64">
        <v>612</v>
      </c>
      <c r="E815" s="288" t="s">
        <v>212</v>
      </c>
      <c r="F815" t="s">
        <v>1482</v>
      </c>
    </row>
    <row r="816" spans="1:6" ht="15.75" customHeight="1">
      <c r="A816" s="274">
        <v>46157</v>
      </c>
      <c r="B816" s="258" t="s">
        <v>127</v>
      </c>
      <c r="C816" s="264" t="s">
        <v>128</v>
      </c>
      <c r="D816" s="261">
        <v>12.67</v>
      </c>
      <c r="E816" s="288" t="s">
        <v>212</v>
      </c>
      <c r="F816" t="s">
        <v>1482</v>
      </c>
    </row>
    <row r="817" spans="1:6" ht="15.75" customHeight="1">
      <c r="A817" s="274">
        <v>46160</v>
      </c>
      <c r="B817" s="258" t="s">
        <v>127</v>
      </c>
      <c r="C817" s="264" t="s">
        <v>128</v>
      </c>
      <c r="D817" s="261">
        <v>14.48</v>
      </c>
      <c r="E817" s="288" t="s">
        <v>212</v>
      </c>
      <c r="F817" t="s">
        <v>1482</v>
      </c>
    </row>
    <row r="818" spans="1:6" ht="15.75" customHeight="1">
      <c r="A818" s="274">
        <v>46160</v>
      </c>
      <c r="B818" s="63" t="s">
        <v>717</v>
      </c>
      <c r="C818" s="264" t="s">
        <v>130</v>
      </c>
      <c r="D818" s="261">
        <v>85.73</v>
      </c>
      <c r="E818" s="288" t="s">
        <v>212</v>
      </c>
      <c r="F818" t="s">
        <v>1482</v>
      </c>
    </row>
    <row r="819" spans="1:6" ht="15.75" customHeight="1">
      <c r="A819" s="274">
        <v>46160</v>
      </c>
      <c r="B819" s="63" t="s">
        <v>715</v>
      </c>
      <c r="C819" s="264" t="s">
        <v>130</v>
      </c>
      <c r="D819" s="261">
        <v>448.94</v>
      </c>
      <c r="E819" s="288" t="s">
        <v>212</v>
      </c>
      <c r="F819" t="s">
        <v>1482</v>
      </c>
    </row>
    <row r="820" spans="1:6" ht="15.75" customHeight="1">
      <c r="A820" s="274">
        <v>46160</v>
      </c>
      <c r="B820" s="258" t="s">
        <v>1569</v>
      </c>
      <c r="C820" s="264" t="s">
        <v>1570</v>
      </c>
      <c r="D820" s="261">
        <v>229.47</v>
      </c>
      <c r="E820" s="288" t="s">
        <v>212</v>
      </c>
      <c r="F820" t="s">
        <v>1482</v>
      </c>
    </row>
    <row r="821" spans="1:6" ht="15.75" customHeight="1">
      <c r="A821" s="274">
        <v>46160</v>
      </c>
      <c r="B821" s="258" t="s">
        <v>1587</v>
      </c>
      <c r="C821" s="264" t="s">
        <v>130</v>
      </c>
      <c r="D821" s="261">
        <v>125</v>
      </c>
      <c r="E821" s="288" t="s">
        <v>212</v>
      </c>
      <c r="F821" t="s">
        <v>1482</v>
      </c>
    </row>
    <row r="822" spans="1:6" ht="15.75" customHeight="1">
      <c r="A822" s="274">
        <v>46161</v>
      </c>
      <c r="B822" s="258" t="s">
        <v>127</v>
      </c>
      <c r="C822" s="264" t="s">
        <v>128</v>
      </c>
      <c r="D822" s="261">
        <v>5.43</v>
      </c>
      <c r="E822" s="288" t="s">
        <v>212</v>
      </c>
      <c r="F822" t="s">
        <v>1482</v>
      </c>
    </row>
    <row r="823" spans="1:6" ht="15.75" customHeight="1">
      <c r="A823" s="274">
        <v>46161</v>
      </c>
      <c r="B823" s="258" t="s">
        <v>1588</v>
      </c>
      <c r="C823" s="264" t="s">
        <v>130</v>
      </c>
      <c r="D823" s="261">
        <v>453</v>
      </c>
      <c r="E823" s="288" t="s">
        <v>212</v>
      </c>
      <c r="F823" t="s">
        <v>1482</v>
      </c>
    </row>
    <row r="824" spans="1:6" ht="15.75" customHeight="1">
      <c r="A824" s="274">
        <v>46161</v>
      </c>
      <c r="B824" s="258" t="s">
        <v>716</v>
      </c>
      <c r="C824" s="264" t="s">
        <v>130</v>
      </c>
      <c r="D824" s="261">
        <v>3773.27</v>
      </c>
      <c r="E824" s="288" t="s">
        <v>212</v>
      </c>
      <c r="F824" t="s">
        <v>1482</v>
      </c>
    </row>
    <row r="825" spans="1:6" ht="15.75" customHeight="1">
      <c r="A825" s="274">
        <v>46162</v>
      </c>
      <c r="B825" s="258" t="s">
        <v>664</v>
      </c>
      <c r="C825" s="264" t="s">
        <v>130</v>
      </c>
      <c r="D825" s="261">
        <v>2934.11</v>
      </c>
      <c r="E825" s="288" t="s">
        <v>212</v>
      </c>
      <c r="F825" t="s">
        <v>1482</v>
      </c>
    </row>
    <row r="826" spans="1:6" ht="15.75" customHeight="1">
      <c r="A826" s="274">
        <v>46162</v>
      </c>
      <c r="B826" s="258" t="s">
        <v>812</v>
      </c>
      <c r="C826" s="264" t="s">
        <v>130</v>
      </c>
      <c r="D826" s="261">
        <v>476.75</v>
      </c>
      <c r="E826" s="288" t="s">
        <v>212</v>
      </c>
      <c r="F826" t="s">
        <v>1482</v>
      </c>
    </row>
    <row r="827" spans="1:6" ht="15.75" customHeight="1">
      <c r="A827" s="274">
        <v>46162</v>
      </c>
      <c r="B827" s="258" t="s">
        <v>1384</v>
      </c>
      <c r="C827" s="264" t="s">
        <v>132</v>
      </c>
      <c r="D827" s="261">
        <v>855.8</v>
      </c>
      <c r="E827" s="288" t="s">
        <v>212</v>
      </c>
      <c r="F827" t="s">
        <v>1482</v>
      </c>
    </row>
    <row r="828" spans="1:6" ht="15.75" customHeight="1">
      <c r="A828" s="274">
        <v>46162</v>
      </c>
      <c r="B828" s="258" t="s">
        <v>1385</v>
      </c>
      <c r="C828" s="264" t="s">
        <v>132</v>
      </c>
      <c r="D828" s="261">
        <v>720</v>
      </c>
      <c r="E828" s="288" t="s">
        <v>212</v>
      </c>
      <c r="F828" t="s">
        <v>1482</v>
      </c>
    </row>
    <row r="829" spans="1:6" ht="15.75" customHeight="1">
      <c r="A829" s="274">
        <v>46162</v>
      </c>
      <c r="B829" s="258" t="s">
        <v>148</v>
      </c>
      <c r="C829" s="264" t="s">
        <v>149</v>
      </c>
      <c r="D829" s="261">
        <v>13161.14</v>
      </c>
      <c r="E829" s="288" t="s">
        <v>212</v>
      </c>
      <c r="F829" t="s">
        <v>1482</v>
      </c>
    </row>
    <row r="830" spans="1:6" ht="15.75" customHeight="1">
      <c r="A830" s="274">
        <v>46162</v>
      </c>
      <c r="B830" s="69" t="s">
        <v>696</v>
      </c>
      <c r="C830" s="264" t="s">
        <v>149</v>
      </c>
      <c r="D830" s="66">
        <v>1048.2</v>
      </c>
      <c r="E830" s="288" t="s">
        <v>212</v>
      </c>
      <c r="F830" t="s">
        <v>1482</v>
      </c>
    </row>
    <row r="831" spans="1:6" ht="15.75" customHeight="1">
      <c r="A831" s="274">
        <v>46162</v>
      </c>
      <c r="B831" s="258" t="s">
        <v>694</v>
      </c>
      <c r="C831" s="264" t="s">
        <v>149</v>
      </c>
      <c r="D831" s="297">
        <v>555.79999999999995</v>
      </c>
      <c r="E831" s="288" t="s">
        <v>212</v>
      </c>
      <c r="F831" t="s">
        <v>1482</v>
      </c>
    </row>
    <row r="832" spans="1:6" ht="15.75" customHeight="1">
      <c r="A832" s="274">
        <v>46162</v>
      </c>
      <c r="B832" s="258" t="s">
        <v>698</v>
      </c>
      <c r="C832" s="264" t="s">
        <v>122</v>
      </c>
      <c r="D832" s="297">
        <v>496.24</v>
      </c>
      <c r="E832" s="288" t="s">
        <v>212</v>
      </c>
      <c r="F832" t="s">
        <v>1482</v>
      </c>
    </row>
    <row r="833" spans="1:6" ht="15.75" customHeight="1">
      <c r="A833" s="274">
        <v>46162</v>
      </c>
      <c r="B833" s="258" t="s">
        <v>698</v>
      </c>
      <c r="C833" s="264" t="s">
        <v>122</v>
      </c>
      <c r="D833" s="297">
        <v>473.47</v>
      </c>
      <c r="E833" s="288" t="s">
        <v>212</v>
      </c>
      <c r="F833" t="s">
        <v>1482</v>
      </c>
    </row>
    <row r="834" spans="1:6" ht="15.75" customHeight="1">
      <c r="A834" s="274">
        <v>46162</v>
      </c>
      <c r="B834" s="258" t="s">
        <v>127</v>
      </c>
      <c r="C834" s="264" t="s">
        <v>128</v>
      </c>
      <c r="D834" s="297">
        <v>7.24</v>
      </c>
      <c r="E834" s="288" t="s">
        <v>212</v>
      </c>
      <c r="F834" t="s">
        <v>1482</v>
      </c>
    </row>
    <row r="835" spans="1:6" ht="15.75" customHeight="1">
      <c r="A835" s="274">
        <v>46163</v>
      </c>
      <c r="B835" s="258" t="s">
        <v>127</v>
      </c>
      <c r="C835" s="264" t="s">
        <v>128</v>
      </c>
      <c r="D835" s="297">
        <v>10.86</v>
      </c>
      <c r="E835" s="288" t="s">
        <v>212</v>
      </c>
      <c r="F835" t="s">
        <v>1482</v>
      </c>
    </row>
    <row r="836" spans="1:6" ht="15.75" customHeight="1">
      <c r="A836" s="274">
        <v>46163</v>
      </c>
      <c r="B836" s="258" t="s">
        <v>664</v>
      </c>
      <c r="C836" s="264" t="s">
        <v>130</v>
      </c>
      <c r="D836" s="297">
        <v>2689.46</v>
      </c>
      <c r="E836" s="288" t="s">
        <v>212</v>
      </c>
      <c r="F836" t="s">
        <v>1482</v>
      </c>
    </row>
    <row r="837" spans="1:6" ht="15.75" customHeight="1">
      <c r="A837" s="274">
        <v>46163</v>
      </c>
      <c r="B837" s="258" t="s">
        <v>812</v>
      </c>
      <c r="C837" s="264" t="s">
        <v>130</v>
      </c>
      <c r="D837" s="297">
        <v>757.9</v>
      </c>
      <c r="E837" s="288" t="s">
        <v>212</v>
      </c>
      <c r="F837" t="s">
        <v>1482</v>
      </c>
    </row>
    <row r="838" spans="1:6" ht="15.75" customHeight="1">
      <c r="A838" s="274">
        <v>46163</v>
      </c>
      <c r="B838" s="258" t="s">
        <v>473</v>
      </c>
      <c r="C838" s="264" t="s">
        <v>130</v>
      </c>
      <c r="D838" s="297">
        <v>500</v>
      </c>
      <c r="E838" s="288" t="s">
        <v>212</v>
      </c>
      <c r="F838" t="s">
        <v>1482</v>
      </c>
    </row>
    <row r="839" spans="1:6" ht="15.75" customHeight="1">
      <c r="A839" s="274">
        <v>46163</v>
      </c>
      <c r="B839" s="258" t="s">
        <v>1589</v>
      </c>
      <c r="C839" s="264" t="s">
        <v>130</v>
      </c>
      <c r="D839" s="297">
        <v>549</v>
      </c>
      <c r="E839" s="288" t="s">
        <v>212</v>
      </c>
      <c r="F839" t="s">
        <v>1482</v>
      </c>
    </row>
    <row r="840" spans="1:6" ht="15.75" customHeight="1">
      <c r="A840" s="274">
        <v>46163</v>
      </c>
      <c r="B840" s="258" t="s">
        <v>1590</v>
      </c>
      <c r="C840" s="264" t="s">
        <v>130</v>
      </c>
      <c r="D840" s="297">
        <v>784.07</v>
      </c>
      <c r="E840" s="288" t="s">
        <v>212</v>
      </c>
      <c r="F840" t="s">
        <v>1482</v>
      </c>
    </row>
    <row r="841" spans="1:6" ht="15.75" customHeight="1">
      <c r="A841" s="274">
        <v>46164</v>
      </c>
      <c r="B841" s="258" t="s">
        <v>127</v>
      </c>
      <c r="C841" s="264" t="s">
        <v>128</v>
      </c>
      <c r="D841" s="297">
        <v>10.86</v>
      </c>
      <c r="E841" s="288" t="s">
        <v>212</v>
      </c>
      <c r="F841" t="s">
        <v>1482</v>
      </c>
    </row>
    <row r="842" spans="1:6" ht="15.75" customHeight="1">
      <c r="A842" s="274">
        <v>46164</v>
      </c>
      <c r="B842" s="258" t="s">
        <v>679</v>
      </c>
      <c r="C842" s="264" t="s">
        <v>130</v>
      </c>
      <c r="D842" s="297">
        <v>613.78</v>
      </c>
      <c r="E842" s="288" t="s">
        <v>212</v>
      </c>
      <c r="F842" t="s">
        <v>1482</v>
      </c>
    </row>
    <row r="843" spans="1:6" ht="15.75" customHeight="1">
      <c r="A843" s="274">
        <v>46164</v>
      </c>
      <c r="B843" s="258" t="s">
        <v>803</v>
      </c>
      <c r="C843" s="264" t="s">
        <v>130</v>
      </c>
      <c r="D843" s="297">
        <v>547.75</v>
      </c>
      <c r="E843" s="288" t="s">
        <v>212</v>
      </c>
      <c r="F843" t="s">
        <v>1482</v>
      </c>
    </row>
    <row r="844" spans="1:6" ht="15.75" customHeight="1">
      <c r="A844" s="274">
        <v>46164</v>
      </c>
      <c r="B844" s="258" t="s">
        <v>716</v>
      </c>
      <c r="C844" s="264" t="s">
        <v>130</v>
      </c>
      <c r="D844" s="297">
        <v>683.43</v>
      </c>
      <c r="E844" s="288" t="s">
        <v>212</v>
      </c>
      <c r="F844" t="s">
        <v>1482</v>
      </c>
    </row>
    <row r="845" spans="1:6" ht="15.75" customHeight="1">
      <c r="A845" s="274">
        <v>46164</v>
      </c>
      <c r="B845" s="258" t="s">
        <v>716</v>
      </c>
      <c r="C845" s="264" t="s">
        <v>130</v>
      </c>
      <c r="D845" s="297">
        <v>3044.94</v>
      </c>
      <c r="E845" s="288" t="s">
        <v>212</v>
      </c>
      <c r="F845" t="s">
        <v>1482</v>
      </c>
    </row>
    <row r="846" spans="1:6" ht="15.75" customHeight="1">
      <c r="A846" s="274">
        <v>46164</v>
      </c>
      <c r="B846" s="258" t="s">
        <v>716</v>
      </c>
      <c r="C846" s="264" t="s">
        <v>130</v>
      </c>
      <c r="D846" s="297">
        <v>396.92</v>
      </c>
      <c r="E846" s="288" t="s">
        <v>212</v>
      </c>
      <c r="F846" t="s">
        <v>1482</v>
      </c>
    </row>
    <row r="847" spans="1:6" ht="15.75" customHeight="1">
      <c r="A847" s="274">
        <v>46164</v>
      </c>
      <c r="B847" s="258" t="s">
        <v>653</v>
      </c>
      <c r="C847" s="264" t="s">
        <v>130</v>
      </c>
      <c r="D847" s="297">
        <v>450</v>
      </c>
      <c r="E847" s="288" t="s">
        <v>212</v>
      </c>
      <c r="F847" t="s">
        <v>1482</v>
      </c>
    </row>
    <row r="848" spans="1:6" ht="15.75" customHeight="1">
      <c r="A848" s="274">
        <v>46164</v>
      </c>
      <c r="B848" s="258" t="s">
        <v>1591</v>
      </c>
      <c r="C848" s="264" t="s">
        <v>130</v>
      </c>
      <c r="D848" s="297">
        <v>216</v>
      </c>
      <c r="E848" s="288" t="s">
        <v>212</v>
      </c>
      <c r="F848" t="s">
        <v>1482</v>
      </c>
    </row>
    <row r="849" spans="1:6" ht="15.75" customHeight="1">
      <c r="A849" s="274">
        <v>46164</v>
      </c>
      <c r="B849" s="258" t="s">
        <v>715</v>
      </c>
      <c r="C849" s="264" t="s">
        <v>130</v>
      </c>
      <c r="D849" s="297">
        <v>374.4</v>
      </c>
      <c r="E849" s="288" t="s">
        <v>212</v>
      </c>
      <c r="F849" t="s">
        <v>1482</v>
      </c>
    </row>
    <row r="850" spans="1:6" ht="15.75" customHeight="1">
      <c r="A850" s="274">
        <v>46164</v>
      </c>
      <c r="B850" s="258" t="s">
        <v>1592</v>
      </c>
      <c r="C850" s="264" t="s">
        <v>130</v>
      </c>
      <c r="D850" s="297">
        <v>371.46</v>
      </c>
      <c r="E850" s="288" t="s">
        <v>212</v>
      </c>
      <c r="F850" t="s">
        <v>1482</v>
      </c>
    </row>
    <row r="851" spans="1:6" ht="15.75" customHeight="1">
      <c r="A851" s="274">
        <v>46164</v>
      </c>
      <c r="B851" s="258" t="s">
        <v>790</v>
      </c>
      <c r="C851" s="264" t="s">
        <v>130</v>
      </c>
      <c r="D851" s="297">
        <v>479.6</v>
      </c>
      <c r="E851" s="288" t="s">
        <v>212</v>
      </c>
      <c r="F851" t="s">
        <v>1482</v>
      </c>
    </row>
    <row r="852" spans="1:6" ht="15.75" customHeight="1">
      <c r="A852" s="274">
        <v>46164</v>
      </c>
      <c r="B852" s="299" t="s">
        <v>653</v>
      </c>
      <c r="C852" s="264" t="s">
        <v>130</v>
      </c>
      <c r="D852" s="300">
        <v>208</v>
      </c>
      <c r="E852" s="288" t="s">
        <v>212</v>
      </c>
      <c r="F852" t="s">
        <v>1482</v>
      </c>
    </row>
    <row r="853" spans="1:6" ht="15.75" customHeight="1">
      <c r="A853" s="274">
        <v>46164</v>
      </c>
      <c r="B853" s="299" t="s">
        <v>1588</v>
      </c>
      <c r="C853" s="376" t="s">
        <v>130</v>
      </c>
      <c r="D853" s="300">
        <v>78</v>
      </c>
      <c r="E853" s="288" t="s">
        <v>212</v>
      </c>
      <c r="F853" t="s">
        <v>1482</v>
      </c>
    </row>
    <row r="854" spans="1:6" ht="15.75" customHeight="1">
      <c r="A854" s="274">
        <v>46167</v>
      </c>
      <c r="B854" s="299" t="s">
        <v>748</v>
      </c>
      <c r="C854" s="376" t="s">
        <v>130</v>
      </c>
      <c r="D854" s="300">
        <v>6.07</v>
      </c>
      <c r="E854" s="288" t="s">
        <v>212</v>
      </c>
      <c r="F854" t="s">
        <v>1482</v>
      </c>
    </row>
    <row r="855" spans="1:6" ht="15.75" customHeight="1">
      <c r="A855" s="274">
        <v>46167</v>
      </c>
      <c r="B855" s="299" t="s">
        <v>123</v>
      </c>
      <c r="C855" s="376" t="s">
        <v>124</v>
      </c>
      <c r="D855" s="300">
        <v>2595.3200000000002</v>
      </c>
      <c r="E855" s="288" t="s">
        <v>212</v>
      </c>
      <c r="F855" t="s">
        <v>1482</v>
      </c>
    </row>
    <row r="856" spans="1:6" ht="15.75" customHeight="1">
      <c r="A856" s="274">
        <v>46167</v>
      </c>
      <c r="B856" s="299" t="s">
        <v>716</v>
      </c>
      <c r="C856" s="376" t="s">
        <v>130</v>
      </c>
      <c r="D856" s="300">
        <v>487.44</v>
      </c>
      <c r="E856" s="288" t="s">
        <v>212</v>
      </c>
      <c r="F856" t="s">
        <v>1482</v>
      </c>
    </row>
    <row r="857" spans="1:6" ht="15.75" customHeight="1">
      <c r="A857" s="274">
        <v>46167</v>
      </c>
      <c r="B857" s="299" t="s">
        <v>1393</v>
      </c>
      <c r="C857" s="376" t="s">
        <v>130</v>
      </c>
      <c r="D857" s="300">
        <v>400</v>
      </c>
      <c r="E857" s="288" t="s">
        <v>212</v>
      </c>
      <c r="F857" t="s">
        <v>1482</v>
      </c>
    </row>
    <row r="858" spans="1:6" ht="15.75" customHeight="1">
      <c r="A858" s="274">
        <v>46167</v>
      </c>
      <c r="B858" s="301" t="s">
        <v>716</v>
      </c>
      <c r="C858" s="376" t="s">
        <v>130</v>
      </c>
      <c r="D858" s="302">
        <v>1226.01</v>
      </c>
      <c r="E858" s="288" t="s">
        <v>212</v>
      </c>
      <c r="F858" t="s">
        <v>1482</v>
      </c>
    </row>
    <row r="859" spans="1:6" ht="15.75" customHeight="1">
      <c r="A859" s="274">
        <v>46167</v>
      </c>
      <c r="B859" s="301" t="s">
        <v>129</v>
      </c>
      <c r="C859" s="376" t="s">
        <v>130</v>
      </c>
      <c r="D859" s="302">
        <v>858</v>
      </c>
      <c r="E859" s="288" t="s">
        <v>212</v>
      </c>
      <c r="F859" t="s">
        <v>1482</v>
      </c>
    </row>
    <row r="860" spans="1:6" ht="15.75" customHeight="1">
      <c r="A860" s="274">
        <v>46167</v>
      </c>
      <c r="B860" s="301" t="s">
        <v>129</v>
      </c>
      <c r="C860" s="376" t="s">
        <v>130</v>
      </c>
      <c r="D860" s="302">
        <v>618.20000000000005</v>
      </c>
      <c r="E860" s="288" t="s">
        <v>212</v>
      </c>
      <c r="F860" t="s">
        <v>1482</v>
      </c>
    </row>
    <row r="861" spans="1:6" ht="15.75" customHeight="1">
      <c r="A861" s="274">
        <v>46167</v>
      </c>
      <c r="B861" s="301" t="s">
        <v>778</v>
      </c>
      <c r="C861" s="376" t="s">
        <v>130</v>
      </c>
      <c r="D861" s="302">
        <v>1324</v>
      </c>
      <c r="E861" s="288" t="s">
        <v>212</v>
      </c>
      <c r="F861" t="s">
        <v>1482</v>
      </c>
    </row>
    <row r="862" spans="1:6" ht="15.75" customHeight="1">
      <c r="A862" s="274">
        <v>46167</v>
      </c>
      <c r="B862" s="301" t="s">
        <v>716</v>
      </c>
      <c r="C862" s="376" t="s">
        <v>130</v>
      </c>
      <c r="D862" s="302">
        <v>671.95</v>
      </c>
      <c r="E862" s="288" t="s">
        <v>212</v>
      </c>
      <c r="F862" t="s">
        <v>1482</v>
      </c>
    </row>
    <row r="863" spans="1:6" ht="15.75" customHeight="1">
      <c r="A863" s="274">
        <v>46167</v>
      </c>
      <c r="B863" s="301" t="s">
        <v>667</v>
      </c>
      <c r="C863" s="376" t="s">
        <v>130</v>
      </c>
      <c r="D863" s="302">
        <v>290</v>
      </c>
      <c r="E863" s="288" t="s">
        <v>212</v>
      </c>
      <c r="F863" t="s">
        <v>1482</v>
      </c>
    </row>
    <row r="864" spans="1:6" ht="15.75" customHeight="1">
      <c r="A864" s="274">
        <v>46167</v>
      </c>
      <c r="B864" s="301" t="s">
        <v>716</v>
      </c>
      <c r="C864" s="376" t="s">
        <v>130</v>
      </c>
      <c r="D864" s="302">
        <v>1028.3699999999999</v>
      </c>
      <c r="E864" s="288" t="s">
        <v>212</v>
      </c>
      <c r="F864" t="s">
        <v>1482</v>
      </c>
    </row>
    <row r="865" spans="1:6" ht="15.75" customHeight="1">
      <c r="A865" s="274">
        <v>46167</v>
      </c>
      <c r="B865" s="301" t="s">
        <v>716</v>
      </c>
      <c r="C865" s="376" t="s">
        <v>130</v>
      </c>
      <c r="D865" s="302">
        <v>467.99</v>
      </c>
      <c r="E865" s="288" t="s">
        <v>212</v>
      </c>
      <c r="F865" t="s">
        <v>1482</v>
      </c>
    </row>
    <row r="866" spans="1:6" ht="15.75" customHeight="1">
      <c r="A866" s="274">
        <v>46167</v>
      </c>
      <c r="B866" s="69" t="s">
        <v>775</v>
      </c>
      <c r="C866" s="376" t="s">
        <v>130</v>
      </c>
      <c r="D866" s="66">
        <v>342</v>
      </c>
      <c r="E866" s="288" t="s">
        <v>212</v>
      </c>
      <c r="F866" t="s">
        <v>1482</v>
      </c>
    </row>
    <row r="867" spans="1:6" ht="15.75" customHeight="1">
      <c r="A867" s="274">
        <v>46167</v>
      </c>
      <c r="B867" s="67" t="s">
        <v>1365</v>
      </c>
      <c r="C867" s="376" t="s">
        <v>130</v>
      </c>
      <c r="D867" s="68">
        <v>920.5</v>
      </c>
      <c r="E867" s="288" t="s">
        <v>212</v>
      </c>
      <c r="F867" t="s">
        <v>1482</v>
      </c>
    </row>
    <row r="868" spans="1:6" ht="15.75" customHeight="1">
      <c r="A868" s="274">
        <v>46167</v>
      </c>
      <c r="B868" s="69" t="s">
        <v>664</v>
      </c>
      <c r="C868" s="376" t="s">
        <v>130</v>
      </c>
      <c r="D868" s="64">
        <v>1087.3699999999999</v>
      </c>
      <c r="E868" s="288" t="s">
        <v>212</v>
      </c>
      <c r="F868" t="s">
        <v>1482</v>
      </c>
    </row>
    <row r="869" spans="1:6" ht="15.75" customHeight="1">
      <c r="A869" s="274">
        <v>46167</v>
      </c>
      <c r="B869" s="67" t="s">
        <v>129</v>
      </c>
      <c r="C869" s="376" t="s">
        <v>130</v>
      </c>
      <c r="D869" s="64">
        <v>779.27</v>
      </c>
      <c r="E869" s="288" t="s">
        <v>212</v>
      </c>
      <c r="F869" t="s">
        <v>1482</v>
      </c>
    </row>
    <row r="870" spans="1:6" ht="15.75" customHeight="1">
      <c r="A870" s="274">
        <v>46167</v>
      </c>
      <c r="B870" s="69" t="s">
        <v>702</v>
      </c>
      <c r="C870" s="376" t="s">
        <v>145</v>
      </c>
      <c r="D870" s="66">
        <v>670.22</v>
      </c>
      <c r="E870" s="288" t="s">
        <v>212</v>
      </c>
      <c r="F870" t="s">
        <v>1482</v>
      </c>
    </row>
    <row r="871" spans="1:6" ht="15.75" customHeight="1">
      <c r="A871" s="274">
        <v>46167</v>
      </c>
      <c r="B871" s="69" t="s">
        <v>127</v>
      </c>
      <c r="C871" s="264" t="s">
        <v>128</v>
      </c>
      <c r="D871" s="66">
        <v>9.0500000000000007</v>
      </c>
      <c r="E871" s="288" t="s">
        <v>212</v>
      </c>
      <c r="F871" t="s">
        <v>1482</v>
      </c>
    </row>
    <row r="872" spans="1:6" ht="15.75" customHeight="1">
      <c r="A872" s="274">
        <v>46168</v>
      </c>
      <c r="B872" s="69" t="s">
        <v>713</v>
      </c>
      <c r="C872" s="264" t="s">
        <v>130</v>
      </c>
      <c r="D872" s="66">
        <v>250</v>
      </c>
      <c r="E872" s="288" t="s">
        <v>212</v>
      </c>
      <c r="F872" t="s">
        <v>1482</v>
      </c>
    </row>
    <row r="873" spans="1:6" ht="15.75" customHeight="1">
      <c r="A873" s="274">
        <v>46168</v>
      </c>
      <c r="B873" s="69" t="s">
        <v>771</v>
      </c>
      <c r="C873" s="264" t="s">
        <v>130</v>
      </c>
      <c r="D873" s="66">
        <v>342.41</v>
      </c>
      <c r="E873" s="288" t="s">
        <v>212</v>
      </c>
      <c r="F873" t="s">
        <v>1482</v>
      </c>
    </row>
    <row r="874" spans="1:6" ht="15.75" customHeight="1">
      <c r="A874" s="274">
        <v>46168</v>
      </c>
      <c r="B874" s="67" t="s">
        <v>1593</v>
      </c>
      <c r="C874" s="264" t="s">
        <v>130</v>
      </c>
      <c r="D874" s="68">
        <v>899</v>
      </c>
      <c r="E874" s="288" t="s">
        <v>212</v>
      </c>
      <c r="F874" t="s">
        <v>1482</v>
      </c>
    </row>
    <row r="875" spans="1:6" ht="15.75" customHeight="1">
      <c r="A875" s="274">
        <v>46168</v>
      </c>
      <c r="B875" s="69" t="s">
        <v>129</v>
      </c>
      <c r="C875" s="264" t="s">
        <v>130</v>
      </c>
      <c r="D875" s="66">
        <v>904.43</v>
      </c>
      <c r="E875" s="288" t="s">
        <v>212</v>
      </c>
      <c r="F875" t="s">
        <v>1482</v>
      </c>
    </row>
    <row r="876" spans="1:6" ht="15.75" customHeight="1">
      <c r="A876" s="274">
        <v>46168</v>
      </c>
      <c r="B876" s="67" t="s">
        <v>127</v>
      </c>
      <c r="C876" s="264" t="s">
        <v>128</v>
      </c>
      <c r="D876" s="68">
        <v>12.67</v>
      </c>
      <c r="E876" s="288" t="s">
        <v>212</v>
      </c>
      <c r="F876" t="s">
        <v>1482</v>
      </c>
    </row>
    <row r="877" spans="1:6" ht="15.75" customHeight="1">
      <c r="A877" s="274">
        <v>46169</v>
      </c>
      <c r="B877" s="67" t="s">
        <v>127</v>
      </c>
      <c r="C877" s="264" t="s">
        <v>128</v>
      </c>
      <c r="D877" s="64">
        <v>12.67</v>
      </c>
      <c r="E877" s="288" t="s">
        <v>212</v>
      </c>
      <c r="F877" t="s">
        <v>1482</v>
      </c>
    </row>
    <row r="878" spans="1:6" ht="15.75" customHeight="1">
      <c r="A878" s="274">
        <v>46169</v>
      </c>
      <c r="B878" s="63" t="s">
        <v>790</v>
      </c>
      <c r="C878" s="264" t="s">
        <v>130</v>
      </c>
      <c r="D878" s="64">
        <v>243.8</v>
      </c>
      <c r="E878" s="288" t="s">
        <v>212</v>
      </c>
      <c r="F878" t="s">
        <v>1482</v>
      </c>
    </row>
    <row r="879" spans="1:6" ht="15.75" customHeight="1">
      <c r="A879" s="274">
        <v>46169</v>
      </c>
      <c r="B879" s="63" t="s">
        <v>1405</v>
      </c>
      <c r="C879" s="264" t="s">
        <v>130</v>
      </c>
      <c r="D879" s="64">
        <v>1999.4</v>
      </c>
      <c r="E879" s="288" t="s">
        <v>212</v>
      </c>
      <c r="F879" t="s">
        <v>1482</v>
      </c>
    </row>
    <row r="880" spans="1:6" ht="15.75" customHeight="1">
      <c r="A880" s="274">
        <v>46169</v>
      </c>
      <c r="B880" s="63" t="s">
        <v>717</v>
      </c>
      <c r="C880" s="264" t="s">
        <v>130</v>
      </c>
      <c r="D880" s="64">
        <v>499.7</v>
      </c>
      <c r="E880" s="288" t="s">
        <v>212</v>
      </c>
      <c r="F880" t="s">
        <v>1482</v>
      </c>
    </row>
    <row r="881" spans="1:6" ht="15.75" customHeight="1">
      <c r="A881" s="274">
        <v>46169</v>
      </c>
      <c r="B881" s="63" t="s">
        <v>724</v>
      </c>
      <c r="C881" s="264" t="s">
        <v>130</v>
      </c>
      <c r="D881" s="64">
        <v>307</v>
      </c>
      <c r="E881" s="288" t="s">
        <v>212</v>
      </c>
      <c r="F881" t="s">
        <v>1482</v>
      </c>
    </row>
    <row r="882" spans="1:6" ht="15.75" customHeight="1">
      <c r="A882" s="274">
        <v>46169</v>
      </c>
      <c r="B882" s="63" t="s">
        <v>1594</v>
      </c>
      <c r="C882" s="264" t="s">
        <v>130</v>
      </c>
      <c r="D882" s="64">
        <v>288</v>
      </c>
      <c r="E882" s="288" t="s">
        <v>212</v>
      </c>
      <c r="F882" t="s">
        <v>1482</v>
      </c>
    </row>
    <row r="883" spans="1:6" ht="15.75" customHeight="1">
      <c r="A883" s="274">
        <v>46169</v>
      </c>
      <c r="B883" s="63" t="s">
        <v>755</v>
      </c>
      <c r="C883" s="63" t="s">
        <v>145</v>
      </c>
      <c r="D883" s="64">
        <v>4200</v>
      </c>
      <c r="E883" s="288" t="s">
        <v>212</v>
      </c>
      <c r="F883" t="s">
        <v>1482</v>
      </c>
    </row>
    <row r="884" spans="1:6" ht="15.75" customHeight="1">
      <c r="A884" s="274">
        <v>46170</v>
      </c>
      <c r="B884" s="63" t="s">
        <v>127</v>
      </c>
      <c r="C884" s="63" t="s">
        <v>128</v>
      </c>
      <c r="D884" s="64">
        <v>14.48</v>
      </c>
      <c r="E884" s="288" t="s">
        <v>212</v>
      </c>
      <c r="F884" t="s">
        <v>1482</v>
      </c>
    </row>
    <row r="885" spans="1:6" ht="15.75" customHeight="1">
      <c r="A885" s="274">
        <v>46170</v>
      </c>
      <c r="B885" s="63" t="s">
        <v>1595</v>
      </c>
      <c r="C885" s="63" t="s">
        <v>130</v>
      </c>
      <c r="D885" s="64">
        <v>641.46</v>
      </c>
      <c r="E885" s="288" t="s">
        <v>212</v>
      </c>
      <c r="F885" t="s">
        <v>1482</v>
      </c>
    </row>
    <row r="886" spans="1:6" ht="15.75" customHeight="1">
      <c r="A886" s="274">
        <v>46170</v>
      </c>
      <c r="B886" s="63" t="s">
        <v>806</v>
      </c>
      <c r="C886" s="63" t="s">
        <v>130</v>
      </c>
      <c r="D886" s="64">
        <v>35</v>
      </c>
      <c r="E886" s="288" t="s">
        <v>212</v>
      </c>
      <c r="F886" t="s">
        <v>1482</v>
      </c>
    </row>
    <row r="887" spans="1:6" ht="15.75" customHeight="1">
      <c r="A887" s="274">
        <v>46170</v>
      </c>
      <c r="B887" s="264" t="s">
        <v>1581</v>
      </c>
      <c r="C887" s="63" t="s">
        <v>130</v>
      </c>
      <c r="D887" s="64">
        <v>1191</v>
      </c>
      <c r="E887" s="288" t="s">
        <v>212</v>
      </c>
      <c r="F887" t="s">
        <v>1482</v>
      </c>
    </row>
    <row r="888" spans="1:6" ht="15.75" customHeight="1">
      <c r="A888" s="274">
        <v>46170</v>
      </c>
      <c r="B888" s="63" t="s">
        <v>129</v>
      </c>
      <c r="C888" s="63" t="s">
        <v>130</v>
      </c>
      <c r="D888" s="64">
        <v>258</v>
      </c>
      <c r="E888" s="288" t="s">
        <v>212</v>
      </c>
      <c r="F888" t="s">
        <v>1482</v>
      </c>
    </row>
    <row r="889" spans="1:6" ht="15.75" customHeight="1">
      <c r="A889" s="274">
        <v>46171</v>
      </c>
      <c r="B889" s="63" t="s">
        <v>1365</v>
      </c>
      <c r="C889" s="63" t="s">
        <v>130</v>
      </c>
      <c r="D889" s="64">
        <v>25</v>
      </c>
      <c r="E889" s="288" t="s">
        <v>212</v>
      </c>
      <c r="F889" t="s">
        <v>1482</v>
      </c>
    </row>
    <row r="890" spans="1:6" ht="15.75" customHeight="1">
      <c r="A890" s="274">
        <v>46171</v>
      </c>
      <c r="B890" s="63" t="s">
        <v>127</v>
      </c>
      <c r="C890" s="63" t="s">
        <v>128</v>
      </c>
      <c r="D890" s="64">
        <v>5.43</v>
      </c>
      <c r="E890" s="288" t="s">
        <v>212</v>
      </c>
      <c r="F890" t="s">
        <v>1482</v>
      </c>
    </row>
    <row r="891" spans="1:6" ht="15.75" customHeight="1">
      <c r="A891" s="274">
        <v>46171</v>
      </c>
      <c r="B891" s="63" t="s">
        <v>803</v>
      </c>
      <c r="C891" s="63" t="s">
        <v>130</v>
      </c>
      <c r="D891" s="64">
        <v>566.28</v>
      </c>
      <c r="E891" s="288" t="s">
        <v>212</v>
      </c>
      <c r="F891" t="s">
        <v>1482</v>
      </c>
    </row>
    <row r="892" spans="1:6" ht="15.75" customHeight="1">
      <c r="A892" s="274">
        <v>46171</v>
      </c>
      <c r="B892" s="274" t="s">
        <v>129</v>
      </c>
      <c r="C892" s="63" t="s">
        <v>130</v>
      </c>
      <c r="D892" s="64">
        <v>931.73</v>
      </c>
      <c r="E892" s="288" t="s">
        <v>212</v>
      </c>
      <c r="F892" t="s">
        <v>1482</v>
      </c>
    </row>
    <row r="893" spans="1:6" ht="15.75" customHeight="1">
      <c r="A893" s="274">
        <v>46174</v>
      </c>
      <c r="B893" s="67" t="s">
        <v>652</v>
      </c>
      <c r="C893" s="264" t="s">
        <v>130</v>
      </c>
      <c r="D893" s="68">
        <v>1032.5</v>
      </c>
      <c r="E893" s="288" t="s">
        <v>212</v>
      </c>
      <c r="F893" t="s">
        <v>1565</v>
      </c>
    </row>
    <row r="894" spans="1:6" ht="15.75" customHeight="1">
      <c r="A894" s="274">
        <v>46174</v>
      </c>
      <c r="B894" s="258" t="s">
        <v>716</v>
      </c>
      <c r="C894" s="264" t="s">
        <v>130</v>
      </c>
      <c r="D894" s="261">
        <v>1889.48</v>
      </c>
      <c r="E894" s="288" t="s">
        <v>212</v>
      </c>
      <c r="F894" t="s">
        <v>1565</v>
      </c>
    </row>
    <row r="895" spans="1:6" ht="15.75" customHeight="1">
      <c r="A895" s="274">
        <v>46174</v>
      </c>
      <c r="B895" s="258" t="s">
        <v>716</v>
      </c>
      <c r="C895" s="264" t="s">
        <v>130</v>
      </c>
      <c r="D895" s="261">
        <v>502.77</v>
      </c>
      <c r="E895" s="288" t="s">
        <v>212</v>
      </c>
      <c r="F895" t="s">
        <v>1565</v>
      </c>
    </row>
    <row r="896" spans="1:6" ht="15.75" customHeight="1">
      <c r="A896" s="274">
        <v>46174</v>
      </c>
      <c r="B896" s="258" t="s">
        <v>718</v>
      </c>
      <c r="C896" s="264" t="s">
        <v>130</v>
      </c>
      <c r="D896" s="261">
        <v>135</v>
      </c>
      <c r="E896" s="288" t="s">
        <v>212</v>
      </c>
      <c r="F896" t="s">
        <v>1565</v>
      </c>
    </row>
    <row r="897" spans="1:6" ht="15.75" customHeight="1">
      <c r="A897" s="274">
        <v>46174</v>
      </c>
      <c r="B897" s="258" t="s">
        <v>652</v>
      </c>
      <c r="C897" s="264" t="s">
        <v>130</v>
      </c>
      <c r="D897" s="261">
        <v>339.64</v>
      </c>
      <c r="E897" s="288" t="s">
        <v>212</v>
      </c>
      <c r="F897" t="s">
        <v>1565</v>
      </c>
    </row>
    <row r="898" spans="1:6" ht="15.75" customHeight="1">
      <c r="A898" s="274">
        <v>46174</v>
      </c>
      <c r="B898" s="258" t="s">
        <v>127</v>
      </c>
      <c r="C898" s="264" t="s">
        <v>128</v>
      </c>
      <c r="D898" s="261">
        <v>14.48</v>
      </c>
      <c r="E898" s="288" t="s">
        <v>212</v>
      </c>
      <c r="F898" t="s">
        <v>1565</v>
      </c>
    </row>
    <row r="899" spans="1:6" ht="15.75" customHeight="1">
      <c r="A899" s="274">
        <v>46175</v>
      </c>
      <c r="B899" s="258" t="s">
        <v>127</v>
      </c>
      <c r="C899" s="264" t="s">
        <v>128</v>
      </c>
      <c r="D899" s="261">
        <v>9.0500000000000007</v>
      </c>
      <c r="E899" s="288" t="s">
        <v>212</v>
      </c>
      <c r="F899" t="s">
        <v>1565</v>
      </c>
    </row>
    <row r="900" spans="1:6" ht="15.75" customHeight="1">
      <c r="A900" s="274">
        <v>46175</v>
      </c>
      <c r="B900" s="258" t="s">
        <v>1375</v>
      </c>
      <c r="C900" s="264" t="s">
        <v>130</v>
      </c>
      <c r="D900" s="261">
        <v>535.54</v>
      </c>
      <c r="E900" s="288" t="s">
        <v>212</v>
      </c>
      <c r="F900" t="s">
        <v>1565</v>
      </c>
    </row>
    <row r="901" spans="1:6" ht="15.75" customHeight="1">
      <c r="A901" s="274">
        <v>46175</v>
      </c>
      <c r="B901" s="258" t="s">
        <v>657</v>
      </c>
      <c r="C901" s="264" t="s">
        <v>130</v>
      </c>
      <c r="D901" s="261">
        <v>360</v>
      </c>
      <c r="E901" s="288" t="s">
        <v>212</v>
      </c>
      <c r="F901" t="s">
        <v>1565</v>
      </c>
    </row>
    <row r="902" spans="1:6" ht="15.75" customHeight="1">
      <c r="A902" s="274">
        <v>46175</v>
      </c>
      <c r="B902" s="258" t="s">
        <v>657</v>
      </c>
      <c r="C902" s="264" t="s">
        <v>130</v>
      </c>
      <c r="D902" s="261">
        <v>277.8</v>
      </c>
      <c r="E902" s="288" t="s">
        <v>212</v>
      </c>
      <c r="F902" t="s">
        <v>1565</v>
      </c>
    </row>
    <row r="903" spans="1:6" ht="15.75" customHeight="1">
      <c r="A903" s="274">
        <v>46175</v>
      </c>
      <c r="B903" s="258" t="s">
        <v>1594</v>
      </c>
      <c r="C903" s="264" t="s">
        <v>130</v>
      </c>
      <c r="D903" s="261">
        <v>236.25</v>
      </c>
      <c r="E903" s="288" t="s">
        <v>212</v>
      </c>
      <c r="F903" t="s">
        <v>1565</v>
      </c>
    </row>
    <row r="904" spans="1:6" ht="15.75" customHeight="1">
      <c r="A904" s="274">
        <v>46175</v>
      </c>
      <c r="B904" s="258" t="s">
        <v>473</v>
      </c>
      <c r="C904" s="264" t="s">
        <v>128</v>
      </c>
      <c r="D904" s="261">
        <v>364</v>
      </c>
      <c r="E904" s="288" t="s">
        <v>212</v>
      </c>
      <c r="F904" t="s">
        <v>1565</v>
      </c>
    </row>
    <row r="905" spans="1:6" ht="15.75" customHeight="1">
      <c r="A905" s="274">
        <v>46175</v>
      </c>
      <c r="B905" s="258" t="s">
        <v>653</v>
      </c>
      <c r="C905" s="264" t="s">
        <v>130</v>
      </c>
      <c r="D905" s="370">
        <v>320</v>
      </c>
      <c r="E905" s="288" t="s">
        <v>212</v>
      </c>
      <c r="F905" t="s">
        <v>1565</v>
      </c>
    </row>
    <row r="906" spans="1:6" ht="15.75" customHeight="1">
      <c r="A906" s="274">
        <v>46175</v>
      </c>
      <c r="B906" s="258" t="s">
        <v>763</v>
      </c>
      <c r="C906" s="264" t="s">
        <v>126</v>
      </c>
      <c r="D906" s="370">
        <v>7886.18</v>
      </c>
      <c r="E906" s="288" t="s">
        <v>212</v>
      </c>
      <c r="F906" t="s">
        <v>1565</v>
      </c>
    </row>
    <row r="907" spans="1:6" ht="15.75" customHeight="1">
      <c r="A907" s="274">
        <v>46176</v>
      </c>
      <c r="B907" s="258" t="s">
        <v>807</v>
      </c>
      <c r="C907" s="264" t="s">
        <v>130</v>
      </c>
      <c r="D907" s="371">
        <v>198</v>
      </c>
      <c r="E907" s="288" t="s">
        <v>212</v>
      </c>
      <c r="F907" t="s">
        <v>1565</v>
      </c>
    </row>
    <row r="908" spans="1:6" ht="15.75" customHeight="1">
      <c r="A908" s="274">
        <v>46176</v>
      </c>
      <c r="B908" s="258" t="s">
        <v>657</v>
      </c>
      <c r="C908" s="264" t="s">
        <v>130</v>
      </c>
      <c r="D908" s="372">
        <v>249.21</v>
      </c>
      <c r="E908" s="288" t="s">
        <v>212</v>
      </c>
      <c r="F908" t="s">
        <v>1565</v>
      </c>
    </row>
    <row r="909" spans="1:6" ht="15.75" customHeight="1">
      <c r="A909" s="274">
        <v>46176</v>
      </c>
      <c r="B909" s="63" t="s">
        <v>127</v>
      </c>
      <c r="C909" s="63" t="s">
        <v>128</v>
      </c>
      <c r="D909" s="64">
        <v>5.43</v>
      </c>
      <c r="E909" s="288" t="s">
        <v>212</v>
      </c>
      <c r="F909" t="s">
        <v>1565</v>
      </c>
    </row>
    <row r="910" spans="1:6" ht="15.75" customHeight="1">
      <c r="A910" s="274">
        <v>46176</v>
      </c>
      <c r="B910" s="264" t="s">
        <v>1596</v>
      </c>
      <c r="C910" s="264" t="s">
        <v>132</v>
      </c>
      <c r="D910" s="64">
        <v>610</v>
      </c>
      <c r="E910" s="288" t="s">
        <v>212</v>
      </c>
      <c r="F910" t="s">
        <v>1565</v>
      </c>
    </row>
    <row r="911" spans="1:6" ht="15.75" customHeight="1">
      <c r="A911" s="274">
        <v>46176</v>
      </c>
      <c r="B911" s="264" t="s">
        <v>727</v>
      </c>
      <c r="C911" s="264" t="s">
        <v>132</v>
      </c>
      <c r="D911" s="64">
        <v>1800</v>
      </c>
      <c r="E911" s="288" t="s">
        <v>212</v>
      </c>
      <c r="F911" t="s">
        <v>1565</v>
      </c>
    </row>
    <row r="912" spans="1:6" ht="15.75" customHeight="1">
      <c r="A912" s="274">
        <v>46176</v>
      </c>
      <c r="B912" s="264" t="s">
        <v>678</v>
      </c>
      <c r="C912" s="264" t="s">
        <v>132</v>
      </c>
      <c r="D912" s="64">
        <v>1497.26</v>
      </c>
      <c r="E912" s="288" t="s">
        <v>212</v>
      </c>
      <c r="F912" t="s">
        <v>1565</v>
      </c>
    </row>
    <row r="913" spans="1:6" ht="15.75" customHeight="1">
      <c r="A913" s="274">
        <v>46176</v>
      </c>
      <c r="B913" s="264" t="s">
        <v>779</v>
      </c>
      <c r="C913" s="264" t="s">
        <v>132</v>
      </c>
      <c r="D913" s="64">
        <v>2419.48</v>
      </c>
      <c r="E913" s="288" t="s">
        <v>212</v>
      </c>
      <c r="F913" t="s">
        <v>1565</v>
      </c>
    </row>
    <row r="914" spans="1:6" ht="15.75" customHeight="1">
      <c r="A914" s="274">
        <v>46176</v>
      </c>
      <c r="B914" s="264" t="s">
        <v>1597</v>
      </c>
      <c r="C914" s="264" t="s">
        <v>132</v>
      </c>
      <c r="D914" s="64">
        <v>1017.72</v>
      </c>
      <c r="E914" s="288" t="s">
        <v>212</v>
      </c>
      <c r="F914" t="s">
        <v>1565</v>
      </c>
    </row>
    <row r="915" spans="1:6" ht="15.75" customHeight="1">
      <c r="A915" s="274">
        <v>46177</v>
      </c>
      <c r="B915" s="63" t="s">
        <v>127</v>
      </c>
      <c r="C915" s="63" t="s">
        <v>128</v>
      </c>
      <c r="D915" s="64">
        <v>28.96</v>
      </c>
      <c r="E915" s="288" t="s">
        <v>212</v>
      </c>
      <c r="F915" t="s">
        <v>1565</v>
      </c>
    </row>
    <row r="916" spans="1:6" ht="15.75" customHeight="1">
      <c r="A916" s="274">
        <v>46177</v>
      </c>
      <c r="B916" s="63" t="s">
        <v>693</v>
      </c>
      <c r="C916" s="63" t="s">
        <v>130</v>
      </c>
      <c r="D916" s="64">
        <v>2689.46</v>
      </c>
      <c r="E916" s="288" t="s">
        <v>212</v>
      </c>
      <c r="F916" t="s">
        <v>1565</v>
      </c>
    </row>
    <row r="917" spans="1:6" ht="15.75" customHeight="1">
      <c r="A917" s="274">
        <v>46177</v>
      </c>
      <c r="B917" s="63" t="s">
        <v>1598</v>
      </c>
      <c r="C917" s="63" t="s">
        <v>130</v>
      </c>
      <c r="D917" s="64">
        <v>641.46</v>
      </c>
      <c r="E917" s="288" t="s">
        <v>212</v>
      </c>
      <c r="F917" t="s">
        <v>1565</v>
      </c>
    </row>
    <row r="918" spans="1:6" ht="15.75" customHeight="1">
      <c r="A918" s="274">
        <v>46177</v>
      </c>
      <c r="B918" s="63" t="s">
        <v>652</v>
      </c>
      <c r="C918" s="63" t="s">
        <v>130</v>
      </c>
      <c r="D918" s="64">
        <v>660</v>
      </c>
      <c r="E918" s="288" t="s">
        <v>212</v>
      </c>
      <c r="F918" t="s">
        <v>1565</v>
      </c>
    </row>
    <row r="919" spans="1:6" ht="15.75" customHeight="1">
      <c r="A919" s="274">
        <v>46177</v>
      </c>
      <c r="B919" s="258" t="s">
        <v>1387</v>
      </c>
      <c r="C919" s="63" t="s">
        <v>130</v>
      </c>
      <c r="D919" s="372">
        <v>1740.09</v>
      </c>
      <c r="E919" s="288" t="s">
        <v>212</v>
      </c>
      <c r="F919" t="s">
        <v>1565</v>
      </c>
    </row>
    <row r="920" spans="1:6" ht="15.75" customHeight="1">
      <c r="A920" s="274">
        <v>46177</v>
      </c>
      <c r="B920" s="258" t="s">
        <v>647</v>
      </c>
      <c r="C920" s="63" t="s">
        <v>130</v>
      </c>
      <c r="D920" s="371">
        <v>290</v>
      </c>
      <c r="E920" s="288" t="s">
        <v>212</v>
      </c>
      <c r="F920" t="s">
        <v>1565</v>
      </c>
    </row>
    <row r="921" spans="1:6" ht="15.75" customHeight="1">
      <c r="A921" s="274">
        <v>46177</v>
      </c>
      <c r="B921" s="258" t="s">
        <v>718</v>
      </c>
      <c r="C921" s="63" t="s">
        <v>130</v>
      </c>
      <c r="D921" s="372">
        <v>120</v>
      </c>
      <c r="E921" s="288" t="s">
        <v>212</v>
      </c>
      <c r="F921" t="s">
        <v>1565</v>
      </c>
    </row>
    <row r="922" spans="1:6" ht="15.75" customHeight="1">
      <c r="A922" s="274">
        <v>46178</v>
      </c>
      <c r="B922" s="258" t="s">
        <v>657</v>
      </c>
      <c r="C922" s="264" t="s">
        <v>130</v>
      </c>
      <c r="D922" s="371">
        <v>360</v>
      </c>
      <c r="E922" s="288" t="s">
        <v>212</v>
      </c>
      <c r="F922" t="s">
        <v>1565</v>
      </c>
    </row>
    <row r="923" spans="1:6" ht="15.75" customHeight="1">
      <c r="A923" s="274">
        <v>46178</v>
      </c>
      <c r="B923" s="258" t="s">
        <v>1572</v>
      </c>
      <c r="C923" s="264" t="s">
        <v>169</v>
      </c>
      <c r="D923" s="371">
        <v>2278.66</v>
      </c>
      <c r="E923" s="288" t="s">
        <v>212</v>
      </c>
      <c r="F923" t="s">
        <v>1565</v>
      </c>
    </row>
    <row r="924" spans="1:6" ht="15.75" customHeight="1">
      <c r="A924" s="274">
        <v>46178</v>
      </c>
      <c r="B924" s="258" t="s">
        <v>1573</v>
      </c>
      <c r="C924" s="264" t="s">
        <v>145</v>
      </c>
      <c r="D924" s="372">
        <v>961.49</v>
      </c>
      <c r="E924" s="288" t="s">
        <v>212</v>
      </c>
      <c r="F924" t="s">
        <v>1565</v>
      </c>
    </row>
    <row r="925" spans="1:6" ht="15.75" customHeight="1">
      <c r="A925" s="274">
        <v>46178</v>
      </c>
      <c r="B925" s="258" t="s">
        <v>716</v>
      </c>
      <c r="C925" s="264" t="s">
        <v>130</v>
      </c>
      <c r="D925" s="371">
        <v>493.71</v>
      </c>
      <c r="E925" s="288" t="s">
        <v>212</v>
      </c>
      <c r="F925" t="s">
        <v>1565</v>
      </c>
    </row>
    <row r="926" spans="1:6" ht="15.75" customHeight="1">
      <c r="A926" s="274">
        <v>46178</v>
      </c>
      <c r="B926" s="258" t="s">
        <v>1598</v>
      </c>
      <c r="C926" s="264" t="s">
        <v>130</v>
      </c>
      <c r="D926" s="371">
        <v>631</v>
      </c>
      <c r="E926" s="288" t="s">
        <v>212</v>
      </c>
      <c r="F926" t="s">
        <v>1565</v>
      </c>
    </row>
    <row r="927" spans="1:6" ht="15.75" customHeight="1">
      <c r="A927" s="289">
        <v>46178</v>
      </c>
      <c r="B927" s="290" t="s">
        <v>652</v>
      </c>
      <c r="C927" s="375" t="s">
        <v>130</v>
      </c>
      <c r="D927" s="377">
        <v>836</v>
      </c>
      <c r="E927" s="288" t="s">
        <v>212</v>
      </c>
      <c r="F927" t="s">
        <v>1565</v>
      </c>
    </row>
    <row r="928" spans="1:6" ht="15.75" customHeight="1">
      <c r="A928" s="274">
        <v>46181</v>
      </c>
      <c r="B928" s="378" t="s">
        <v>736</v>
      </c>
      <c r="C928" s="264" t="s">
        <v>130</v>
      </c>
      <c r="D928" s="379">
        <v>1143.7</v>
      </c>
      <c r="E928" s="288" t="s">
        <v>212</v>
      </c>
      <c r="F928" t="s">
        <v>1565</v>
      </c>
    </row>
    <row r="929" spans="1:6" ht="15.75" customHeight="1">
      <c r="A929" s="274">
        <v>46181</v>
      </c>
      <c r="B929" s="380" t="s">
        <v>684</v>
      </c>
      <c r="C929" s="264" t="s">
        <v>130</v>
      </c>
      <c r="D929" s="379">
        <v>1324</v>
      </c>
      <c r="E929" s="288" t="s">
        <v>212</v>
      </c>
      <c r="F929" t="s">
        <v>1565</v>
      </c>
    </row>
    <row r="930" spans="1:6" ht="15.75" customHeight="1">
      <c r="A930" s="274">
        <v>46181</v>
      </c>
      <c r="B930" s="378" t="s">
        <v>657</v>
      </c>
      <c r="C930" s="264" t="s">
        <v>130</v>
      </c>
      <c r="D930" s="379">
        <v>387.39</v>
      </c>
      <c r="E930" s="288" t="s">
        <v>212</v>
      </c>
      <c r="F930" t="s">
        <v>1565</v>
      </c>
    </row>
    <row r="931" spans="1:6" ht="15.75" customHeight="1">
      <c r="A931" s="274">
        <v>46181</v>
      </c>
      <c r="B931" s="380" t="s">
        <v>1599</v>
      </c>
      <c r="C931" s="264" t="s">
        <v>130</v>
      </c>
      <c r="D931" s="379">
        <v>557.5</v>
      </c>
      <c r="E931" s="288" t="s">
        <v>212</v>
      </c>
      <c r="F931" t="s">
        <v>1565</v>
      </c>
    </row>
    <row r="932" spans="1:6" ht="15.75" customHeight="1">
      <c r="A932" s="274">
        <v>46181</v>
      </c>
      <c r="B932" s="378" t="s">
        <v>1600</v>
      </c>
      <c r="C932" s="264" t="s">
        <v>130</v>
      </c>
      <c r="D932" s="379">
        <v>676</v>
      </c>
      <c r="E932" s="288" t="s">
        <v>212</v>
      </c>
      <c r="F932" t="s">
        <v>1565</v>
      </c>
    </row>
    <row r="933" spans="1:6" ht="15.75" customHeight="1">
      <c r="A933" s="274">
        <v>46181</v>
      </c>
      <c r="B933" s="380" t="s">
        <v>655</v>
      </c>
      <c r="C933" s="264" t="s">
        <v>130</v>
      </c>
      <c r="D933" s="379">
        <v>442.85</v>
      </c>
      <c r="E933" s="288" t="s">
        <v>212</v>
      </c>
      <c r="F933" t="s">
        <v>1565</v>
      </c>
    </row>
    <row r="934" spans="1:6" ht="15.75" customHeight="1">
      <c r="A934" s="274">
        <v>46181</v>
      </c>
      <c r="B934" s="378" t="s">
        <v>679</v>
      </c>
      <c r="C934" s="264" t="s">
        <v>130</v>
      </c>
      <c r="D934" s="379">
        <v>613.78</v>
      </c>
      <c r="E934" s="288" t="s">
        <v>212</v>
      </c>
      <c r="F934" t="s">
        <v>1565</v>
      </c>
    </row>
    <row r="935" spans="1:6" ht="15.75" customHeight="1">
      <c r="A935" s="274">
        <v>46181</v>
      </c>
      <c r="B935" s="380" t="s">
        <v>657</v>
      </c>
      <c r="C935" s="264" t="s">
        <v>130</v>
      </c>
      <c r="D935" s="379">
        <v>657.7</v>
      </c>
      <c r="E935" s="288" t="s">
        <v>212</v>
      </c>
      <c r="F935" t="s">
        <v>1565</v>
      </c>
    </row>
    <row r="936" spans="1:6" ht="15.75" customHeight="1">
      <c r="A936" s="274">
        <v>46181</v>
      </c>
      <c r="B936" s="378" t="s">
        <v>655</v>
      </c>
      <c r="C936" s="264" t="s">
        <v>130</v>
      </c>
      <c r="D936" s="379">
        <v>487.44</v>
      </c>
      <c r="E936" s="288" t="s">
        <v>212</v>
      </c>
      <c r="F936" t="s">
        <v>1565</v>
      </c>
    </row>
    <row r="937" spans="1:6" ht="15.75" customHeight="1">
      <c r="A937" s="274">
        <v>46181</v>
      </c>
      <c r="B937" s="380" t="s">
        <v>1601</v>
      </c>
      <c r="C937" s="264" t="s">
        <v>130</v>
      </c>
      <c r="D937" s="379">
        <v>546</v>
      </c>
      <c r="E937" s="288" t="s">
        <v>212</v>
      </c>
      <c r="F937" t="s">
        <v>1565</v>
      </c>
    </row>
    <row r="938" spans="1:6" ht="15.75" customHeight="1">
      <c r="A938" s="274">
        <v>46181</v>
      </c>
      <c r="B938" s="378" t="s">
        <v>655</v>
      </c>
      <c r="C938" s="264" t="s">
        <v>130</v>
      </c>
      <c r="D938" s="379">
        <v>3044.94</v>
      </c>
      <c r="E938" s="288" t="s">
        <v>212</v>
      </c>
      <c r="F938" t="s">
        <v>1565</v>
      </c>
    </row>
    <row r="939" spans="1:6" ht="15.75" customHeight="1">
      <c r="A939" s="274">
        <v>46181</v>
      </c>
      <c r="B939" s="380" t="s">
        <v>655</v>
      </c>
      <c r="C939" s="264" t="s">
        <v>130</v>
      </c>
      <c r="D939" s="379">
        <v>683.63</v>
      </c>
      <c r="E939" s="288" t="s">
        <v>212</v>
      </c>
      <c r="F939" t="s">
        <v>1565</v>
      </c>
    </row>
    <row r="940" spans="1:6" ht="15.75" customHeight="1">
      <c r="A940" s="274">
        <v>46181</v>
      </c>
      <c r="B940" s="378" t="s">
        <v>668</v>
      </c>
      <c r="C940" s="264" t="s">
        <v>130</v>
      </c>
      <c r="D940" s="379">
        <v>1003</v>
      </c>
      <c r="E940" s="288" t="s">
        <v>212</v>
      </c>
      <c r="F940" t="s">
        <v>1565</v>
      </c>
    </row>
    <row r="941" spans="1:6" ht="15.75" customHeight="1">
      <c r="A941" s="274">
        <v>46181</v>
      </c>
      <c r="B941" s="378" t="s">
        <v>127</v>
      </c>
      <c r="C941" s="264" t="s">
        <v>128</v>
      </c>
      <c r="D941" s="379">
        <v>19.91</v>
      </c>
      <c r="E941" s="288" t="s">
        <v>212</v>
      </c>
      <c r="F941" t="s">
        <v>1565</v>
      </c>
    </row>
    <row r="942" spans="1:6" ht="15.75" customHeight="1">
      <c r="A942" s="274">
        <v>46182</v>
      </c>
      <c r="B942" s="378" t="s">
        <v>127</v>
      </c>
      <c r="C942" s="264" t="s">
        <v>128</v>
      </c>
      <c r="D942" s="379">
        <v>9.0500000000000007</v>
      </c>
      <c r="E942" s="288" t="s">
        <v>212</v>
      </c>
      <c r="F942" t="s">
        <v>1565</v>
      </c>
    </row>
    <row r="943" spans="1:6" ht="15.75" customHeight="1">
      <c r="A943" s="274">
        <v>46182</v>
      </c>
      <c r="B943" s="378" t="s">
        <v>1602</v>
      </c>
      <c r="C943" s="264" t="s">
        <v>130</v>
      </c>
      <c r="D943" s="379">
        <v>888.01</v>
      </c>
      <c r="E943" s="288" t="s">
        <v>212</v>
      </c>
      <c r="F943" t="s">
        <v>1565</v>
      </c>
    </row>
    <row r="944" spans="1:6" ht="15.75" customHeight="1">
      <c r="A944" s="274">
        <v>46182</v>
      </c>
      <c r="B944" s="378" t="s">
        <v>713</v>
      </c>
      <c r="C944" s="264" t="s">
        <v>130</v>
      </c>
      <c r="D944" s="379">
        <v>59.4</v>
      </c>
      <c r="E944" s="288" t="s">
        <v>212</v>
      </c>
      <c r="F944" t="s">
        <v>1565</v>
      </c>
    </row>
    <row r="945" spans="1:6" ht="15.75" customHeight="1">
      <c r="A945" s="274">
        <v>46182</v>
      </c>
      <c r="B945" s="258" t="s">
        <v>655</v>
      </c>
      <c r="C945" s="264" t="s">
        <v>130</v>
      </c>
      <c r="D945" s="261">
        <v>468.13</v>
      </c>
      <c r="E945" s="288" t="s">
        <v>212</v>
      </c>
      <c r="F945" t="s">
        <v>1565</v>
      </c>
    </row>
    <row r="946" spans="1:6" ht="15.75" customHeight="1">
      <c r="A946" s="274">
        <v>46182</v>
      </c>
      <c r="B946" s="258" t="s">
        <v>739</v>
      </c>
      <c r="C946" s="264" t="s">
        <v>130</v>
      </c>
      <c r="D946" s="261">
        <v>520</v>
      </c>
      <c r="E946" s="288" t="s">
        <v>212</v>
      </c>
      <c r="F946" t="s">
        <v>1565</v>
      </c>
    </row>
    <row r="947" spans="1:6" ht="15.75" customHeight="1">
      <c r="A947" s="274">
        <v>46182</v>
      </c>
      <c r="B947" s="258" t="s">
        <v>650</v>
      </c>
      <c r="C947" s="264" t="s">
        <v>130</v>
      </c>
      <c r="D947" s="261">
        <v>328.6</v>
      </c>
      <c r="E947" s="288" t="s">
        <v>212</v>
      </c>
      <c r="F947" t="s">
        <v>1565</v>
      </c>
    </row>
    <row r="948" spans="1:6" ht="15.75" customHeight="1">
      <c r="A948" s="274">
        <v>46182</v>
      </c>
      <c r="B948" s="258" t="s">
        <v>799</v>
      </c>
      <c r="C948" s="264" t="s">
        <v>130</v>
      </c>
      <c r="D948" s="261">
        <v>826.34</v>
      </c>
      <c r="E948" s="288" t="s">
        <v>212</v>
      </c>
      <c r="F948" t="s">
        <v>1565</v>
      </c>
    </row>
    <row r="949" spans="1:6" ht="15.75" customHeight="1">
      <c r="A949" s="274">
        <v>46182</v>
      </c>
      <c r="B949" s="258" t="s">
        <v>1599</v>
      </c>
      <c r="C949" s="264" t="s">
        <v>130</v>
      </c>
      <c r="D949" s="261">
        <v>411.75</v>
      </c>
      <c r="E949" s="288" t="s">
        <v>212</v>
      </c>
      <c r="F949" t="s">
        <v>1565</v>
      </c>
    </row>
    <row r="950" spans="1:6" ht="15.75" customHeight="1">
      <c r="A950" s="274">
        <v>46182</v>
      </c>
      <c r="B950" s="258" t="s">
        <v>723</v>
      </c>
      <c r="C950" s="264" t="s">
        <v>130</v>
      </c>
      <c r="D950" s="261">
        <v>75</v>
      </c>
      <c r="E950" s="288" t="s">
        <v>212</v>
      </c>
      <c r="F950" t="s">
        <v>1565</v>
      </c>
    </row>
    <row r="951" spans="1:6" ht="15.75" customHeight="1">
      <c r="A951" s="274">
        <v>46183</v>
      </c>
      <c r="B951" s="373" t="s">
        <v>127</v>
      </c>
      <c r="C951" s="63" t="s">
        <v>128</v>
      </c>
      <c r="D951" s="261">
        <v>5.43</v>
      </c>
      <c r="E951" s="288" t="s">
        <v>212</v>
      </c>
      <c r="F951" t="s">
        <v>1565</v>
      </c>
    </row>
    <row r="952" spans="1:6" ht="15.75" customHeight="1">
      <c r="A952" s="274">
        <v>46183</v>
      </c>
      <c r="B952" s="258" t="s">
        <v>663</v>
      </c>
      <c r="C952" s="264" t="s">
        <v>130</v>
      </c>
      <c r="D952" s="261">
        <v>562.74</v>
      </c>
      <c r="E952" s="288" t="s">
        <v>212</v>
      </c>
      <c r="F952" t="s">
        <v>1565</v>
      </c>
    </row>
    <row r="953" spans="1:6" ht="15.75" customHeight="1">
      <c r="A953" s="274">
        <v>46183</v>
      </c>
      <c r="B953" s="258" t="s">
        <v>1603</v>
      </c>
      <c r="C953" s="264" t="s">
        <v>130</v>
      </c>
      <c r="D953" s="261">
        <v>204</v>
      </c>
      <c r="E953" s="288" t="s">
        <v>212</v>
      </c>
      <c r="F953" t="s">
        <v>1565</v>
      </c>
    </row>
    <row r="954" spans="1:6" ht="15.75" customHeight="1">
      <c r="A954" s="274">
        <v>46183</v>
      </c>
      <c r="B954" s="258" t="s">
        <v>650</v>
      </c>
      <c r="C954" s="264" t="s">
        <v>130</v>
      </c>
      <c r="D954" s="261">
        <v>797.6</v>
      </c>
      <c r="E954" s="288" t="s">
        <v>212</v>
      </c>
      <c r="F954" t="s">
        <v>1565</v>
      </c>
    </row>
    <row r="955" spans="1:6" ht="15.75" customHeight="1">
      <c r="A955" s="274">
        <v>46183</v>
      </c>
      <c r="B955" s="258" t="s">
        <v>1604</v>
      </c>
      <c r="C955" s="264" t="s">
        <v>130</v>
      </c>
      <c r="D955" s="261">
        <v>300</v>
      </c>
      <c r="E955" s="288" t="s">
        <v>212</v>
      </c>
      <c r="F955" t="s">
        <v>1565</v>
      </c>
    </row>
    <row r="956" spans="1:6" ht="15.75" customHeight="1">
      <c r="A956" s="274">
        <v>46183</v>
      </c>
      <c r="B956" s="258" t="s">
        <v>651</v>
      </c>
      <c r="C956" s="264" t="s">
        <v>130</v>
      </c>
      <c r="D956" s="261">
        <v>140</v>
      </c>
      <c r="E956" s="288" t="s">
        <v>212</v>
      </c>
      <c r="F956" t="s">
        <v>1565</v>
      </c>
    </row>
    <row r="957" spans="1:6" ht="15.75" customHeight="1">
      <c r="A957" s="274">
        <v>46183</v>
      </c>
      <c r="B957" s="258" t="s">
        <v>687</v>
      </c>
      <c r="C957" s="264" t="s">
        <v>132</v>
      </c>
      <c r="D957" s="261">
        <v>65.37</v>
      </c>
      <c r="E957" s="288" t="s">
        <v>212</v>
      </c>
      <c r="F957" t="s">
        <v>1565</v>
      </c>
    </row>
    <row r="958" spans="1:6" ht="15.75" customHeight="1">
      <c r="A958" s="274">
        <v>46183</v>
      </c>
      <c r="B958" s="258" t="s">
        <v>671</v>
      </c>
      <c r="C958" s="264" t="s">
        <v>130</v>
      </c>
      <c r="D958" s="261">
        <v>1784.82</v>
      </c>
      <c r="E958" s="288" t="s">
        <v>212</v>
      </c>
      <c r="F958" t="s">
        <v>1565</v>
      </c>
    </row>
    <row r="959" spans="1:6" ht="15.75" customHeight="1">
      <c r="A959" s="274">
        <v>46183</v>
      </c>
      <c r="B959" s="258" t="s">
        <v>734</v>
      </c>
      <c r="C959" s="264" t="s">
        <v>122</v>
      </c>
      <c r="D959" s="261">
        <v>2620.16</v>
      </c>
      <c r="E959" s="288" t="s">
        <v>212</v>
      </c>
      <c r="F959" t="s">
        <v>1565</v>
      </c>
    </row>
    <row r="960" spans="1:6" ht="15.75" customHeight="1">
      <c r="A960" s="274">
        <v>46184</v>
      </c>
      <c r="B960" s="258" t="s">
        <v>127</v>
      </c>
      <c r="C960" s="264" t="s">
        <v>128</v>
      </c>
      <c r="D960" s="261">
        <v>12.67</v>
      </c>
      <c r="E960" s="288" t="s">
        <v>212</v>
      </c>
      <c r="F960" t="s">
        <v>1565</v>
      </c>
    </row>
    <row r="961" spans="1:6" ht="15.75" customHeight="1">
      <c r="A961" s="274">
        <v>46184</v>
      </c>
      <c r="B961" s="258" t="s">
        <v>1605</v>
      </c>
      <c r="C961" s="63" t="s">
        <v>130</v>
      </c>
      <c r="D961" s="261">
        <v>641.46</v>
      </c>
      <c r="E961" s="288" t="s">
        <v>212</v>
      </c>
      <c r="F961" t="s">
        <v>1565</v>
      </c>
    </row>
    <row r="962" spans="1:6" ht="15.75" customHeight="1">
      <c r="A962" s="274">
        <v>46184</v>
      </c>
      <c r="B962" s="258" t="s">
        <v>655</v>
      </c>
      <c r="C962" s="63" t="s">
        <v>130</v>
      </c>
      <c r="D962" s="261">
        <v>548.04999999999995</v>
      </c>
      <c r="E962" s="288" t="s">
        <v>212</v>
      </c>
      <c r="F962" t="s">
        <v>1565</v>
      </c>
    </row>
    <row r="963" spans="1:6" ht="15.75" customHeight="1">
      <c r="A963" s="274">
        <v>46184</v>
      </c>
      <c r="B963" s="258" t="s">
        <v>1606</v>
      </c>
      <c r="C963" s="63" t="s">
        <v>130</v>
      </c>
      <c r="D963" s="261">
        <v>567</v>
      </c>
      <c r="E963" s="288" t="s">
        <v>212</v>
      </c>
      <c r="F963" t="s">
        <v>1565</v>
      </c>
    </row>
    <row r="964" spans="1:6" ht="15.75" customHeight="1">
      <c r="A964" s="274">
        <v>46184</v>
      </c>
      <c r="B964" s="258" t="s">
        <v>721</v>
      </c>
      <c r="C964" s="63" t="s">
        <v>130</v>
      </c>
      <c r="D964" s="261">
        <v>790.72</v>
      </c>
      <c r="E964" s="288" t="s">
        <v>212</v>
      </c>
      <c r="F964" t="s">
        <v>1565</v>
      </c>
    </row>
    <row r="965" spans="1:6" ht="15.75" customHeight="1">
      <c r="A965" s="274">
        <v>46184</v>
      </c>
      <c r="B965" s="258" t="s">
        <v>784</v>
      </c>
      <c r="C965" s="63" t="s">
        <v>130</v>
      </c>
      <c r="D965" s="261">
        <v>1003.74</v>
      </c>
      <c r="E965" s="288" t="s">
        <v>212</v>
      </c>
      <c r="F965" t="s">
        <v>1565</v>
      </c>
    </row>
    <row r="966" spans="1:6" ht="15.75" customHeight="1">
      <c r="A966" s="274">
        <v>46185</v>
      </c>
      <c r="B966" s="258" t="s">
        <v>154</v>
      </c>
      <c r="C966" s="63" t="s">
        <v>147</v>
      </c>
      <c r="D966" s="261">
        <v>5000</v>
      </c>
      <c r="E966" s="288" t="s">
        <v>212</v>
      </c>
      <c r="F966" t="s">
        <v>1565</v>
      </c>
    </row>
    <row r="967" spans="1:6" ht="15.75" customHeight="1">
      <c r="A967" s="274">
        <v>46185</v>
      </c>
      <c r="B967" s="258" t="s">
        <v>1605</v>
      </c>
      <c r="C967" s="63" t="s">
        <v>130</v>
      </c>
      <c r="D967" s="261">
        <v>631</v>
      </c>
      <c r="E967" s="288" t="s">
        <v>212</v>
      </c>
      <c r="F967" t="s">
        <v>1565</v>
      </c>
    </row>
    <row r="968" spans="1:6" ht="15.75" customHeight="1">
      <c r="A968" s="274">
        <v>46185</v>
      </c>
      <c r="B968" s="258" t="s">
        <v>655</v>
      </c>
      <c r="C968" s="63" t="s">
        <v>130</v>
      </c>
      <c r="D968" s="261">
        <v>633.98</v>
      </c>
      <c r="E968" s="288" t="s">
        <v>212</v>
      </c>
      <c r="F968" t="s">
        <v>1565</v>
      </c>
    </row>
    <row r="969" spans="1:6" ht="15.75" customHeight="1">
      <c r="A969" s="274">
        <v>46185</v>
      </c>
      <c r="B969" s="258" t="s">
        <v>1606</v>
      </c>
      <c r="C969" s="63" t="s">
        <v>130</v>
      </c>
      <c r="D969" s="261">
        <v>315</v>
      </c>
      <c r="E969" s="288" t="s">
        <v>212</v>
      </c>
      <c r="F969" t="s">
        <v>1565</v>
      </c>
    </row>
    <row r="970" spans="1:6" ht="15.75" customHeight="1">
      <c r="A970" s="274">
        <v>46185</v>
      </c>
      <c r="B970" s="258" t="s">
        <v>1607</v>
      </c>
      <c r="C970" s="63" t="s">
        <v>130</v>
      </c>
      <c r="D970" s="261">
        <v>603.25</v>
      </c>
      <c r="E970" s="288" t="s">
        <v>212</v>
      </c>
      <c r="F970" t="s">
        <v>1565</v>
      </c>
    </row>
    <row r="971" spans="1:6" ht="15.75" customHeight="1">
      <c r="A971" s="274">
        <v>46185</v>
      </c>
      <c r="B971" s="258" t="s">
        <v>792</v>
      </c>
      <c r="C971" s="63" t="s">
        <v>130</v>
      </c>
      <c r="D971" s="261">
        <v>208</v>
      </c>
      <c r="E971" s="288" t="s">
        <v>212</v>
      </c>
      <c r="F971" t="s">
        <v>1565</v>
      </c>
    </row>
    <row r="972" spans="1:6" ht="15.75" customHeight="1">
      <c r="A972" s="274">
        <v>46185</v>
      </c>
      <c r="B972" s="258" t="s">
        <v>652</v>
      </c>
      <c r="C972" s="63" t="s">
        <v>130</v>
      </c>
      <c r="D972" s="261">
        <v>666.07</v>
      </c>
      <c r="E972" s="288" t="s">
        <v>212</v>
      </c>
      <c r="F972" t="s">
        <v>1565</v>
      </c>
    </row>
    <row r="973" spans="1:6" ht="15.75" customHeight="1">
      <c r="A973" s="274">
        <v>46185</v>
      </c>
      <c r="B973" s="258" t="s">
        <v>647</v>
      </c>
      <c r="C973" s="63" t="s">
        <v>130</v>
      </c>
      <c r="D973" s="261">
        <v>436</v>
      </c>
      <c r="E973" s="288" t="s">
        <v>212</v>
      </c>
      <c r="F973" t="s">
        <v>1565</v>
      </c>
    </row>
    <row r="974" spans="1:6" ht="15.75" customHeight="1">
      <c r="A974" s="274">
        <v>46185</v>
      </c>
      <c r="B974" s="69" t="s">
        <v>1608</v>
      </c>
      <c r="C974" s="264" t="s">
        <v>145</v>
      </c>
      <c r="D974" s="261">
        <v>176.37</v>
      </c>
      <c r="E974" s="288" t="s">
        <v>212</v>
      </c>
      <c r="F974" t="s">
        <v>1565</v>
      </c>
    </row>
    <row r="975" spans="1:6" ht="15.75" customHeight="1">
      <c r="A975" s="274">
        <v>46185</v>
      </c>
      <c r="B975" s="69" t="s">
        <v>657</v>
      </c>
      <c r="C975" s="264" t="s">
        <v>130</v>
      </c>
      <c r="D975" s="261">
        <v>489.14</v>
      </c>
      <c r="E975" s="288" t="s">
        <v>212</v>
      </c>
      <c r="F975" t="s">
        <v>1565</v>
      </c>
    </row>
    <row r="976" spans="1:6" ht="15.75" customHeight="1">
      <c r="A976" s="274">
        <v>46185</v>
      </c>
      <c r="B976" s="69" t="s">
        <v>127</v>
      </c>
      <c r="C976" s="264" t="s">
        <v>128</v>
      </c>
      <c r="D976" s="261">
        <v>12.67</v>
      </c>
      <c r="E976" s="288" t="s">
        <v>212</v>
      </c>
      <c r="F976" t="s">
        <v>1565</v>
      </c>
    </row>
    <row r="977" spans="1:6" ht="15.75" customHeight="1">
      <c r="A977" s="274">
        <v>46188</v>
      </c>
      <c r="B977" s="71" t="s">
        <v>1609</v>
      </c>
      <c r="C977" s="381" t="s">
        <v>130</v>
      </c>
      <c r="D977" s="261">
        <v>626</v>
      </c>
      <c r="E977" s="288" t="s">
        <v>212</v>
      </c>
      <c r="F977" t="s">
        <v>1565</v>
      </c>
    </row>
    <row r="978" spans="1:6" ht="15.75" customHeight="1">
      <c r="A978" s="274">
        <v>46188</v>
      </c>
      <c r="B978" s="72" t="s">
        <v>1610</v>
      </c>
      <c r="C978" s="381" t="s">
        <v>130</v>
      </c>
      <c r="D978" s="261">
        <v>931.73</v>
      </c>
      <c r="E978" s="288" t="s">
        <v>212</v>
      </c>
      <c r="F978" t="s">
        <v>1565</v>
      </c>
    </row>
    <row r="979" spans="1:6" ht="15.75" customHeight="1">
      <c r="A979" s="274">
        <v>46188</v>
      </c>
      <c r="B979" s="71" t="s">
        <v>1610</v>
      </c>
      <c r="C979" s="381" t="s">
        <v>130</v>
      </c>
      <c r="D979" s="261">
        <v>1333</v>
      </c>
      <c r="E979" s="288" t="s">
        <v>212</v>
      </c>
      <c r="F979" t="s">
        <v>1565</v>
      </c>
    </row>
    <row r="980" spans="1:6" ht="15.75" customHeight="1">
      <c r="A980" s="274">
        <v>46188</v>
      </c>
      <c r="B980" s="72" t="s">
        <v>1611</v>
      </c>
      <c r="C980" s="381" t="s">
        <v>130</v>
      </c>
      <c r="D980" s="261">
        <v>1890.06</v>
      </c>
      <c r="E980" s="288" t="s">
        <v>212</v>
      </c>
      <c r="F980" t="s">
        <v>1565</v>
      </c>
    </row>
    <row r="981" spans="1:6" ht="15.75" customHeight="1">
      <c r="A981" s="274">
        <v>46188</v>
      </c>
      <c r="B981" s="71" t="s">
        <v>1611</v>
      </c>
      <c r="C981" s="381" t="s">
        <v>130</v>
      </c>
      <c r="D981" s="261">
        <v>502.77</v>
      </c>
      <c r="E981" s="288" t="s">
        <v>212</v>
      </c>
      <c r="F981" t="s">
        <v>1565</v>
      </c>
    </row>
    <row r="982" spans="1:6" ht="15.75" customHeight="1">
      <c r="A982" s="274">
        <v>46188</v>
      </c>
      <c r="B982" s="72" t="s">
        <v>1609</v>
      </c>
      <c r="C982" s="381" t="s">
        <v>130</v>
      </c>
      <c r="D982" s="261">
        <v>452</v>
      </c>
      <c r="E982" s="288" t="s">
        <v>212</v>
      </c>
      <c r="F982" t="s">
        <v>1565</v>
      </c>
    </row>
    <row r="983" spans="1:6" ht="15.75" customHeight="1">
      <c r="A983" s="274">
        <v>46188</v>
      </c>
      <c r="B983" s="71" t="s">
        <v>1611</v>
      </c>
      <c r="C983" s="381" t="s">
        <v>130</v>
      </c>
      <c r="D983" s="261">
        <v>439.59</v>
      </c>
      <c r="E983" s="288" t="s">
        <v>212</v>
      </c>
      <c r="F983" t="s">
        <v>1565</v>
      </c>
    </row>
    <row r="984" spans="1:6" ht="15.75" customHeight="1">
      <c r="A984" s="274">
        <v>46188</v>
      </c>
      <c r="B984" s="72" t="s">
        <v>1610</v>
      </c>
      <c r="C984" s="381" t="s">
        <v>130</v>
      </c>
      <c r="D984" s="261">
        <v>654</v>
      </c>
      <c r="E984" s="288" t="s">
        <v>212</v>
      </c>
      <c r="F984" t="s">
        <v>1565</v>
      </c>
    </row>
    <row r="985" spans="1:6" ht="15.75" customHeight="1">
      <c r="A985" s="274">
        <v>46188</v>
      </c>
      <c r="B985" s="71" t="s">
        <v>1612</v>
      </c>
      <c r="C985" s="381" t="s">
        <v>130</v>
      </c>
      <c r="D985" s="261">
        <v>546</v>
      </c>
      <c r="E985" s="288" t="s">
        <v>212</v>
      </c>
      <c r="F985" t="s">
        <v>1565</v>
      </c>
    </row>
    <row r="986" spans="1:6" ht="15.75" customHeight="1">
      <c r="A986" s="274">
        <v>46188</v>
      </c>
      <c r="B986" s="72" t="s">
        <v>1613</v>
      </c>
      <c r="C986" s="381" t="s">
        <v>130</v>
      </c>
      <c r="D986" s="261">
        <v>545.99</v>
      </c>
      <c r="E986" s="288" t="s">
        <v>212</v>
      </c>
      <c r="F986" t="s">
        <v>1565</v>
      </c>
    </row>
    <row r="987" spans="1:6" ht="15.75" customHeight="1">
      <c r="A987" s="274">
        <v>46188</v>
      </c>
      <c r="B987" s="71" t="s">
        <v>1612</v>
      </c>
      <c r="C987" s="381" t="s">
        <v>130</v>
      </c>
      <c r="D987" s="261">
        <v>714</v>
      </c>
      <c r="E987" s="288" t="s">
        <v>212</v>
      </c>
      <c r="F987" t="s">
        <v>1565</v>
      </c>
    </row>
    <row r="988" spans="1:6" ht="15.75" customHeight="1">
      <c r="A988" s="274">
        <v>46188</v>
      </c>
      <c r="B988" s="72" t="s">
        <v>1614</v>
      </c>
      <c r="C988" s="381" t="s">
        <v>130</v>
      </c>
      <c r="D988" s="261">
        <v>320</v>
      </c>
      <c r="E988" s="288" t="s">
        <v>212</v>
      </c>
      <c r="F988" t="s">
        <v>1565</v>
      </c>
    </row>
    <row r="989" spans="1:6" ht="15.75" customHeight="1">
      <c r="A989" s="274">
        <v>46188</v>
      </c>
      <c r="B989" s="71" t="s">
        <v>1615</v>
      </c>
      <c r="C989" s="381" t="s">
        <v>130</v>
      </c>
      <c r="D989" s="261">
        <v>93.28</v>
      </c>
      <c r="E989" s="288" t="s">
        <v>212</v>
      </c>
      <c r="F989" t="s">
        <v>1565</v>
      </c>
    </row>
    <row r="990" spans="1:6" ht="15.75" customHeight="1">
      <c r="A990" s="274">
        <v>46188</v>
      </c>
      <c r="B990" s="72" t="s">
        <v>1616</v>
      </c>
      <c r="C990" s="381" t="s">
        <v>130</v>
      </c>
      <c r="D990" s="261">
        <v>79.5</v>
      </c>
      <c r="E990" s="288" t="s">
        <v>212</v>
      </c>
      <c r="F990" t="s">
        <v>1565</v>
      </c>
    </row>
    <row r="991" spans="1:6" ht="15.75" customHeight="1">
      <c r="A991" s="274">
        <v>46188</v>
      </c>
      <c r="B991" s="71" t="s">
        <v>1617</v>
      </c>
      <c r="C991" s="381" t="s">
        <v>130</v>
      </c>
      <c r="D991" s="261">
        <v>880</v>
      </c>
      <c r="E991" s="288" t="s">
        <v>212</v>
      </c>
      <c r="F991" t="s">
        <v>1565</v>
      </c>
    </row>
    <row r="992" spans="1:6" ht="15.75" customHeight="1">
      <c r="A992" s="274">
        <v>46188</v>
      </c>
      <c r="B992" s="72" t="s">
        <v>1618</v>
      </c>
      <c r="C992" s="381" t="s">
        <v>145</v>
      </c>
      <c r="D992" s="261">
        <v>612</v>
      </c>
      <c r="E992" s="288" t="s">
        <v>212</v>
      </c>
      <c r="F992" t="s">
        <v>1565</v>
      </c>
    </row>
    <row r="993" spans="1:6" ht="15.75" customHeight="1">
      <c r="A993" s="274">
        <v>46188</v>
      </c>
      <c r="B993" s="72" t="s">
        <v>1594</v>
      </c>
      <c r="C993" s="381" t="s">
        <v>130</v>
      </c>
      <c r="D993" s="261">
        <v>138</v>
      </c>
      <c r="E993" s="288" t="s">
        <v>212</v>
      </c>
      <c r="F993" t="s">
        <v>1565</v>
      </c>
    </row>
    <row r="994" spans="1:6" ht="15.75" customHeight="1">
      <c r="A994" s="274">
        <v>46188</v>
      </c>
      <c r="B994" s="72" t="s">
        <v>1600</v>
      </c>
      <c r="C994" s="381" t="s">
        <v>130</v>
      </c>
      <c r="D994" s="261">
        <v>60</v>
      </c>
      <c r="E994" s="288" t="s">
        <v>212</v>
      </c>
      <c r="F994" t="s">
        <v>1565</v>
      </c>
    </row>
    <row r="995" spans="1:6" ht="15.75" customHeight="1">
      <c r="A995" s="274">
        <v>46188</v>
      </c>
      <c r="B995" s="72" t="s">
        <v>127</v>
      </c>
      <c r="C995" s="381" t="s">
        <v>128</v>
      </c>
      <c r="D995" s="261">
        <v>16.29</v>
      </c>
      <c r="E995" s="288" t="s">
        <v>212</v>
      </c>
      <c r="F995" t="s">
        <v>1565</v>
      </c>
    </row>
    <row r="996" spans="1:6" ht="15.75" customHeight="1">
      <c r="A996" s="274">
        <v>46189</v>
      </c>
      <c r="B996" s="72" t="s">
        <v>127</v>
      </c>
      <c r="C996" s="381" t="s">
        <v>128</v>
      </c>
      <c r="D996" s="261">
        <v>5.43</v>
      </c>
      <c r="E996" s="288" t="s">
        <v>212</v>
      </c>
      <c r="F996" t="s">
        <v>1565</v>
      </c>
    </row>
    <row r="997" spans="1:6" ht="15.75" customHeight="1">
      <c r="A997" s="274">
        <v>46189</v>
      </c>
      <c r="B997" s="71" t="s">
        <v>1612</v>
      </c>
      <c r="C997" s="381" t="s">
        <v>130</v>
      </c>
      <c r="D997" s="261">
        <v>360</v>
      </c>
      <c r="E997" s="288" t="s">
        <v>212</v>
      </c>
      <c r="F997" t="s">
        <v>1565</v>
      </c>
    </row>
    <row r="998" spans="1:6" ht="15.75" customHeight="1">
      <c r="A998" s="274">
        <v>46189</v>
      </c>
      <c r="B998" s="72" t="s">
        <v>1612</v>
      </c>
      <c r="C998" s="381" t="s">
        <v>130</v>
      </c>
      <c r="D998" s="261">
        <v>434.21</v>
      </c>
      <c r="E998" s="288" t="s">
        <v>212</v>
      </c>
      <c r="F998" t="s">
        <v>1565</v>
      </c>
    </row>
    <row r="999" spans="1:6" ht="15.75" customHeight="1">
      <c r="A999" s="274">
        <v>46189</v>
      </c>
      <c r="B999" s="71" t="s">
        <v>1615</v>
      </c>
      <c r="C999" s="381" t="s">
        <v>130</v>
      </c>
      <c r="D999" s="261">
        <v>572.4</v>
      </c>
      <c r="E999" s="288" t="s">
        <v>212</v>
      </c>
      <c r="F999" t="s">
        <v>1565</v>
      </c>
    </row>
    <row r="1000" spans="1:6" ht="15.75" customHeight="1">
      <c r="A1000" s="274">
        <v>46189</v>
      </c>
      <c r="B1000" s="72" t="s">
        <v>1619</v>
      </c>
      <c r="C1000" s="381" t="s">
        <v>130</v>
      </c>
      <c r="D1000" s="261">
        <v>826.34</v>
      </c>
      <c r="E1000" s="288" t="s">
        <v>212</v>
      </c>
      <c r="F1000" t="s">
        <v>1565</v>
      </c>
    </row>
    <row r="1001" spans="1:6" ht="15.75" customHeight="1">
      <c r="A1001" s="274">
        <v>46189</v>
      </c>
      <c r="B1001" s="71" t="s">
        <v>1620</v>
      </c>
      <c r="C1001" s="381" t="s">
        <v>130</v>
      </c>
      <c r="D1001" s="261">
        <v>855.77</v>
      </c>
      <c r="E1001" s="288" t="s">
        <v>212</v>
      </c>
      <c r="F1001" t="s">
        <v>1565</v>
      </c>
    </row>
    <row r="1002" spans="1:6" ht="15.75" customHeight="1">
      <c r="A1002" s="274">
        <v>46189</v>
      </c>
      <c r="B1002" s="71" t="s">
        <v>1621</v>
      </c>
      <c r="C1002" s="381" t="s">
        <v>110</v>
      </c>
      <c r="D1002" s="261">
        <v>1600</v>
      </c>
      <c r="E1002" s="288" t="s">
        <v>212</v>
      </c>
      <c r="F1002" t="s">
        <v>1565</v>
      </c>
    </row>
    <row r="1003" spans="1:6" ht="15.75" customHeight="1">
      <c r="A1003" s="274">
        <v>46189</v>
      </c>
      <c r="B1003" s="71" t="s">
        <v>1622</v>
      </c>
      <c r="C1003" s="381" t="s">
        <v>110</v>
      </c>
      <c r="D1003" s="261">
        <v>5000</v>
      </c>
      <c r="E1003" s="288" t="s">
        <v>212</v>
      </c>
      <c r="F1003" t="s">
        <v>1565</v>
      </c>
    </row>
    <row r="1004" spans="1:6" ht="15.75" customHeight="1">
      <c r="A1004" s="274">
        <v>46190</v>
      </c>
      <c r="B1004" s="71" t="s">
        <v>127</v>
      </c>
      <c r="C1004" s="381" t="s">
        <v>128</v>
      </c>
      <c r="D1004" s="261">
        <v>7.24</v>
      </c>
      <c r="E1004" s="288" t="s">
        <v>212</v>
      </c>
      <c r="F1004" t="s">
        <v>1565</v>
      </c>
    </row>
    <row r="1005" spans="1:6" ht="15.75" customHeight="1">
      <c r="A1005" s="274">
        <v>46190</v>
      </c>
      <c r="B1005" s="72" t="s">
        <v>1609</v>
      </c>
      <c r="C1005" s="381" t="s">
        <v>130</v>
      </c>
      <c r="D1005" s="261">
        <v>498</v>
      </c>
      <c r="E1005" s="288" t="s">
        <v>212</v>
      </c>
      <c r="F1005" t="s">
        <v>1565</v>
      </c>
    </row>
    <row r="1006" spans="1:6" ht="15.75" customHeight="1">
      <c r="A1006" s="274">
        <v>46190</v>
      </c>
      <c r="B1006" s="71" t="s">
        <v>1623</v>
      </c>
      <c r="C1006" s="381" t="s">
        <v>1570</v>
      </c>
      <c r="D1006" s="261">
        <v>360</v>
      </c>
      <c r="E1006" s="288" t="s">
        <v>212</v>
      </c>
      <c r="F1006" t="s">
        <v>1565</v>
      </c>
    </row>
    <row r="1007" spans="1:6" ht="15.75" customHeight="1">
      <c r="A1007" s="274">
        <v>46190</v>
      </c>
      <c r="B1007" s="72" t="s">
        <v>1612</v>
      </c>
      <c r="C1007" s="381" t="s">
        <v>130</v>
      </c>
      <c r="D1007" s="261">
        <v>1017.31</v>
      </c>
      <c r="E1007" s="288" t="s">
        <v>212</v>
      </c>
      <c r="F1007" t="s">
        <v>1565</v>
      </c>
    </row>
    <row r="1008" spans="1:6" ht="15.75" customHeight="1">
      <c r="A1008" s="274">
        <v>46190</v>
      </c>
      <c r="B1008" s="71" t="s">
        <v>1624</v>
      </c>
      <c r="C1008" s="381" t="s">
        <v>130</v>
      </c>
      <c r="D1008" s="261">
        <v>1372.01</v>
      </c>
      <c r="E1008" s="288" t="s">
        <v>212</v>
      </c>
      <c r="F1008" t="s">
        <v>1565</v>
      </c>
    </row>
    <row r="1009" spans="1:6" ht="15.75" customHeight="1">
      <c r="A1009" s="274">
        <v>46190</v>
      </c>
      <c r="B1009" s="72" t="s">
        <v>1625</v>
      </c>
      <c r="C1009" s="381" t="s">
        <v>130</v>
      </c>
      <c r="D1009" s="261">
        <v>1693.31</v>
      </c>
      <c r="E1009" s="288" t="s">
        <v>212</v>
      </c>
      <c r="F1009" t="s">
        <v>1565</v>
      </c>
    </row>
    <row r="1010" spans="1:6" ht="15.75" customHeight="1">
      <c r="A1010" s="274">
        <v>46190</v>
      </c>
      <c r="B1010" s="71" t="s">
        <v>1626</v>
      </c>
      <c r="C1010" s="381" t="s">
        <v>130</v>
      </c>
      <c r="D1010" s="261">
        <v>212</v>
      </c>
      <c r="E1010" s="288" t="s">
        <v>212</v>
      </c>
      <c r="F1010" t="s">
        <v>1565</v>
      </c>
    </row>
    <row r="1011" spans="1:6" ht="15.75" customHeight="1">
      <c r="A1011" s="274">
        <v>46190</v>
      </c>
      <c r="B1011" s="72" t="s">
        <v>1627</v>
      </c>
      <c r="C1011" s="381" t="s">
        <v>130</v>
      </c>
      <c r="D1011" s="261">
        <v>739</v>
      </c>
      <c r="E1011" s="288" t="s">
        <v>212</v>
      </c>
      <c r="F1011" t="s">
        <v>1565</v>
      </c>
    </row>
    <row r="1012" spans="1:6" ht="15.75" customHeight="1">
      <c r="A1012" s="274">
        <v>46191</v>
      </c>
      <c r="B1012" s="72" t="s">
        <v>127</v>
      </c>
      <c r="C1012" s="381" t="s">
        <v>128</v>
      </c>
      <c r="D1012" s="261">
        <v>10.86</v>
      </c>
      <c r="E1012" s="288" t="s">
        <v>212</v>
      </c>
      <c r="F1012" t="s">
        <v>1565</v>
      </c>
    </row>
    <row r="1013" spans="1:6" ht="15.75" customHeight="1">
      <c r="A1013" s="274">
        <v>46191</v>
      </c>
      <c r="B1013" s="71" t="s">
        <v>1616</v>
      </c>
      <c r="C1013" s="381" t="s">
        <v>130</v>
      </c>
      <c r="D1013" s="261">
        <v>706</v>
      </c>
      <c r="E1013" s="288" t="s">
        <v>212</v>
      </c>
      <c r="F1013" t="s">
        <v>1565</v>
      </c>
    </row>
    <row r="1014" spans="1:6" ht="15.75" customHeight="1">
      <c r="A1014" s="274">
        <v>46191</v>
      </c>
      <c r="B1014" s="72" t="s">
        <v>1611</v>
      </c>
      <c r="C1014" s="381" t="s">
        <v>130</v>
      </c>
      <c r="D1014" s="261">
        <v>929.44</v>
      </c>
      <c r="E1014" s="288" t="s">
        <v>212</v>
      </c>
      <c r="F1014" t="s">
        <v>1565</v>
      </c>
    </row>
    <row r="1015" spans="1:6" ht="15.75" customHeight="1">
      <c r="A1015" s="274">
        <v>46191</v>
      </c>
      <c r="B1015" s="71" t="s">
        <v>1628</v>
      </c>
      <c r="C1015" s="381" t="s">
        <v>130</v>
      </c>
      <c r="D1015" s="261">
        <v>665.97</v>
      </c>
      <c r="E1015" s="288" t="s">
        <v>212</v>
      </c>
      <c r="F1015" t="s">
        <v>1565</v>
      </c>
    </row>
    <row r="1016" spans="1:6" ht="15.75" customHeight="1">
      <c r="A1016" s="274">
        <v>46191</v>
      </c>
      <c r="B1016" s="72" t="s">
        <v>1611</v>
      </c>
      <c r="C1016" s="381" t="s">
        <v>130</v>
      </c>
      <c r="D1016" s="261">
        <v>392.43</v>
      </c>
      <c r="E1016" s="288" t="s">
        <v>212</v>
      </c>
      <c r="F1016" t="s">
        <v>1565</v>
      </c>
    </row>
    <row r="1017" spans="1:6" ht="15.75" customHeight="1">
      <c r="A1017" s="274">
        <v>46191</v>
      </c>
      <c r="B1017" s="72" t="s">
        <v>1629</v>
      </c>
      <c r="C1017" s="381" t="s">
        <v>169</v>
      </c>
      <c r="D1017" s="261">
        <v>300</v>
      </c>
      <c r="E1017" s="288" t="s">
        <v>212</v>
      </c>
      <c r="F1017" t="s">
        <v>1565</v>
      </c>
    </row>
    <row r="1018" spans="1:6" ht="15.75" customHeight="1">
      <c r="A1018" s="274">
        <v>46192</v>
      </c>
      <c r="B1018" s="72" t="s">
        <v>127</v>
      </c>
      <c r="C1018" s="381" t="s">
        <v>128</v>
      </c>
      <c r="D1018" s="261">
        <v>1.81</v>
      </c>
      <c r="E1018" s="288" t="s">
        <v>212</v>
      </c>
      <c r="F1018" t="s">
        <v>1565</v>
      </c>
    </row>
    <row r="1019" spans="1:6" ht="15.75" customHeight="1">
      <c r="A1019" s="274">
        <v>46192</v>
      </c>
      <c r="B1019" s="71" t="s">
        <v>1630</v>
      </c>
      <c r="C1019" s="381" t="s">
        <v>130</v>
      </c>
      <c r="D1019" s="261">
        <v>631.01</v>
      </c>
      <c r="E1019" s="288" t="s">
        <v>212</v>
      </c>
      <c r="F1019" t="s">
        <v>1565</v>
      </c>
    </row>
    <row r="1020" spans="1:6" ht="15.75" customHeight="1">
      <c r="A1020" s="274">
        <v>46192</v>
      </c>
      <c r="B1020" s="72" t="s">
        <v>1631</v>
      </c>
      <c r="C1020" s="381" t="s">
        <v>130</v>
      </c>
      <c r="D1020" s="261">
        <v>489</v>
      </c>
      <c r="E1020" s="288" t="s">
        <v>212</v>
      </c>
      <c r="F1020" t="s">
        <v>1565</v>
      </c>
    </row>
    <row r="1021" spans="1:6" ht="15.75" customHeight="1">
      <c r="A1021" s="274">
        <v>46192</v>
      </c>
      <c r="B1021" s="71" t="s">
        <v>1632</v>
      </c>
      <c r="C1021" s="381" t="s">
        <v>130</v>
      </c>
      <c r="D1021" s="261">
        <v>490</v>
      </c>
      <c r="E1021" s="288" t="s">
        <v>212</v>
      </c>
      <c r="F1021" t="s">
        <v>1565</v>
      </c>
    </row>
    <row r="1022" spans="1:6" ht="15.75" customHeight="1">
      <c r="A1022" s="274">
        <v>46192</v>
      </c>
      <c r="B1022" s="72" t="s">
        <v>1633</v>
      </c>
      <c r="C1022" s="381" t="s">
        <v>130</v>
      </c>
      <c r="D1022" s="261">
        <v>548.1</v>
      </c>
      <c r="E1022" s="288" t="s">
        <v>212</v>
      </c>
      <c r="F1022" t="s">
        <v>1565</v>
      </c>
    </row>
    <row r="1023" spans="1:6" ht="15.75" customHeight="1">
      <c r="A1023" s="274">
        <v>46192</v>
      </c>
      <c r="B1023" s="71" t="s">
        <v>1610</v>
      </c>
      <c r="C1023" s="381" t="s">
        <v>130</v>
      </c>
      <c r="D1023" s="261">
        <v>1080</v>
      </c>
      <c r="E1023" s="288" t="s">
        <v>212</v>
      </c>
      <c r="F1023" t="s">
        <v>1565</v>
      </c>
    </row>
    <row r="1024" spans="1:6" ht="15.75" customHeight="1">
      <c r="A1024" s="274">
        <v>46192</v>
      </c>
      <c r="B1024" s="69" t="s">
        <v>1385</v>
      </c>
      <c r="C1024" s="264" t="s">
        <v>132</v>
      </c>
      <c r="D1024" s="66">
        <v>720</v>
      </c>
      <c r="E1024" s="288" t="s">
        <v>212</v>
      </c>
      <c r="F1024" t="s">
        <v>1565</v>
      </c>
    </row>
    <row r="1025" spans="1:6" ht="15.75" customHeight="1">
      <c r="A1025" s="274">
        <v>46192</v>
      </c>
      <c r="B1025" s="295" t="s">
        <v>133</v>
      </c>
      <c r="C1025" s="264" t="s">
        <v>132</v>
      </c>
      <c r="D1025" s="382">
        <v>855.2</v>
      </c>
      <c r="E1025" s="288" t="s">
        <v>212</v>
      </c>
      <c r="F1025" t="s">
        <v>1565</v>
      </c>
    </row>
    <row r="1026" spans="1:6" ht="15.75" customHeight="1">
      <c r="A1026" s="274">
        <v>46192</v>
      </c>
      <c r="B1026" s="258" t="s">
        <v>1634</v>
      </c>
      <c r="C1026" s="264" t="s">
        <v>132</v>
      </c>
      <c r="D1026" s="297">
        <v>855.2</v>
      </c>
      <c r="E1026" s="288" t="s">
        <v>212</v>
      </c>
      <c r="F1026" t="s">
        <v>1565</v>
      </c>
    </row>
    <row r="1027" spans="1:6" ht="15.75" customHeight="1">
      <c r="A1027" s="274">
        <v>46192</v>
      </c>
      <c r="B1027" s="258" t="s">
        <v>696</v>
      </c>
      <c r="C1027" s="264" t="s">
        <v>132</v>
      </c>
      <c r="D1027" s="297">
        <v>1042.9100000000001</v>
      </c>
      <c r="E1027" s="288" t="s">
        <v>212</v>
      </c>
      <c r="F1027" t="s">
        <v>1565</v>
      </c>
    </row>
    <row r="1028" spans="1:6" ht="15.75" customHeight="1">
      <c r="A1028" s="274">
        <v>46192</v>
      </c>
      <c r="B1028" s="258" t="s">
        <v>694</v>
      </c>
      <c r="C1028" s="264" t="s">
        <v>132</v>
      </c>
      <c r="D1028" s="297">
        <v>551.11</v>
      </c>
      <c r="E1028" s="288" t="s">
        <v>212</v>
      </c>
      <c r="F1028" t="s">
        <v>1565</v>
      </c>
    </row>
    <row r="1029" spans="1:6" ht="15.75" customHeight="1">
      <c r="A1029" s="274">
        <v>46195</v>
      </c>
      <c r="B1029" s="258" t="s">
        <v>148</v>
      </c>
      <c r="C1029" s="264" t="s">
        <v>1635</v>
      </c>
      <c r="D1029" s="297">
        <v>12531.52</v>
      </c>
      <c r="E1029" s="288" t="s">
        <v>212</v>
      </c>
      <c r="F1029" t="s">
        <v>1565</v>
      </c>
    </row>
    <row r="1030" spans="1:6" ht="15.75" customHeight="1">
      <c r="A1030" s="274">
        <v>46195</v>
      </c>
      <c r="B1030" s="258" t="s">
        <v>698</v>
      </c>
      <c r="C1030" s="264" t="s">
        <v>122</v>
      </c>
      <c r="D1030" s="297">
        <v>473.47</v>
      </c>
      <c r="E1030" s="288" t="s">
        <v>212</v>
      </c>
      <c r="F1030" t="s">
        <v>1565</v>
      </c>
    </row>
    <row r="1031" spans="1:6" ht="15.75" customHeight="1">
      <c r="A1031" s="274">
        <v>46195</v>
      </c>
      <c r="B1031" s="258" t="s">
        <v>698</v>
      </c>
      <c r="C1031" s="264" t="s">
        <v>122</v>
      </c>
      <c r="D1031" s="297">
        <v>496.24</v>
      </c>
      <c r="E1031" s="288" t="s">
        <v>212</v>
      </c>
      <c r="F1031" t="s">
        <v>1565</v>
      </c>
    </row>
    <row r="1032" spans="1:6" ht="15.75" customHeight="1">
      <c r="A1032" s="274">
        <v>46195</v>
      </c>
      <c r="B1032" s="63" t="s">
        <v>716</v>
      </c>
      <c r="C1032" s="63" t="s">
        <v>130</v>
      </c>
      <c r="D1032" s="297">
        <v>493.71</v>
      </c>
      <c r="E1032" s="288" t="s">
        <v>212</v>
      </c>
      <c r="F1032" t="s">
        <v>1565</v>
      </c>
    </row>
    <row r="1033" spans="1:6" ht="15.75" customHeight="1">
      <c r="A1033" s="274">
        <v>46195</v>
      </c>
      <c r="B1033" s="258" t="s">
        <v>716</v>
      </c>
      <c r="C1033" s="63" t="s">
        <v>130</v>
      </c>
      <c r="D1033" s="297">
        <v>3044.94</v>
      </c>
      <c r="E1033" s="288" t="s">
        <v>212</v>
      </c>
      <c r="F1033" t="s">
        <v>1565</v>
      </c>
    </row>
    <row r="1034" spans="1:6" ht="15.75" customHeight="1">
      <c r="A1034" s="274">
        <v>46195</v>
      </c>
      <c r="B1034" s="258" t="s">
        <v>679</v>
      </c>
      <c r="C1034" s="63" t="s">
        <v>130</v>
      </c>
      <c r="D1034" s="297">
        <v>613.79999999999995</v>
      </c>
      <c r="E1034" s="288" t="s">
        <v>212</v>
      </c>
      <c r="F1034" t="s">
        <v>1565</v>
      </c>
    </row>
    <row r="1035" spans="1:6" ht="15.75" customHeight="1">
      <c r="A1035" s="274">
        <v>46195</v>
      </c>
      <c r="B1035" s="258" t="s">
        <v>652</v>
      </c>
      <c r="C1035" s="63" t="s">
        <v>130</v>
      </c>
      <c r="D1035" s="297">
        <v>619.9</v>
      </c>
      <c r="E1035" s="288" t="s">
        <v>212</v>
      </c>
      <c r="F1035" t="s">
        <v>1565</v>
      </c>
    </row>
    <row r="1036" spans="1:6" ht="15.75" customHeight="1">
      <c r="A1036" s="274">
        <v>46195</v>
      </c>
      <c r="B1036" s="258" t="s">
        <v>668</v>
      </c>
      <c r="C1036" s="63" t="s">
        <v>130</v>
      </c>
      <c r="D1036" s="297">
        <v>1003</v>
      </c>
      <c r="E1036" s="288" t="s">
        <v>212</v>
      </c>
      <c r="F1036" t="s">
        <v>1565</v>
      </c>
    </row>
    <row r="1037" spans="1:6" ht="15.75" customHeight="1">
      <c r="A1037" s="274">
        <v>46195</v>
      </c>
      <c r="B1037" s="258" t="s">
        <v>716</v>
      </c>
      <c r="C1037" s="63" t="s">
        <v>130</v>
      </c>
      <c r="D1037" s="297">
        <v>843.81</v>
      </c>
      <c r="E1037" s="288" t="s">
        <v>212</v>
      </c>
      <c r="F1037" t="s">
        <v>1565</v>
      </c>
    </row>
    <row r="1038" spans="1:6" ht="15.75" customHeight="1">
      <c r="A1038" s="274">
        <v>46195</v>
      </c>
      <c r="B1038" s="258" t="s">
        <v>473</v>
      </c>
      <c r="C1038" s="63" t="s">
        <v>130</v>
      </c>
      <c r="D1038" s="297">
        <v>557.5</v>
      </c>
      <c r="E1038" s="288" t="s">
        <v>212</v>
      </c>
      <c r="F1038" t="s">
        <v>1565</v>
      </c>
    </row>
    <row r="1039" spans="1:6" ht="15.75" customHeight="1">
      <c r="A1039" s="274">
        <v>46195</v>
      </c>
      <c r="B1039" s="63" t="s">
        <v>1396</v>
      </c>
      <c r="C1039" s="63" t="s">
        <v>130</v>
      </c>
      <c r="D1039" s="297">
        <v>710.85</v>
      </c>
      <c r="E1039" s="288" t="s">
        <v>212</v>
      </c>
      <c r="F1039" t="s">
        <v>1565</v>
      </c>
    </row>
    <row r="1040" spans="1:6" ht="15.75" customHeight="1">
      <c r="A1040" s="274">
        <v>46195</v>
      </c>
      <c r="B1040" s="258" t="s">
        <v>716</v>
      </c>
      <c r="C1040" s="63" t="s">
        <v>130</v>
      </c>
      <c r="D1040" s="297">
        <v>487.59</v>
      </c>
      <c r="E1040" s="288" t="s">
        <v>212</v>
      </c>
      <c r="F1040" t="s">
        <v>1565</v>
      </c>
    </row>
    <row r="1041" spans="1:6" ht="15.75" customHeight="1">
      <c r="A1041" s="274">
        <v>46195</v>
      </c>
      <c r="B1041" s="258" t="s">
        <v>127</v>
      </c>
      <c r="C1041" s="63" t="s">
        <v>128</v>
      </c>
      <c r="D1041" s="297">
        <v>27.24</v>
      </c>
      <c r="E1041" s="288" t="s">
        <v>212</v>
      </c>
      <c r="F1041" t="s">
        <v>1565</v>
      </c>
    </row>
    <row r="1042" spans="1:6" ht="15.75" customHeight="1">
      <c r="A1042" s="274">
        <v>46195</v>
      </c>
      <c r="B1042" s="258" t="s">
        <v>1594</v>
      </c>
      <c r="C1042" s="63" t="s">
        <v>130</v>
      </c>
      <c r="D1042" s="297">
        <v>117</v>
      </c>
      <c r="E1042" s="288" t="s">
        <v>212</v>
      </c>
      <c r="F1042" t="s">
        <v>1565</v>
      </c>
    </row>
    <row r="1043" spans="1:6" ht="15.75" customHeight="1">
      <c r="A1043" s="274">
        <v>46195</v>
      </c>
      <c r="B1043" s="258" t="s">
        <v>147</v>
      </c>
      <c r="C1043" s="63" t="s">
        <v>147</v>
      </c>
      <c r="D1043" s="297">
        <v>6300</v>
      </c>
      <c r="E1043" s="288" t="s">
        <v>212</v>
      </c>
      <c r="F1043" t="s">
        <v>1565</v>
      </c>
    </row>
    <row r="1044" spans="1:6" ht="15.75" customHeight="1">
      <c r="A1044" s="274">
        <v>46196</v>
      </c>
      <c r="B1044" s="258" t="s">
        <v>127</v>
      </c>
      <c r="C1044" s="63" t="s">
        <v>128</v>
      </c>
      <c r="D1044" s="297">
        <v>3.62</v>
      </c>
      <c r="E1044" s="288" t="s">
        <v>212</v>
      </c>
      <c r="F1044" t="s">
        <v>1565</v>
      </c>
    </row>
    <row r="1045" spans="1:6" ht="15.75" customHeight="1">
      <c r="A1045" s="274">
        <v>46196</v>
      </c>
      <c r="B1045" s="258" t="s">
        <v>657</v>
      </c>
      <c r="C1045" s="264" t="s">
        <v>130</v>
      </c>
      <c r="D1045" s="297">
        <v>300</v>
      </c>
      <c r="E1045" s="288" t="s">
        <v>212</v>
      </c>
      <c r="F1045" t="s">
        <v>1565</v>
      </c>
    </row>
    <row r="1046" spans="1:6" ht="15.75" customHeight="1">
      <c r="A1046" s="274">
        <v>46196</v>
      </c>
      <c r="B1046" s="258" t="s">
        <v>473</v>
      </c>
      <c r="C1046" s="264" t="s">
        <v>130</v>
      </c>
      <c r="D1046" s="297">
        <v>411.75</v>
      </c>
      <c r="E1046" s="288" t="s">
        <v>212</v>
      </c>
      <c r="F1046" t="s">
        <v>1565</v>
      </c>
    </row>
    <row r="1047" spans="1:6" ht="15.75" customHeight="1">
      <c r="A1047" s="289">
        <v>46196</v>
      </c>
      <c r="B1047" s="290" t="s">
        <v>123</v>
      </c>
      <c r="C1047" s="375" t="s">
        <v>124</v>
      </c>
      <c r="D1047" s="383">
        <v>2623.11</v>
      </c>
      <c r="E1047" s="288" t="s">
        <v>212</v>
      </c>
      <c r="F1047" t="s">
        <v>1565</v>
      </c>
    </row>
    <row r="1048" spans="1:6" ht="15.75" customHeight="1">
      <c r="A1048" s="274">
        <v>46197</v>
      </c>
      <c r="B1048" s="258" t="s">
        <v>127</v>
      </c>
      <c r="C1048" s="264" t="s">
        <v>128</v>
      </c>
      <c r="D1048" s="297">
        <v>16.38</v>
      </c>
      <c r="E1048" s="288" t="s">
        <v>212</v>
      </c>
      <c r="F1048" t="s">
        <v>1565</v>
      </c>
    </row>
    <row r="1049" spans="1:6" ht="15.75" customHeight="1">
      <c r="A1049" s="274">
        <v>46197</v>
      </c>
      <c r="B1049" s="63" t="s">
        <v>1636</v>
      </c>
      <c r="C1049" s="63" t="s">
        <v>1570</v>
      </c>
      <c r="D1049" s="64">
        <v>360</v>
      </c>
      <c r="E1049" s="288" t="s">
        <v>212</v>
      </c>
      <c r="F1049" t="s">
        <v>1565</v>
      </c>
    </row>
    <row r="1050" spans="1:6" ht="15.75" customHeight="1">
      <c r="A1050" s="274">
        <v>46197</v>
      </c>
      <c r="B1050" s="63" t="s">
        <v>473</v>
      </c>
      <c r="C1050" s="63" t="s">
        <v>130</v>
      </c>
      <c r="D1050" s="64">
        <v>458</v>
      </c>
      <c r="E1050" s="288" t="s">
        <v>212</v>
      </c>
      <c r="F1050" t="s">
        <v>1565</v>
      </c>
    </row>
    <row r="1051" spans="1:6" ht="15.75" customHeight="1">
      <c r="A1051" s="274">
        <v>46197</v>
      </c>
      <c r="B1051" s="63" t="s">
        <v>650</v>
      </c>
      <c r="C1051" s="63" t="s">
        <v>130</v>
      </c>
      <c r="D1051" s="64">
        <v>134.19999999999999</v>
      </c>
      <c r="E1051" s="288" t="s">
        <v>212</v>
      </c>
      <c r="F1051" t="s">
        <v>1565</v>
      </c>
    </row>
    <row r="1052" spans="1:6" ht="15.75" customHeight="1">
      <c r="A1052" s="274">
        <v>46197</v>
      </c>
      <c r="B1052" s="63" t="s">
        <v>1637</v>
      </c>
      <c r="C1052" s="63" t="s">
        <v>130</v>
      </c>
      <c r="D1052" s="64">
        <v>458.8</v>
      </c>
      <c r="E1052" s="288" t="s">
        <v>212</v>
      </c>
      <c r="F1052" t="s">
        <v>1565</v>
      </c>
    </row>
    <row r="1053" spans="1:6" ht="15.75" customHeight="1">
      <c r="A1053" s="274">
        <v>46198</v>
      </c>
      <c r="B1053" s="384" t="s">
        <v>127</v>
      </c>
      <c r="C1053" s="385" t="s">
        <v>128</v>
      </c>
      <c r="D1053" s="386">
        <v>14.48</v>
      </c>
      <c r="E1053" s="288" t="s">
        <v>212</v>
      </c>
      <c r="F1053" t="s">
        <v>1565</v>
      </c>
    </row>
    <row r="1054" spans="1:6" ht="15.75" customHeight="1">
      <c r="A1054" s="274">
        <v>46198</v>
      </c>
      <c r="B1054" s="258" t="s">
        <v>702</v>
      </c>
      <c r="C1054" s="264" t="s">
        <v>145</v>
      </c>
      <c r="D1054" s="297">
        <v>1010.58</v>
      </c>
      <c r="E1054" s="288" t="s">
        <v>212</v>
      </c>
      <c r="F1054" t="s">
        <v>1565</v>
      </c>
    </row>
    <row r="1055" spans="1:6" ht="15.75" customHeight="1">
      <c r="A1055" s="274">
        <v>46198</v>
      </c>
      <c r="B1055" s="258" t="s">
        <v>807</v>
      </c>
      <c r="C1055" s="264" t="s">
        <v>130</v>
      </c>
      <c r="D1055" s="300">
        <v>190</v>
      </c>
      <c r="E1055" s="288" t="s">
        <v>212</v>
      </c>
      <c r="F1055" t="s">
        <v>1565</v>
      </c>
    </row>
    <row r="1056" spans="1:6" ht="15.75" customHeight="1">
      <c r="A1056" s="274">
        <v>46198</v>
      </c>
      <c r="B1056" s="299" t="s">
        <v>657</v>
      </c>
      <c r="C1056" s="264" t="s">
        <v>130</v>
      </c>
      <c r="D1056" s="300">
        <v>421.25</v>
      </c>
      <c r="E1056" s="288" t="s">
        <v>212</v>
      </c>
      <c r="F1056" t="s">
        <v>1565</v>
      </c>
    </row>
    <row r="1057" spans="1:6" ht="15.75" customHeight="1">
      <c r="A1057" s="274">
        <v>46198</v>
      </c>
      <c r="B1057" s="299" t="s">
        <v>771</v>
      </c>
      <c r="C1057" s="264" t="s">
        <v>130</v>
      </c>
      <c r="D1057" s="300">
        <v>266.11</v>
      </c>
      <c r="E1057" s="288" t="s">
        <v>212</v>
      </c>
      <c r="F1057" t="s">
        <v>1565</v>
      </c>
    </row>
    <row r="1058" spans="1:6" ht="15.75" customHeight="1">
      <c r="A1058" s="289">
        <v>46198</v>
      </c>
      <c r="B1058" s="387" t="s">
        <v>154</v>
      </c>
      <c r="C1058" s="388" t="s">
        <v>147</v>
      </c>
      <c r="D1058" s="389">
        <v>4300</v>
      </c>
      <c r="E1058" s="288" t="s">
        <v>212</v>
      </c>
      <c r="F1058" t="s">
        <v>1565</v>
      </c>
    </row>
    <row r="1059" spans="1:6" ht="15.75" customHeight="1">
      <c r="A1059" s="289">
        <v>46199</v>
      </c>
      <c r="B1059" s="387" t="s">
        <v>1638</v>
      </c>
      <c r="C1059" s="388" t="s">
        <v>169</v>
      </c>
      <c r="D1059" s="389">
        <v>50</v>
      </c>
      <c r="E1059" s="288" t="s">
        <v>212</v>
      </c>
      <c r="F1059" t="s">
        <v>1565</v>
      </c>
    </row>
    <row r="1060" spans="1:6" ht="15.75" customHeight="1">
      <c r="A1060" s="289">
        <v>46199</v>
      </c>
      <c r="B1060" s="387" t="s">
        <v>1639</v>
      </c>
      <c r="C1060" s="388" t="s">
        <v>130</v>
      </c>
      <c r="D1060" s="389">
        <v>110</v>
      </c>
      <c r="E1060" s="288" t="s">
        <v>212</v>
      </c>
      <c r="F1060" t="s">
        <v>1565</v>
      </c>
    </row>
    <row r="1061" spans="1:6" ht="15.75" customHeight="1">
      <c r="A1061" s="274">
        <v>46199</v>
      </c>
      <c r="B1061" s="301" t="s">
        <v>127</v>
      </c>
      <c r="C1061" s="376" t="s">
        <v>128</v>
      </c>
      <c r="D1061" s="302">
        <v>10.86</v>
      </c>
      <c r="E1061" s="288" t="s">
        <v>212</v>
      </c>
      <c r="F1061" t="s">
        <v>1565</v>
      </c>
    </row>
    <row r="1062" spans="1:6" ht="15.75" customHeight="1">
      <c r="A1062" s="274">
        <v>46199</v>
      </c>
      <c r="B1062" s="390" t="s">
        <v>739</v>
      </c>
      <c r="C1062" s="258" t="s">
        <v>130</v>
      </c>
      <c r="D1062" s="391">
        <v>367.98</v>
      </c>
      <c r="E1062" s="288" t="s">
        <v>212</v>
      </c>
      <c r="F1062" t="s">
        <v>1565</v>
      </c>
    </row>
    <row r="1063" spans="1:6" ht="15.75" customHeight="1">
      <c r="A1063" s="274">
        <v>46199</v>
      </c>
      <c r="B1063" s="392" t="s">
        <v>655</v>
      </c>
      <c r="C1063" s="258" t="s">
        <v>130</v>
      </c>
      <c r="D1063" s="393">
        <v>548.04999999999995</v>
      </c>
      <c r="E1063" s="288" t="s">
        <v>212</v>
      </c>
      <c r="F1063" t="s">
        <v>1565</v>
      </c>
    </row>
    <row r="1064" spans="1:6" ht="15.75" customHeight="1">
      <c r="A1064" s="274">
        <v>46199</v>
      </c>
      <c r="B1064" s="390" t="s">
        <v>1640</v>
      </c>
      <c r="C1064" s="258" t="s">
        <v>130</v>
      </c>
      <c r="D1064" s="391">
        <v>240.62</v>
      </c>
      <c r="E1064" s="288" t="s">
        <v>212</v>
      </c>
      <c r="F1064" t="s">
        <v>1565</v>
      </c>
    </row>
    <row r="1065" spans="1:6" ht="15.75" customHeight="1">
      <c r="A1065" s="274">
        <v>46199</v>
      </c>
      <c r="B1065" s="392" t="s">
        <v>653</v>
      </c>
      <c r="C1065" s="258" t="s">
        <v>130</v>
      </c>
      <c r="D1065" s="393">
        <v>974.79</v>
      </c>
      <c r="E1065" s="288" t="s">
        <v>212</v>
      </c>
      <c r="F1065" t="s">
        <v>1565</v>
      </c>
    </row>
    <row r="1066" spans="1:6" ht="15.75" customHeight="1">
      <c r="A1066" s="274">
        <v>46199</v>
      </c>
      <c r="B1066" s="390" t="s">
        <v>657</v>
      </c>
      <c r="C1066" s="258" t="s">
        <v>130</v>
      </c>
      <c r="D1066" s="391">
        <v>155</v>
      </c>
      <c r="E1066" s="288" t="s">
        <v>212</v>
      </c>
      <c r="F1066" t="s">
        <v>1565</v>
      </c>
    </row>
    <row r="1067" spans="1:6" ht="15.75" customHeight="1">
      <c r="A1067" s="274">
        <v>46199</v>
      </c>
      <c r="B1067" s="392" t="s">
        <v>1641</v>
      </c>
      <c r="C1067" s="258" t="s">
        <v>130</v>
      </c>
      <c r="D1067" s="393">
        <v>1248.96</v>
      </c>
      <c r="E1067" s="288" t="s">
        <v>212</v>
      </c>
      <c r="F1067" t="s">
        <v>1565</v>
      </c>
    </row>
    <row r="1068" spans="1:6" ht="15.75" customHeight="1">
      <c r="A1068" s="274">
        <v>46199</v>
      </c>
      <c r="B1068" s="390" t="s">
        <v>650</v>
      </c>
      <c r="C1068" s="258" t="s">
        <v>130</v>
      </c>
      <c r="D1068" s="391">
        <v>400.68</v>
      </c>
      <c r="E1068" s="288" t="s">
        <v>212</v>
      </c>
      <c r="F1068" t="s">
        <v>1565</v>
      </c>
    </row>
    <row r="1069" spans="1:6" ht="15.75" customHeight="1">
      <c r="A1069" s="274">
        <v>46202</v>
      </c>
      <c r="B1069" s="390" t="s">
        <v>127</v>
      </c>
      <c r="C1069" s="258" t="s">
        <v>128</v>
      </c>
      <c r="D1069" s="391">
        <v>12.67</v>
      </c>
      <c r="E1069" s="288" t="s">
        <v>212</v>
      </c>
      <c r="F1069" t="s">
        <v>1565</v>
      </c>
    </row>
    <row r="1070" spans="1:6" ht="15.75" customHeight="1">
      <c r="A1070" s="274">
        <v>46202</v>
      </c>
      <c r="B1070" s="392" t="s">
        <v>663</v>
      </c>
      <c r="C1070" s="258" t="s">
        <v>130</v>
      </c>
      <c r="D1070" s="393">
        <v>384.56</v>
      </c>
      <c r="E1070" s="288" t="s">
        <v>212</v>
      </c>
      <c r="F1070" t="s">
        <v>1565</v>
      </c>
    </row>
    <row r="1071" spans="1:6" ht="15.75" customHeight="1">
      <c r="A1071" s="274">
        <v>46202</v>
      </c>
      <c r="B1071" s="390" t="s">
        <v>655</v>
      </c>
      <c r="C1071" s="258" t="s">
        <v>130</v>
      </c>
      <c r="D1071" s="391">
        <v>586.36</v>
      </c>
      <c r="E1071" s="288" t="s">
        <v>212</v>
      </c>
      <c r="F1071" t="s">
        <v>1565</v>
      </c>
    </row>
    <row r="1072" spans="1:6" ht="15.75" customHeight="1">
      <c r="A1072" s="274">
        <v>46202</v>
      </c>
      <c r="B1072" s="392" t="s">
        <v>1642</v>
      </c>
      <c r="C1072" s="258" t="s">
        <v>130</v>
      </c>
      <c r="D1072" s="393">
        <v>666.07</v>
      </c>
      <c r="E1072" s="288" t="s">
        <v>212</v>
      </c>
      <c r="F1072" t="s">
        <v>1565</v>
      </c>
    </row>
    <row r="1073" spans="1:6" ht="15.75" customHeight="1">
      <c r="A1073" s="274">
        <v>46202</v>
      </c>
      <c r="B1073" s="390" t="s">
        <v>655</v>
      </c>
      <c r="C1073" s="258" t="s">
        <v>130</v>
      </c>
      <c r="D1073" s="391">
        <v>718.74</v>
      </c>
      <c r="E1073" s="288" t="s">
        <v>212</v>
      </c>
      <c r="F1073" t="s">
        <v>1565</v>
      </c>
    </row>
    <row r="1074" spans="1:6" ht="15.75" customHeight="1">
      <c r="A1074" s="274">
        <v>46202</v>
      </c>
      <c r="B1074" s="392" t="s">
        <v>663</v>
      </c>
      <c r="C1074" s="258" t="s">
        <v>130</v>
      </c>
      <c r="D1074" s="393">
        <v>600</v>
      </c>
      <c r="E1074" s="288" t="s">
        <v>212</v>
      </c>
      <c r="F1074" t="s">
        <v>1565</v>
      </c>
    </row>
    <row r="1075" spans="1:6" ht="15.75" customHeight="1">
      <c r="A1075" s="274">
        <v>46202</v>
      </c>
      <c r="B1075" s="390" t="s">
        <v>1642</v>
      </c>
      <c r="C1075" s="258" t="s">
        <v>130</v>
      </c>
      <c r="D1075" s="391">
        <v>530.92999999999995</v>
      </c>
      <c r="E1075" s="288" t="s">
        <v>212</v>
      </c>
      <c r="F1075" t="s">
        <v>1565</v>
      </c>
    </row>
    <row r="1076" spans="1:6" ht="15.75" customHeight="1">
      <c r="A1076" s="274">
        <v>46202</v>
      </c>
      <c r="B1076" s="392" t="s">
        <v>1575</v>
      </c>
      <c r="C1076" s="258" t="s">
        <v>130</v>
      </c>
      <c r="D1076" s="393">
        <v>623.6</v>
      </c>
      <c r="E1076" s="288" t="s">
        <v>212</v>
      </c>
      <c r="F1076" t="s">
        <v>1565</v>
      </c>
    </row>
    <row r="1077" spans="1:6" ht="15.75" customHeight="1">
      <c r="A1077" s="274">
        <v>46202</v>
      </c>
      <c r="B1077" s="390" t="s">
        <v>721</v>
      </c>
      <c r="C1077" s="258" t="s">
        <v>130</v>
      </c>
      <c r="D1077" s="391">
        <v>820.44</v>
      </c>
      <c r="E1077" s="288" t="s">
        <v>212</v>
      </c>
      <c r="F1077" t="s">
        <v>1565</v>
      </c>
    </row>
    <row r="1078" spans="1:6" ht="15.75" customHeight="1">
      <c r="A1078" s="274">
        <v>46202</v>
      </c>
      <c r="B1078" s="392" t="s">
        <v>663</v>
      </c>
      <c r="C1078" s="258" t="s">
        <v>130</v>
      </c>
      <c r="D1078" s="393">
        <v>400</v>
      </c>
      <c r="E1078" s="288" t="s">
        <v>212</v>
      </c>
      <c r="F1078" t="s">
        <v>1565</v>
      </c>
    </row>
    <row r="1079" spans="1:6" ht="15.75" customHeight="1">
      <c r="A1079" s="274">
        <v>46202</v>
      </c>
      <c r="B1079" s="390" t="s">
        <v>815</v>
      </c>
      <c r="C1079" s="258" t="s">
        <v>130</v>
      </c>
      <c r="D1079" s="391">
        <v>397.5</v>
      </c>
      <c r="E1079" s="288" t="s">
        <v>212</v>
      </c>
      <c r="F1079" t="s">
        <v>1565</v>
      </c>
    </row>
    <row r="1080" spans="1:6" ht="15.75" customHeight="1">
      <c r="A1080" s="274">
        <v>46202</v>
      </c>
      <c r="B1080" s="392" t="s">
        <v>721</v>
      </c>
      <c r="C1080" s="258" t="s">
        <v>130</v>
      </c>
      <c r="D1080" s="393">
        <v>220</v>
      </c>
      <c r="E1080" s="288" t="s">
        <v>212</v>
      </c>
      <c r="F1080" t="s">
        <v>1565</v>
      </c>
    </row>
    <row r="1081" spans="1:6" ht="15.75" customHeight="1">
      <c r="A1081" s="274">
        <v>46203</v>
      </c>
      <c r="B1081" s="392" t="s">
        <v>127</v>
      </c>
      <c r="C1081" s="258" t="s">
        <v>128</v>
      </c>
      <c r="D1081" s="393">
        <v>9.0500000000000007</v>
      </c>
      <c r="E1081" s="288" t="s">
        <v>212</v>
      </c>
      <c r="F1081" t="s">
        <v>1565</v>
      </c>
    </row>
    <row r="1082" spans="1:6" ht="15.75" customHeight="1">
      <c r="A1082" s="274">
        <v>46203</v>
      </c>
      <c r="B1082" s="390" t="s">
        <v>680</v>
      </c>
      <c r="C1082" s="258" t="s">
        <v>130</v>
      </c>
      <c r="D1082" s="391">
        <v>509.57</v>
      </c>
      <c r="E1082" s="288" t="s">
        <v>212</v>
      </c>
      <c r="F1082" t="s">
        <v>1565</v>
      </c>
    </row>
    <row r="1083" spans="1:6" ht="15.75" customHeight="1">
      <c r="A1083" s="274">
        <v>46203</v>
      </c>
      <c r="B1083" s="392" t="s">
        <v>668</v>
      </c>
      <c r="C1083" s="258" t="s">
        <v>130</v>
      </c>
      <c r="D1083" s="393">
        <v>314.16000000000003</v>
      </c>
      <c r="E1083" s="288" t="s">
        <v>212</v>
      </c>
      <c r="F1083" t="s">
        <v>1565</v>
      </c>
    </row>
    <row r="1084" spans="1:6" ht="15.75" customHeight="1">
      <c r="A1084" s="274">
        <v>46203</v>
      </c>
      <c r="B1084" s="390" t="s">
        <v>651</v>
      </c>
      <c r="C1084" s="258" t="s">
        <v>130</v>
      </c>
      <c r="D1084" s="391">
        <v>215</v>
      </c>
      <c r="E1084" s="288" t="s">
        <v>212</v>
      </c>
      <c r="F1084" t="s">
        <v>1565</v>
      </c>
    </row>
    <row r="1085" spans="1:6" ht="15.75" customHeight="1">
      <c r="A1085" s="274">
        <v>46203</v>
      </c>
      <c r="B1085" s="63" t="s">
        <v>755</v>
      </c>
      <c r="C1085" s="264" t="s">
        <v>145</v>
      </c>
      <c r="D1085" s="64">
        <v>4200</v>
      </c>
      <c r="E1085" s="288" t="s">
        <v>212</v>
      </c>
      <c r="F1085" t="s">
        <v>1565</v>
      </c>
    </row>
  </sheetData>
  <phoneticPr fontId="11" type="noConversion"/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C5341-AAC9-4F5A-BD8B-1448F7BE0AF9}">
  <dimension ref="A1:F712"/>
  <sheetViews>
    <sheetView topLeftCell="A592" workbookViewId="0">
      <selection activeCell="E510" sqref="E510:E612"/>
    </sheetView>
  </sheetViews>
  <sheetFormatPr defaultRowHeight="15"/>
  <cols>
    <col min="1" max="1" width="10.7109375" bestFit="1" customWidth="1"/>
    <col min="3" max="3" width="55.7109375" bestFit="1" customWidth="1"/>
    <col min="4" max="4" width="13.28515625" style="36" bestFit="1" customWidth="1"/>
  </cols>
  <sheetData>
    <row r="1" spans="1:5">
      <c r="A1" s="1" t="s">
        <v>184</v>
      </c>
      <c r="B1" s="1" t="s">
        <v>209</v>
      </c>
      <c r="C1" s="1" t="s">
        <v>210</v>
      </c>
      <c r="D1" s="104" t="s">
        <v>187</v>
      </c>
      <c r="E1" s="1" t="s">
        <v>6</v>
      </c>
    </row>
    <row r="2" spans="1:5">
      <c r="A2" s="38">
        <v>46029</v>
      </c>
      <c r="B2" s="39">
        <v>16954</v>
      </c>
      <c r="C2" s="40" t="s">
        <v>816</v>
      </c>
      <c r="D2" s="98">
        <v>791.35</v>
      </c>
      <c r="E2" t="s">
        <v>213</v>
      </c>
    </row>
    <row r="3" spans="1:5">
      <c r="A3" s="38">
        <v>46029</v>
      </c>
      <c r="B3" s="39">
        <v>258188</v>
      </c>
      <c r="C3" s="40" t="s">
        <v>817</v>
      </c>
      <c r="D3" s="98">
        <v>1610.87</v>
      </c>
      <c r="E3" t="s">
        <v>213</v>
      </c>
    </row>
    <row r="4" spans="1:5">
      <c r="A4" s="38">
        <v>46029</v>
      </c>
      <c r="B4" s="39">
        <v>84539</v>
      </c>
      <c r="C4" s="40" t="s">
        <v>818</v>
      </c>
      <c r="D4" s="98">
        <v>181.05</v>
      </c>
      <c r="E4" t="s">
        <v>213</v>
      </c>
    </row>
    <row r="5" spans="1:5">
      <c r="A5" s="38">
        <v>46030</v>
      </c>
      <c r="B5" s="39">
        <v>197630</v>
      </c>
      <c r="C5" s="40" t="s">
        <v>819</v>
      </c>
      <c r="D5" s="98">
        <v>93</v>
      </c>
      <c r="E5" t="s">
        <v>213</v>
      </c>
    </row>
    <row r="6" spans="1:5">
      <c r="A6" s="38">
        <v>46030</v>
      </c>
      <c r="B6" s="39">
        <v>23467</v>
      </c>
      <c r="C6" s="40" t="s">
        <v>820</v>
      </c>
      <c r="D6" s="98">
        <v>612.5</v>
      </c>
      <c r="E6" t="s">
        <v>213</v>
      </c>
    </row>
    <row r="7" spans="1:5">
      <c r="A7" s="38">
        <v>46030</v>
      </c>
      <c r="B7" s="39">
        <v>75348</v>
      </c>
      <c r="C7" s="40" t="s">
        <v>821</v>
      </c>
      <c r="D7" s="98">
        <v>1982.2</v>
      </c>
      <c r="E7" t="s">
        <v>213</v>
      </c>
    </row>
    <row r="8" spans="1:5">
      <c r="A8" s="38">
        <v>46030</v>
      </c>
      <c r="B8" s="39">
        <v>84851</v>
      </c>
      <c r="C8" s="40" t="s">
        <v>822</v>
      </c>
      <c r="D8" s="98">
        <v>28</v>
      </c>
      <c r="E8" t="s">
        <v>213</v>
      </c>
    </row>
    <row r="9" spans="1:5">
      <c r="A9" s="38">
        <v>46031</v>
      </c>
      <c r="B9" s="39">
        <v>45349</v>
      </c>
      <c r="C9" s="40" t="s">
        <v>823</v>
      </c>
      <c r="D9" s="98">
        <v>1079.58</v>
      </c>
      <c r="E9" t="s">
        <v>213</v>
      </c>
    </row>
    <row r="10" spans="1:5">
      <c r="A10" s="38">
        <v>46034</v>
      </c>
      <c r="B10" s="39">
        <v>115266</v>
      </c>
      <c r="C10" s="40" t="s">
        <v>824</v>
      </c>
      <c r="D10" s="98">
        <v>272</v>
      </c>
      <c r="E10" t="s">
        <v>213</v>
      </c>
    </row>
    <row r="11" spans="1:5">
      <c r="A11" s="38">
        <v>46034</v>
      </c>
      <c r="B11" s="39">
        <v>258290</v>
      </c>
      <c r="C11" s="40" t="s">
        <v>817</v>
      </c>
      <c r="D11" s="98">
        <v>1319.59</v>
      </c>
      <c r="E11" t="s">
        <v>213</v>
      </c>
    </row>
    <row r="12" spans="1:5">
      <c r="A12" s="38">
        <v>46034</v>
      </c>
      <c r="B12" s="39">
        <v>75375</v>
      </c>
      <c r="C12" s="40" t="s">
        <v>821</v>
      </c>
      <c r="D12" s="98">
        <v>6646.2</v>
      </c>
      <c r="E12" t="s">
        <v>213</v>
      </c>
    </row>
    <row r="13" spans="1:5">
      <c r="A13" s="38">
        <v>46035</v>
      </c>
      <c r="B13" s="39">
        <v>2033</v>
      </c>
      <c r="C13" s="40" t="s">
        <v>825</v>
      </c>
      <c r="D13" s="98">
        <v>365.4</v>
      </c>
      <c r="E13" t="s">
        <v>213</v>
      </c>
    </row>
    <row r="14" spans="1:5">
      <c r="A14" s="38">
        <v>46035</v>
      </c>
      <c r="B14" s="39">
        <v>23489</v>
      </c>
      <c r="C14" s="40" t="s">
        <v>820</v>
      </c>
      <c r="D14" s="98">
        <v>816.8</v>
      </c>
      <c r="E14" t="s">
        <v>213</v>
      </c>
    </row>
    <row r="15" spans="1:5">
      <c r="A15" s="38">
        <v>46035</v>
      </c>
      <c r="B15" s="39">
        <v>258088</v>
      </c>
      <c r="C15" s="40" t="s">
        <v>817</v>
      </c>
      <c r="D15" s="98">
        <v>717.27</v>
      </c>
      <c r="E15" t="s">
        <v>213</v>
      </c>
    </row>
    <row r="16" spans="1:5">
      <c r="A16" s="38">
        <v>46035</v>
      </c>
      <c r="B16" s="39">
        <v>266825</v>
      </c>
      <c r="C16" s="40" t="s">
        <v>826</v>
      </c>
      <c r="D16" s="98">
        <v>35</v>
      </c>
      <c r="E16" t="s">
        <v>213</v>
      </c>
    </row>
    <row r="17" spans="1:5">
      <c r="A17" s="38">
        <v>46035</v>
      </c>
      <c r="B17" s="39">
        <v>31991</v>
      </c>
      <c r="C17" s="40" t="s">
        <v>827</v>
      </c>
      <c r="D17" s="98">
        <v>50</v>
      </c>
      <c r="E17" t="s">
        <v>213</v>
      </c>
    </row>
    <row r="18" spans="1:5">
      <c r="A18" s="38">
        <v>46035</v>
      </c>
      <c r="B18" s="39">
        <v>32061</v>
      </c>
      <c r="C18" s="40" t="s">
        <v>827</v>
      </c>
      <c r="D18" s="98">
        <v>75</v>
      </c>
      <c r="E18" t="s">
        <v>213</v>
      </c>
    </row>
    <row r="19" spans="1:5">
      <c r="A19" s="38">
        <v>46035</v>
      </c>
      <c r="B19" s="39">
        <v>3499</v>
      </c>
      <c r="C19" s="40" t="s">
        <v>828</v>
      </c>
      <c r="D19" s="98">
        <v>490</v>
      </c>
      <c r="E19" t="s">
        <v>213</v>
      </c>
    </row>
    <row r="20" spans="1:5">
      <c r="A20" s="38">
        <v>46035</v>
      </c>
      <c r="B20" s="39">
        <v>36032</v>
      </c>
      <c r="C20" s="40" t="s">
        <v>829</v>
      </c>
      <c r="D20" s="98">
        <v>2301.69</v>
      </c>
      <c r="E20" t="s">
        <v>213</v>
      </c>
    </row>
    <row r="21" spans="1:5">
      <c r="A21" s="38">
        <v>46036</v>
      </c>
      <c r="B21" s="39">
        <v>197872</v>
      </c>
      <c r="C21" s="40" t="s">
        <v>819</v>
      </c>
      <c r="D21" s="98">
        <v>95.55</v>
      </c>
      <c r="E21" t="s">
        <v>213</v>
      </c>
    </row>
    <row r="22" spans="1:5">
      <c r="A22" s="38">
        <v>46036</v>
      </c>
      <c r="B22" s="39">
        <v>197948</v>
      </c>
      <c r="C22" s="40" t="s">
        <v>819</v>
      </c>
      <c r="D22" s="98">
        <v>45.26</v>
      </c>
      <c r="E22" t="s">
        <v>213</v>
      </c>
    </row>
    <row r="23" spans="1:5">
      <c r="A23" s="38">
        <v>46036</v>
      </c>
      <c r="B23" s="39">
        <v>258375</v>
      </c>
      <c r="C23" s="40" t="s">
        <v>817</v>
      </c>
      <c r="D23" s="98">
        <v>367.17</v>
      </c>
      <c r="E23" t="s">
        <v>213</v>
      </c>
    </row>
    <row r="24" spans="1:5">
      <c r="A24" s="38">
        <v>46036</v>
      </c>
      <c r="B24" s="39">
        <v>32115</v>
      </c>
      <c r="C24" s="40" t="s">
        <v>827</v>
      </c>
      <c r="D24" s="98">
        <v>20</v>
      </c>
      <c r="E24" t="s">
        <v>213</v>
      </c>
    </row>
    <row r="25" spans="1:5">
      <c r="A25" s="38">
        <v>46036</v>
      </c>
      <c r="B25" s="39">
        <v>75436</v>
      </c>
      <c r="C25" s="40" t="s">
        <v>821</v>
      </c>
      <c r="D25" s="98">
        <v>2047.42</v>
      </c>
      <c r="E25" t="s">
        <v>213</v>
      </c>
    </row>
    <row r="26" spans="1:5">
      <c r="A26" s="38">
        <v>46036</v>
      </c>
      <c r="B26" s="39">
        <v>84633</v>
      </c>
      <c r="C26" s="40" t="s">
        <v>818</v>
      </c>
      <c r="D26" s="98">
        <v>697.57</v>
      </c>
      <c r="E26" t="s">
        <v>213</v>
      </c>
    </row>
    <row r="27" spans="1:5">
      <c r="A27" s="38">
        <v>46036</v>
      </c>
      <c r="B27" s="39">
        <v>8781</v>
      </c>
      <c r="C27" s="40" t="s">
        <v>830</v>
      </c>
      <c r="D27" s="98">
        <v>250</v>
      </c>
      <c r="E27" t="s">
        <v>213</v>
      </c>
    </row>
    <row r="28" spans="1:5">
      <c r="A28" s="38">
        <v>46037</v>
      </c>
      <c r="B28" s="39">
        <v>119910</v>
      </c>
      <c r="C28" s="40" t="s">
        <v>831</v>
      </c>
      <c r="D28" s="98">
        <v>1738.19</v>
      </c>
      <c r="E28" t="s">
        <v>213</v>
      </c>
    </row>
    <row r="29" spans="1:5">
      <c r="A29" s="38">
        <v>46037</v>
      </c>
      <c r="B29" s="39">
        <v>198171</v>
      </c>
      <c r="C29" s="40" t="s">
        <v>819</v>
      </c>
      <c r="D29" s="98">
        <v>1214.0999999999999</v>
      </c>
      <c r="E29" t="s">
        <v>213</v>
      </c>
    </row>
    <row r="30" spans="1:5">
      <c r="A30" s="38">
        <v>46037</v>
      </c>
      <c r="B30" s="39">
        <v>32174</v>
      </c>
      <c r="C30" s="40" t="s">
        <v>827</v>
      </c>
      <c r="D30" s="98">
        <v>425</v>
      </c>
      <c r="E30" t="s">
        <v>213</v>
      </c>
    </row>
    <row r="31" spans="1:5">
      <c r="A31" s="38">
        <v>46037</v>
      </c>
      <c r="B31" s="39">
        <v>3839</v>
      </c>
      <c r="C31" s="40" t="s">
        <v>832</v>
      </c>
      <c r="D31" s="98">
        <v>7650</v>
      </c>
      <c r="E31" t="s">
        <v>213</v>
      </c>
    </row>
    <row r="32" spans="1:5">
      <c r="A32" s="38">
        <v>46038</v>
      </c>
      <c r="B32" s="39">
        <v>115342</v>
      </c>
      <c r="C32" s="40" t="s">
        <v>824</v>
      </c>
      <c r="D32" s="98">
        <v>466.5</v>
      </c>
      <c r="E32" t="s">
        <v>213</v>
      </c>
    </row>
    <row r="33" spans="1:5">
      <c r="A33" s="38">
        <v>46038</v>
      </c>
      <c r="B33" s="39">
        <v>1503</v>
      </c>
      <c r="C33" s="40" t="s">
        <v>833</v>
      </c>
      <c r="D33" s="98">
        <v>9773.7999999999993</v>
      </c>
      <c r="E33" t="s">
        <v>213</v>
      </c>
    </row>
    <row r="34" spans="1:5">
      <c r="A34" s="38">
        <v>46038</v>
      </c>
      <c r="B34" s="39">
        <v>16760</v>
      </c>
      <c r="C34" s="40" t="s">
        <v>834</v>
      </c>
      <c r="D34" s="98">
        <v>182.32</v>
      </c>
      <c r="E34" t="s">
        <v>213</v>
      </c>
    </row>
    <row r="35" spans="1:5">
      <c r="A35" s="38">
        <v>46038</v>
      </c>
      <c r="B35" s="39">
        <v>2526</v>
      </c>
      <c r="C35" s="40" t="s">
        <v>825</v>
      </c>
      <c r="D35" s="98">
        <v>315</v>
      </c>
      <c r="E35" t="s">
        <v>213</v>
      </c>
    </row>
    <row r="36" spans="1:5">
      <c r="A36" s="38">
        <v>46038</v>
      </c>
      <c r="B36" s="39">
        <v>258451</v>
      </c>
      <c r="C36" s="40" t="s">
        <v>817</v>
      </c>
      <c r="D36" s="98">
        <v>368.82</v>
      </c>
      <c r="E36" t="s">
        <v>213</v>
      </c>
    </row>
    <row r="37" spans="1:5">
      <c r="A37" s="38">
        <v>46038</v>
      </c>
      <c r="B37" s="39">
        <v>34435</v>
      </c>
      <c r="C37" s="40" t="s">
        <v>835</v>
      </c>
      <c r="D37" s="98">
        <v>1044</v>
      </c>
      <c r="E37" t="s">
        <v>213</v>
      </c>
    </row>
    <row r="38" spans="1:5">
      <c r="A38" s="38">
        <v>46038</v>
      </c>
      <c r="B38" s="39">
        <v>67413</v>
      </c>
      <c r="C38" s="40" t="s">
        <v>836</v>
      </c>
      <c r="D38" s="98">
        <v>91.58</v>
      </c>
      <c r="E38" t="s">
        <v>213</v>
      </c>
    </row>
    <row r="39" spans="1:5">
      <c r="A39" s="38">
        <v>46041</v>
      </c>
      <c r="B39" s="39">
        <v>115387</v>
      </c>
      <c r="C39" s="40" t="s">
        <v>824</v>
      </c>
      <c r="D39" s="98">
        <v>900</v>
      </c>
      <c r="E39" t="s">
        <v>213</v>
      </c>
    </row>
    <row r="40" spans="1:5">
      <c r="A40" s="38">
        <v>46042</v>
      </c>
      <c r="B40" s="39">
        <v>1</v>
      </c>
      <c r="C40" s="40" t="s">
        <v>837</v>
      </c>
      <c r="D40" s="98">
        <v>1950</v>
      </c>
      <c r="E40" t="s">
        <v>213</v>
      </c>
    </row>
    <row r="41" spans="1:5">
      <c r="A41" s="38">
        <v>46044</v>
      </c>
      <c r="B41" s="39">
        <v>16790</v>
      </c>
      <c r="C41" s="40" t="s">
        <v>834</v>
      </c>
      <c r="D41" s="98">
        <v>558.62</v>
      </c>
      <c r="E41" t="s">
        <v>213</v>
      </c>
    </row>
    <row r="42" spans="1:5">
      <c r="A42" s="38">
        <v>46044</v>
      </c>
      <c r="B42" s="39">
        <v>267008</v>
      </c>
      <c r="C42" s="40" t="s">
        <v>826</v>
      </c>
      <c r="D42" s="98">
        <v>303.75</v>
      </c>
      <c r="E42" t="s">
        <v>213</v>
      </c>
    </row>
    <row r="43" spans="1:5">
      <c r="A43" s="38">
        <v>46044</v>
      </c>
      <c r="B43" s="39">
        <v>3174</v>
      </c>
      <c r="C43" s="40" t="s">
        <v>838</v>
      </c>
      <c r="D43" s="98">
        <v>61</v>
      </c>
      <c r="E43" t="s">
        <v>213</v>
      </c>
    </row>
    <row r="44" spans="1:5">
      <c r="A44" s="38">
        <v>46044</v>
      </c>
      <c r="B44" s="39">
        <v>32204</v>
      </c>
      <c r="C44" s="40" t="s">
        <v>827</v>
      </c>
      <c r="D44" s="98">
        <v>230</v>
      </c>
      <c r="E44" t="s">
        <v>213</v>
      </c>
    </row>
    <row r="45" spans="1:5">
      <c r="A45" s="38">
        <v>46044</v>
      </c>
      <c r="B45" s="39">
        <v>75478</v>
      </c>
      <c r="C45" s="40" t="s">
        <v>821</v>
      </c>
      <c r="D45" s="98">
        <v>574.75</v>
      </c>
      <c r="E45" t="s">
        <v>213</v>
      </c>
    </row>
    <row r="46" spans="1:5">
      <c r="A46" s="38">
        <v>46045</v>
      </c>
      <c r="B46" s="39">
        <v>120125</v>
      </c>
      <c r="C46" s="40" t="s">
        <v>831</v>
      </c>
      <c r="D46" s="98">
        <v>1336.67</v>
      </c>
      <c r="E46" t="s">
        <v>213</v>
      </c>
    </row>
    <row r="47" spans="1:5">
      <c r="A47" s="38">
        <v>46045</v>
      </c>
      <c r="B47" s="39">
        <v>148103</v>
      </c>
      <c r="C47" s="40" t="s">
        <v>839</v>
      </c>
      <c r="D47" s="98">
        <v>1438.41</v>
      </c>
      <c r="E47" t="s">
        <v>213</v>
      </c>
    </row>
    <row r="48" spans="1:5">
      <c r="A48" s="38">
        <v>46045</v>
      </c>
      <c r="B48" s="39">
        <v>16875</v>
      </c>
      <c r="C48" s="40" t="s">
        <v>834</v>
      </c>
      <c r="D48" s="98">
        <v>371</v>
      </c>
      <c r="E48" t="s">
        <v>213</v>
      </c>
    </row>
    <row r="49" spans="1:5">
      <c r="A49" s="38">
        <v>46045</v>
      </c>
      <c r="B49" s="39">
        <v>198570</v>
      </c>
      <c r="C49" s="40" t="s">
        <v>819</v>
      </c>
      <c r="D49" s="98">
        <v>271.58</v>
      </c>
      <c r="E49" t="s">
        <v>213</v>
      </c>
    </row>
    <row r="50" spans="1:5">
      <c r="A50" s="38">
        <v>46045</v>
      </c>
      <c r="B50" s="39">
        <v>2541</v>
      </c>
      <c r="C50" s="40" t="s">
        <v>825</v>
      </c>
      <c r="D50" s="98">
        <v>333</v>
      </c>
      <c r="E50" t="s">
        <v>213</v>
      </c>
    </row>
    <row r="51" spans="1:5">
      <c r="A51" s="38">
        <v>46045</v>
      </c>
      <c r="B51" s="39">
        <v>258676</v>
      </c>
      <c r="C51" s="40" t="s">
        <v>817</v>
      </c>
      <c r="D51" s="98">
        <v>3967.59</v>
      </c>
      <c r="E51" t="s">
        <v>213</v>
      </c>
    </row>
    <row r="52" spans="1:5">
      <c r="A52" s="38">
        <v>46045</v>
      </c>
      <c r="B52" s="39">
        <v>258833</v>
      </c>
      <c r="C52" s="40" t="s">
        <v>817</v>
      </c>
      <c r="D52" s="98">
        <v>2528.6999999999998</v>
      </c>
      <c r="E52" t="s">
        <v>213</v>
      </c>
    </row>
    <row r="53" spans="1:5">
      <c r="A53" s="38">
        <v>46045</v>
      </c>
      <c r="B53" s="39">
        <v>32235</v>
      </c>
      <c r="C53" s="40" t="s">
        <v>827</v>
      </c>
      <c r="D53" s="98">
        <v>150</v>
      </c>
      <c r="E53" t="s">
        <v>213</v>
      </c>
    </row>
    <row r="54" spans="1:5">
      <c r="A54" s="38">
        <v>46045</v>
      </c>
      <c r="B54" s="39">
        <v>3293</v>
      </c>
      <c r="C54" s="40" t="s">
        <v>840</v>
      </c>
      <c r="D54" s="98">
        <v>257</v>
      </c>
      <c r="E54" t="s">
        <v>213</v>
      </c>
    </row>
    <row r="55" spans="1:5">
      <c r="A55" s="38">
        <v>46045</v>
      </c>
      <c r="B55" s="39">
        <v>67473</v>
      </c>
      <c r="C55" s="40" t="s">
        <v>836</v>
      </c>
      <c r="D55" s="98">
        <v>457.8</v>
      </c>
      <c r="E55" t="s">
        <v>213</v>
      </c>
    </row>
    <row r="56" spans="1:5">
      <c r="A56" s="38">
        <v>46045</v>
      </c>
      <c r="B56" s="39">
        <v>67481</v>
      </c>
      <c r="C56" s="40" t="s">
        <v>836</v>
      </c>
      <c r="D56" s="98">
        <v>190.8</v>
      </c>
      <c r="E56" t="s">
        <v>213</v>
      </c>
    </row>
    <row r="57" spans="1:5">
      <c r="A57" s="38">
        <v>46045</v>
      </c>
      <c r="B57" s="39">
        <v>75523</v>
      </c>
      <c r="C57" s="40" t="s">
        <v>821</v>
      </c>
      <c r="D57" s="98">
        <v>737</v>
      </c>
      <c r="E57" t="s">
        <v>213</v>
      </c>
    </row>
    <row r="58" spans="1:5">
      <c r="A58" s="38">
        <v>46045</v>
      </c>
      <c r="B58" s="39">
        <v>7644</v>
      </c>
      <c r="C58" s="40" t="s">
        <v>841</v>
      </c>
      <c r="D58" s="98">
        <v>550</v>
      </c>
      <c r="E58" t="s">
        <v>213</v>
      </c>
    </row>
    <row r="59" spans="1:5">
      <c r="A59" s="38">
        <v>46045</v>
      </c>
      <c r="B59" s="39">
        <v>84761</v>
      </c>
      <c r="C59" s="40" t="s">
        <v>818</v>
      </c>
      <c r="D59" s="98">
        <v>378.29</v>
      </c>
      <c r="E59" t="s">
        <v>213</v>
      </c>
    </row>
    <row r="60" spans="1:5">
      <c r="A60" s="38">
        <v>46045</v>
      </c>
      <c r="B60" s="39">
        <v>85548</v>
      </c>
      <c r="C60" s="40" t="s">
        <v>822</v>
      </c>
      <c r="D60" s="98">
        <v>466.21</v>
      </c>
      <c r="E60" t="s">
        <v>213</v>
      </c>
    </row>
    <row r="61" spans="1:5">
      <c r="A61" s="38">
        <v>46048</v>
      </c>
      <c r="B61" s="39">
        <v>144</v>
      </c>
      <c r="C61" s="40" t="s">
        <v>842</v>
      </c>
      <c r="D61" s="98">
        <v>1176</v>
      </c>
      <c r="E61" t="s">
        <v>213</v>
      </c>
    </row>
    <row r="62" spans="1:5">
      <c r="A62" s="38">
        <v>46048</v>
      </c>
      <c r="B62" s="39">
        <v>148165</v>
      </c>
      <c r="C62" s="40" t="s">
        <v>839</v>
      </c>
      <c r="D62" s="98">
        <v>282.85000000000002</v>
      </c>
      <c r="E62" t="s">
        <v>213</v>
      </c>
    </row>
    <row r="63" spans="1:5">
      <c r="A63" s="38">
        <v>46048</v>
      </c>
      <c r="B63" s="39">
        <v>198820</v>
      </c>
      <c r="C63" s="40" t="s">
        <v>819</v>
      </c>
      <c r="D63" s="98">
        <v>32.01</v>
      </c>
      <c r="E63" t="s">
        <v>213</v>
      </c>
    </row>
    <row r="64" spans="1:5">
      <c r="A64" s="38">
        <v>46048</v>
      </c>
      <c r="B64" s="39">
        <v>4056</v>
      </c>
      <c r="C64" s="40" t="s">
        <v>843</v>
      </c>
      <c r="D64" s="98">
        <v>278</v>
      </c>
      <c r="E64" t="s">
        <v>213</v>
      </c>
    </row>
    <row r="65" spans="1:5">
      <c r="A65" s="38">
        <v>46048</v>
      </c>
      <c r="B65" s="39">
        <v>45446</v>
      </c>
      <c r="C65" s="40" t="s">
        <v>823</v>
      </c>
      <c r="D65" s="98">
        <v>4224.67</v>
      </c>
      <c r="E65" t="s">
        <v>213</v>
      </c>
    </row>
    <row r="66" spans="1:5">
      <c r="A66" s="38">
        <v>46048</v>
      </c>
      <c r="B66" s="39">
        <v>5522</v>
      </c>
      <c r="C66" s="40" t="s">
        <v>844</v>
      </c>
      <c r="D66" s="98">
        <v>445</v>
      </c>
      <c r="E66" t="s">
        <v>213</v>
      </c>
    </row>
    <row r="67" spans="1:5">
      <c r="A67" s="38">
        <v>46048</v>
      </c>
      <c r="B67" s="39">
        <v>84829</v>
      </c>
      <c r="C67" s="40" t="s">
        <v>818</v>
      </c>
      <c r="D67" s="98">
        <v>546.57000000000005</v>
      </c>
      <c r="E67" t="s">
        <v>213</v>
      </c>
    </row>
    <row r="68" spans="1:5">
      <c r="A68" s="38">
        <v>46050</v>
      </c>
      <c r="B68" s="39">
        <v>1352</v>
      </c>
      <c r="C68" s="40" t="s">
        <v>845</v>
      </c>
      <c r="D68" s="98">
        <v>464.29</v>
      </c>
      <c r="E68" t="s">
        <v>213</v>
      </c>
    </row>
    <row r="69" spans="1:5">
      <c r="A69" s="38">
        <v>46050</v>
      </c>
      <c r="B69" s="39">
        <v>198939</v>
      </c>
      <c r="C69" s="40" t="s">
        <v>819</v>
      </c>
      <c r="D69" s="98">
        <v>150</v>
      </c>
      <c r="E69" t="s">
        <v>213</v>
      </c>
    </row>
    <row r="70" spans="1:5">
      <c r="A70" s="38">
        <v>46050</v>
      </c>
      <c r="B70" s="39">
        <v>2982</v>
      </c>
      <c r="C70" s="40" t="s">
        <v>846</v>
      </c>
      <c r="D70" s="98">
        <v>385</v>
      </c>
      <c r="E70" t="s">
        <v>213</v>
      </c>
    </row>
    <row r="71" spans="1:5">
      <c r="A71" s="38">
        <v>46050</v>
      </c>
      <c r="B71" s="39">
        <v>32332</v>
      </c>
      <c r="C71" s="40" t="s">
        <v>827</v>
      </c>
      <c r="D71" s="98">
        <v>115</v>
      </c>
      <c r="E71" t="s">
        <v>213</v>
      </c>
    </row>
    <row r="72" spans="1:5">
      <c r="A72" s="38">
        <v>46050</v>
      </c>
      <c r="B72" s="39">
        <v>5578</v>
      </c>
      <c r="C72" s="40" t="s">
        <v>844</v>
      </c>
      <c r="D72" s="98">
        <v>139</v>
      </c>
      <c r="E72" t="s">
        <v>213</v>
      </c>
    </row>
    <row r="73" spans="1:5">
      <c r="A73" s="38">
        <v>46050</v>
      </c>
      <c r="B73" s="39">
        <v>75603</v>
      </c>
      <c r="C73" s="40" t="s">
        <v>821</v>
      </c>
      <c r="D73" s="98">
        <v>470</v>
      </c>
      <c r="E73" t="s">
        <v>213</v>
      </c>
    </row>
    <row r="74" spans="1:5">
      <c r="A74" s="38">
        <v>46051</v>
      </c>
      <c r="B74" s="39">
        <v>115553</v>
      </c>
      <c r="C74" s="40" t="s">
        <v>824</v>
      </c>
      <c r="D74" s="98">
        <v>907</v>
      </c>
      <c r="E74" t="s">
        <v>213</v>
      </c>
    </row>
    <row r="75" spans="1:5">
      <c r="A75" s="38">
        <v>46051</v>
      </c>
      <c r="B75" s="39">
        <v>115575</v>
      </c>
      <c r="C75" s="40" t="s">
        <v>824</v>
      </c>
      <c r="D75" s="98">
        <v>611.5</v>
      </c>
      <c r="E75" t="s">
        <v>213</v>
      </c>
    </row>
    <row r="76" spans="1:5">
      <c r="A76" s="38">
        <v>46051</v>
      </c>
      <c r="B76" s="39">
        <v>2570</v>
      </c>
      <c r="C76" s="40" t="s">
        <v>825</v>
      </c>
      <c r="D76" s="98">
        <v>414</v>
      </c>
      <c r="E76" t="s">
        <v>213</v>
      </c>
    </row>
    <row r="77" spans="1:5">
      <c r="A77" s="38">
        <v>46051</v>
      </c>
      <c r="B77" s="39">
        <v>32347</v>
      </c>
      <c r="C77" s="40" t="s">
        <v>827</v>
      </c>
      <c r="D77" s="98">
        <v>240</v>
      </c>
      <c r="E77" t="s">
        <v>213</v>
      </c>
    </row>
    <row r="78" spans="1:5">
      <c r="A78" s="38">
        <v>46051</v>
      </c>
      <c r="B78" s="39">
        <v>67594</v>
      </c>
      <c r="C78" s="40" t="s">
        <v>836</v>
      </c>
      <c r="D78" s="98">
        <v>53</v>
      </c>
      <c r="E78" t="s">
        <v>213</v>
      </c>
    </row>
    <row r="79" spans="1:5">
      <c r="A79" s="38">
        <v>46051</v>
      </c>
      <c r="B79" s="39">
        <v>8823</v>
      </c>
      <c r="C79" s="40" t="s">
        <v>830</v>
      </c>
      <c r="D79" s="98">
        <v>1200</v>
      </c>
      <c r="E79" t="s">
        <v>213</v>
      </c>
    </row>
    <row r="80" spans="1:5">
      <c r="A80" s="38">
        <v>46052</v>
      </c>
      <c r="B80" s="39">
        <v>115617</v>
      </c>
      <c r="C80" s="40" t="s">
        <v>824</v>
      </c>
      <c r="D80" s="98">
        <v>633.75</v>
      </c>
      <c r="E80" t="s">
        <v>213</v>
      </c>
    </row>
    <row r="81" spans="1:5">
      <c r="A81" s="38">
        <v>46052</v>
      </c>
      <c r="B81" s="39">
        <v>13735</v>
      </c>
      <c r="C81" s="40" t="s">
        <v>847</v>
      </c>
      <c r="D81" s="98">
        <v>410.87</v>
      </c>
      <c r="E81" t="s">
        <v>213</v>
      </c>
    </row>
    <row r="82" spans="1:5">
      <c r="A82" s="38">
        <v>46052</v>
      </c>
      <c r="B82" s="39">
        <v>199222</v>
      </c>
      <c r="C82" s="40" t="s">
        <v>819</v>
      </c>
      <c r="D82" s="98">
        <v>660.8</v>
      </c>
      <c r="E82" t="s">
        <v>213</v>
      </c>
    </row>
    <row r="83" spans="1:5">
      <c r="A83" s="38">
        <v>46052</v>
      </c>
      <c r="B83" s="39">
        <v>2576</v>
      </c>
      <c r="C83" s="40" t="s">
        <v>825</v>
      </c>
      <c r="D83" s="98">
        <v>432.9</v>
      </c>
      <c r="E83" t="s">
        <v>213</v>
      </c>
    </row>
    <row r="84" spans="1:5">
      <c r="A84" s="38">
        <v>46052</v>
      </c>
      <c r="B84" s="39">
        <v>258998</v>
      </c>
      <c r="C84" s="40" t="s">
        <v>817</v>
      </c>
      <c r="D84" s="98">
        <v>972.5</v>
      </c>
      <c r="E84" t="s">
        <v>213</v>
      </c>
    </row>
    <row r="85" spans="1:5">
      <c r="A85" s="38">
        <v>46052</v>
      </c>
      <c r="B85" s="39">
        <v>32373</v>
      </c>
      <c r="C85" s="40" t="s">
        <v>827</v>
      </c>
      <c r="D85" s="98">
        <v>120</v>
      </c>
      <c r="E85" t="s">
        <v>213</v>
      </c>
    </row>
    <row r="86" spans="1:5">
      <c r="A86" s="38">
        <v>46052</v>
      </c>
      <c r="B86" s="39">
        <v>3351</v>
      </c>
      <c r="C86" s="40" t="s">
        <v>840</v>
      </c>
      <c r="D86" s="98">
        <v>35</v>
      </c>
      <c r="E86" t="s">
        <v>213</v>
      </c>
    </row>
    <row r="87" spans="1:5">
      <c r="A87" s="38">
        <v>46052</v>
      </c>
      <c r="B87" s="39">
        <v>34563</v>
      </c>
      <c r="C87" s="40" t="s">
        <v>835</v>
      </c>
      <c r="D87" s="98">
        <v>348</v>
      </c>
      <c r="E87" t="s">
        <v>213</v>
      </c>
    </row>
    <row r="88" spans="1:5">
      <c r="A88" s="38">
        <v>46052</v>
      </c>
      <c r="B88" s="39">
        <v>72122</v>
      </c>
      <c r="C88" s="40" t="s">
        <v>848</v>
      </c>
      <c r="D88" s="98">
        <v>402.68</v>
      </c>
      <c r="E88" t="s">
        <v>213</v>
      </c>
    </row>
    <row r="89" spans="1:5">
      <c r="A89" s="38">
        <v>46052</v>
      </c>
      <c r="B89" s="39">
        <v>75625</v>
      </c>
      <c r="C89" s="40" t="s">
        <v>821</v>
      </c>
      <c r="D89" s="98">
        <v>2069</v>
      </c>
      <c r="E89" t="s">
        <v>213</v>
      </c>
    </row>
    <row r="90" spans="1:5">
      <c r="A90" s="94">
        <v>46056</v>
      </c>
      <c r="B90" s="95">
        <v>17226</v>
      </c>
      <c r="C90" s="96" t="s">
        <v>834</v>
      </c>
      <c r="D90" s="99">
        <v>420</v>
      </c>
      <c r="E90" s="103" t="s">
        <v>55</v>
      </c>
    </row>
    <row r="91" spans="1:5">
      <c r="A91" s="94">
        <v>46056</v>
      </c>
      <c r="B91" s="95">
        <v>199519</v>
      </c>
      <c r="C91" s="96" t="s">
        <v>819</v>
      </c>
      <c r="D91" s="99">
        <v>21.3</v>
      </c>
      <c r="E91" s="103" t="s">
        <v>55</v>
      </c>
    </row>
    <row r="92" spans="1:5">
      <c r="A92" s="94">
        <v>46057</v>
      </c>
      <c r="B92" s="95">
        <v>199619</v>
      </c>
      <c r="C92" s="96" t="s">
        <v>819</v>
      </c>
      <c r="D92" s="99">
        <v>40.29</v>
      </c>
      <c r="E92" s="103" t="s">
        <v>55</v>
      </c>
    </row>
    <row r="93" spans="1:5">
      <c r="A93" s="94">
        <v>46057</v>
      </c>
      <c r="B93" s="95">
        <v>259338</v>
      </c>
      <c r="C93" s="96" t="s">
        <v>817</v>
      </c>
      <c r="D93" s="99">
        <v>375.23</v>
      </c>
      <c r="E93" s="103" t="s">
        <v>55</v>
      </c>
    </row>
    <row r="94" spans="1:5">
      <c r="A94" s="94">
        <v>46058</v>
      </c>
      <c r="B94" s="95">
        <v>115641</v>
      </c>
      <c r="C94" s="96" t="s">
        <v>824</v>
      </c>
      <c r="D94" s="99">
        <v>4100</v>
      </c>
      <c r="E94" s="103" t="s">
        <v>55</v>
      </c>
    </row>
    <row r="95" spans="1:5">
      <c r="A95" s="94">
        <v>46058</v>
      </c>
      <c r="B95" s="95">
        <v>2605</v>
      </c>
      <c r="C95" s="96" t="s">
        <v>825</v>
      </c>
      <c r="D95" s="99">
        <v>398.88</v>
      </c>
      <c r="E95" s="103" t="s">
        <v>55</v>
      </c>
    </row>
    <row r="96" spans="1:5">
      <c r="A96" s="94">
        <v>46058</v>
      </c>
      <c r="B96" s="95">
        <v>5798</v>
      </c>
      <c r="C96" s="96" t="s">
        <v>849</v>
      </c>
      <c r="D96" s="99">
        <v>261.17</v>
      </c>
      <c r="E96" s="103" t="s">
        <v>55</v>
      </c>
    </row>
    <row r="97" spans="1:5">
      <c r="A97" s="94">
        <v>46058</v>
      </c>
      <c r="B97" s="95">
        <v>67719</v>
      </c>
      <c r="C97" s="96" t="s">
        <v>836</v>
      </c>
      <c r="D97" s="99">
        <v>842.7</v>
      </c>
      <c r="E97" s="103" t="s">
        <v>55</v>
      </c>
    </row>
    <row r="98" spans="1:5">
      <c r="A98" s="94">
        <v>46059</v>
      </c>
      <c r="B98" s="95">
        <v>115737</v>
      </c>
      <c r="C98" s="96" t="s">
        <v>824</v>
      </c>
      <c r="D98" s="99">
        <v>598.6</v>
      </c>
      <c r="E98" s="103" t="s">
        <v>55</v>
      </c>
    </row>
    <row r="99" spans="1:5">
      <c r="A99" s="94">
        <v>46059</v>
      </c>
      <c r="B99" s="95">
        <v>23498</v>
      </c>
      <c r="C99" s="96" t="s">
        <v>850</v>
      </c>
      <c r="D99" s="99">
        <v>1548.75</v>
      </c>
      <c r="E99" s="103" t="s">
        <v>55</v>
      </c>
    </row>
    <row r="100" spans="1:5">
      <c r="A100" s="94">
        <v>46059</v>
      </c>
      <c r="B100" s="95">
        <v>3953</v>
      </c>
      <c r="C100" s="96" t="s">
        <v>832</v>
      </c>
      <c r="D100" s="99">
        <v>6900</v>
      </c>
      <c r="E100" s="103" t="s">
        <v>55</v>
      </c>
    </row>
    <row r="101" spans="1:5">
      <c r="A101" s="94">
        <v>46059</v>
      </c>
      <c r="B101" s="95">
        <v>7935</v>
      </c>
      <c r="C101" s="96" t="s">
        <v>851</v>
      </c>
      <c r="D101" s="99">
        <v>250</v>
      </c>
      <c r="E101" s="103" t="s">
        <v>55</v>
      </c>
    </row>
    <row r="102" spans="1:5">
      <c r="A102" s="94">
        <v>46063</v>
      </c>
      <c r="B102" s="95">
        <v>23713</v>
      </c>
      <c r="C102" s="96" t="s">
        <v>820</v>
      </c>
      <c r="D102" s="99">
        <v>390.3</v>
      </c>
      <c r="E102" s="103" t="s">
        <v>55</v>
      </c>
    </row>
    <row r="103" spans="1:5">
      <c r="A103" s="94">
        <v>46064</v>
      </c>
      <c r="B103" s="95">
        <v>115773</v>
      </c>
      <c r="C103" s="96" t="s">
        <v>824</v>
      </c>
      <c r="D103" s="99">
        <v>450</v>
      </c>
      <c r="E103" s="103" t="s">
        <v>55</v>
      </c>
    </row>
    <row r="104" spans="1:5">
      <c r="A104" s="94">
        <v>46064</v>
      </c>
      <c r="B104" s="95">
        <v>130225</v>
      </c>
      <c r="C104" s="96" t="s">
        <v>852</v>
      </c>
      <c r="D104" s="99">
        <v>82.6</v>
      </c>
      <c r="E104" s="103" t="s">
        <v>55</v>
      </c>
    </row>
    <row r="105" spans="1:5">
      <c r="A105" s="94">
        <v>46064</v>
      </c>
      <c r="B105" s="95">
        <v>148445</v>
      </c>
      <c r="C105" s="96" t="s">
        <v>839</v>
      </c>
      <c r="D105" s="99">
        <v>1914.51</v>
      </c>
      <c r="E105" s="103" t="s">
        <v>55</v>
      </c>
    </row>
    <row r="106" spans="1:5">
      <c r="A106" s="94">
        <v>46064</v>
      </c>
      <c r="B106" s="95">
        <v>1559</v>
      </c>
      <c r="C106" s="96" t="s">
        <v>833</v>
      </c>
      <c r="D106" s="99">
        <v>13785.4</v>
      </c>
      <c r="E106" s="103" t="s">
        <v>55</v>
      </c>
    </row>
    <row r="107" spans="1:5">
      <c r="A107" s="94">
        <v>46064</v>
      </c>
      <c r="B107" s="95">
        <v>259563</v>
      </c>
      <c r="C107" s="96" t="s">
        <v>817</v>
      </c>
      <c r="D107" s="99">
        <v>1593.64</v>
      </c>
      <c r="E107" s="103" t="s">
        <v>55</v>
      </c>
    </row>
    <row r="108" spans="1:5">
      <c r="A108" s="94">
        <v>46065</v>
      </c>
      <c r="B108" s="95">
        <v>115787</v>
      </c>
      <c r="C108" s="96" t="s">
        <v>824</v>
      </c>
      <c r="D108" s="99">
        <v>425</v>
      </c>
      <c r="E108" s="103" t="s">
        <v>55</v>
      </c>
    </row>
    <row r="109" spans="1:5">
      <c r="A109" s="94">
        <v>46065</v>
      </c>
      <c r="B109" s="95">
        <v>199977</v>
      </c>
      <c r="C109" s="96" t="s">
        <v>819</v>
      </c>
      <c r="D109" s="99">
        <v>1015</v>
      </c>
      <c r="E109" s="103" t="s">
        <v>55</v>
      </c>
    </row>
    <row r="110" spans="1:5">
      <c r="A110" s="94">
        <v>46065</v>
      </c>
      <c r="B110" s="95">
        <v>2327</v>
      </c>
      <c r="C110" s="96" t="s">
        <v>853</v>
      </c>
      <c r="D110" s="99">
        <v>812.5</v>
      </c>
      <c r="E110" s="103" t="s">
        <v>55</v>
      </c>
    </row>
    <row r="111" spans="1:5">
      <c r="A111" s="94">
        <v>46065</v>
      </c>
      <c r="B111" s="95">
        <v>23524</v>
      </c>
      <c r="C111" s="96" t="s">
        <v>850</v>
      </c>
      <c r="D111" s="99">
        <v>749.09</v>
      </c>
      <c r="E111" s="103" t="s">
        <v>55</v>
      </c>
    </row>
    <row r="112" spans="1:5">
      <c r="A112" s="94">
        <v>46065</v>
      </c>
      <c r="B112" s="95">
        <v>259678</v>
      </c>
      <c r="C112" s="96" t="s">
        <v>817</v>
      </c>
      <c r="D112" s="99">
        <v>1730.93</v>
      </c>
      <c r="E112" s="103" t="s">
        <v>55</v>
      </c>
    </row>
    <row r="113" spans="1:5">
      <c r="A113" s="94">
        <v>46065</v>
      </c>
      <c r="B113" s="95">
        <v>2619</v>
      </c>
      <c r="C113" s="96" t="s">
        <v>825</v>
      </c>
      <c r="D113" s="99">
        <v>342</v>
      </c>
      <c r="E113" s="103" t="s">
        <v>55</v>
      </c>
    </row>
    <row r="114" spans="1:5">
      <c r="A114" s="94">
        <v>46065</v>
      </c>
      <c r="B114" s="95">
        <v>2889</v>
      </c>
      <c r="C114" s="96" t="s">
        <v>854</v>
      </c>
      <c r="D114" s="99">
        <v>360</v>
      </c>
      <c r="E114" s="103" t="s">
        <v>55</v>
      </c>
    </row>
    <row r="115" spans="1:5">
      <c r="A115" s="94">
        <v>46065</v>
      </c>
      <c r="B115" s="95">
        <v>33678</v>
      </c>
      <c r="C115" s="96" t="s">
        <v>855</v>
      </c>
      <c r="D115" s="99">
        <v>521.04999999999995</v>
      </c>
      <c r="E115" s="103" t="s">
        <v>55</v>
      </c>
    </row>
    <row r="116" spans="1:5">
      <c r="A116" s="94">
        <v>46065</v>
      </c>
      <c r="B116" s="95">
        <v>347</v>
      </c>
      <c r="C116" s="96" t="s">
        <v>856</v>
      </c>
      <c r="D116" s="99">
        <v>1966.56</v>
      </c>
      <c r="E116" s="103" t="s">
        <v>55</v>
      </c>
    </row>
    <row r="117" spans="1:5">
      <c r="A117" s="94">
        <v>46065</v>
      </c>
      <c r="B117" s="95">
        <v>67804</v>
      </c>
      <c r="C117" s="96" t="s">
        <v>836</v>
      </c>
      <c r="D117" s="99">
        <v>74.2</v>
      </c>
      <c r="E117" s="103" t="s">
        <v>55</v>
      </c>
    </row>
    <row r="118" spans="1:5">
      <c r="A118" s="94">
        <v>46065</v>
      </c>
      <c r="B118" s="95">
        <v>67805</v>
      </c>
      <c r="C118" s="96" t="s">
        <v>836</v>
      </c>
      <c r="D118" s="99">
        <v>201.4</v>
      </c>
      <c r="E118" s="103" t="s">
        <v>55</v>
      </c>
    </row>
    <row r="119" spans="1:5">
      <c r="A119" s="94">
        <v>46065</v>
      </c>
      <c r="B119" s="95">
        <v>85082</v>
      </c>
      <c r="C119" s="96" t="s">
        <v>818</v>
      </c>
      <c r="D119" s="99">
        <v>739.08</v>
      </c>
      <c r="E119" s="103" t="s">
        <v>55</v>
      </c>
    </row>
    <row r="120" spans="1:5">
      <c r="A120" s="94">
        <v>46065</v>
      </c>
      <c r="B120" s="95">
        <v>8847</v>
      </c>
      <c r="C120" s="96" t="s">
        <v>830</v>
      </c>
      <c r="D120" s="99">
        <v>250</v>
      </c>
      <c r="E120" s="103" t="s">
        <v>55</v>
      </c>
    </row>
    <row r="121" spans="1:5">
      <c r="A121" s="94">
        <v>46071</v>
      </c>
      <c r="B121" s="95">
        <v>115844</v>
      </c>
      <c r="C121" s="96" t="s">
        <v>824</v>
      </c>
      <c r="D121" s="99">
        <v>66</v>
      </c>
      <c r="E121" s="103" t="s">
        <v>55</v>
      </c>
    </row>
    <row r="122" spans="1:5">
      <c r="A122" s="94">
        <v>46071</v>
      </c>
      <c r="B122" s="95">
        <v>148524</v>
      </c>
      <c r="C122" s="96" t="s">
        <v>839</v>
      </c>
      <c r="D122" s="99">
        <v>333.62</v>
      </c>
      <c r="E122" s="103" t="s">
        <v>55</v>
      </c>
    </row>
    <row r="123" spans="1:5">
      <c r="A123" s="94">
        <v>46071</v>
      </c>
      <c r="B123" s="95">
        <v>17485</v>
      </c>
      <c r="C123" s="96" t="s">
        <v>834</v>
      </c>
      <c r="D123" s="99">
        <v>365.7</v>
      </c>
      <c r="E123" s="103" t="s">
        <v>55</v>
      </c>
    </row>
    <row r="124" spans="1:5">
      <c r="A124" s="94">
        <v>46071</v>
      </c>
      <c r="B124" s="95">
        <v>200226</v>
      </c>
      <c r="C124" s="96" t="s">
        <v>819</v>
      </c>
      <c r="D124" s="99">
        <v>164.01</v>
      </c>
      <c r="E124" s="103" t="s">
        <v>55</v>
      </c>
    </row>
    <row r="125" spans="1:5">
      <c r="A125" s="94">
        <v>46071</v>
      </c>
      <c r="B125" s="95">
        <v>200383</v>
      </c>
      <c r="C125" s="96" t="s">
        <v>819</v>
      </c>
      <c r="D125" s="99">
        <v>1070.77</v>
      </c>
      <c r="E125" s="103" t="s">
        <v>55</v>
      </c>
    </row>
    <row r="126" spans="1:5">
      <c r="A126" s="94">
        <v>46071</v>
      </c>
      <c r="B126" s="95">
        <v>200384</v>
      </c>
      <c r="C126" s="96" t="s">
        <v>819</v>
      </c>
      <c r="D126" s="99">
        <v>226.12</v>
      </c>
      <c r="E126" s="103" t="s">
        <v>55</v>
      </c>
    </row>
    <row r="127" spans="1:5">
      <c r="A127" s="94">
        <v>46071</v>
      </c>
      <c r="B127" s="95">
        <v>200385</v>
      </c>
      <c r="C127" s="96" t="s">
        <v>819</v>
      </c>
      <c r="D127" s="99">
        <v>97.04</v>
      </c>
      <c r="E127" s="103" t="s">
        <v>55</v>
      </c>
    </row>
    <row r="128" spans="1:5">
      <c r="A128" s="94">
        <v>46071</v>
      </c>
      <c r="B128" s="95">
        <v>268057</v>
      </c>
      <c r="C128" s="96" t="s">
        <v>826</v>
      </c>
      <c r="D128" s="99">
        <v>375</v>
      </c>
      <c r="E128" s="103" t="s">
        <v>55</v>
      </c>
    </row>
    <row r="129" spans="1:5">
      <c r="A129" s="94">
        <v>46071</v>
      </c>
      <c r="B129" s="95">
        <v>3460</v>
      </c>
      <c r="C129" s="96" t="s">
        <v>840</v>
      </c>
      <c r="D129" s="99">
        <v>264</v>
      </c>
      <c r="E129" s="103" t="s">
        <v>55</v>
      </c>
    </row>
    <row r="130" spans="1:5">
      <c r="A130" s="94">
        <v>46071</v>
      </c>
      <c r="B130" s="95">
        <v>67823</v>
      </c>
      <c r="C130" s="96" t="s">
        <v>836</v>
      </c>
      <c r="D130" s="99">
        <v>960.62</v>
      </c>
      <c r="E130" s="103" t="s">
        <v>55</v>
      </c>
    </row>
    <row r="131" spans="1:5">
      <c r="A131" s="94">
        <v>46071</v>
      </c>
      <c r="B131" s="95">
        <v>67829</v>
      </c>
      <c r="C131" s="96" t="s">
        <v>836</v>
      </c>
      <c r="D131" s="99">
        <v>38.159999999999997</v>
      </c>
      <c r="E131" s="103" t="s">
        <v>55</v>
      </c>
    </row>
    <row r="132" spans="1:5">
      <c r="A132" s="94">
        <v>46071</v>
      </c>
      <c r="B132" s="95">
        <v>75844</v>
      </c>
      <c r="C132" s="96" t="s">
        <v>821</v>
      </c>
      <c r="D132" s="99">
        <v>576.75</v>
      </c>
      <c r="E132" s="103" t="s">
        <v>55</v>
      </c>
    </row>
    <row r="133" spans="1:5">
      <c r="A133" s="94">
        <v>46071</v>
      </c>
      <c r="B133" s="95">
        <v>8872</v>
      </c>
      <c r="C133" s="96" t="s">
        <v>830</v>
      </c>
      <c r="D133" s="99">
        <v>317</v>
      </c>
      <c r="E133" s="103" t="s">
        <v>55</v>
      </c>
    </row>
    <row r="134" spans="1:5">
      <c r="A134" s="94">
        <v>46072</v>
      </c>
      <c r="B134" s="95">
        <v>1263</v>
      </c>
      <c r="C134" s="96" t="s">
        <v>857</v>
      </c>
      <c r="D134" s="99">
        <v>1710</v>
      </c>
      <c r="E134" s="103" t="s">
        <v>55</v>
      </c>
    </row>
    <row r="135" spans="1:5">
      <c r="A135" s="94">
        <v>46072</v>
      </c>
      <c r="B135" s="95">
        <v>2922</v>
      </c>
      <c r="C135" s="96" t="s">
        <v>854</v>
      </c>
      <c r="D135" s="99">
        <v>235</v>
      </c>
      <c r="E135" s="103" t="s">
        <v>55</v>
      </c>
    </row>
    <row r="136" spans="1:5">
      <c r="A136" s="94">
        <v>46073</v>
      </c>
      <c r="B136" s="95">
        <v>115876</v>
      </c>
      <c r="C136" s="96" t="s">
        <v>824</v>
      </c>
      <c r="D136" s="99">
        <v>174.8</v>
      </c>
      <c r="E136" s="103" t="s">
        <v>55</v>
      </c>
    </row>
    <row r="137" spans="1:5">
      <c r="A137" s="94">
        <v>46073</v>
      </c>
      <c r="B137" s="95">
        <v>17047</v>
      </c>
      <c r="C137" s="96" t="s">
        <v>816</v>
      </c>
      <c r="D137" s="99">
        <v>1092.71</v>
      </c>
      <c r="E137" s="103" t="s">
        <v>55</v>
      </c>
    </row>
    <row r="138" spans="1:5">
      <c r="A138" s="94">
        <v>46073</v>
      </c>
      <c r="B138" s="95">
        <v>259771</v>
      </c>
      <c r="C138" s="96" t="s">
        <v>817</v>
      </c>
      <c r="D138" s="99">
        <v>457.49</v>
      </c>
      <c r="E138" s="103" t="s">
        <v>55</v>
      </c>
    </row>
    <row r="139" spans="1:5">
      <c r="A139" s="94">
        <v>46076</v>
      </c>
      <c r="B139" s="95">
        <v>1579</v>
      </c>
      <c r="C139" s="96" t="s">
        <v>833</v>
      </c>
      <c r="D139" s="99">
        <v>1603.59</v>
      </c>
      <c r="E139" s="103" t="s">
        <v>55</v>
      </c>
    </row>
    <row r="140" spans="1:5">
      <c r="A140" s="94">
        <v>46076</v>
      </c>
      <c r="B140" s="95">
        <v>23814</v>
      </c>
      <c r="C140" s="96" t="s">
        <v>820</v>
      </c>
      <c r="D140" s="99">
        <v>575</v>
      </c>
      <c r="E140" s="103" t="s">
        <v>55</v>
      </c>
    </row>
    <row r="141" spans="1:5">
      <c r="A141" s="94">
        <v>46076</v>
      </c>
      <c r="B141" s="95">
        <v>259855</v>
      </c>
      <c r="C141" s="96" t="s">
        <v>817</v>
      </c>
      <c r="D141" s="99">
        <v>1000.95</v>
      </c>
      <c r="E141" s="103" t="s">
        <v>55</v>
      </c>
    </row>
    <row r="142" spans="1:5">
      <c r="A142" s="94">
        <v>46076</v>
      </c>
      <c r="B142" s="95">
        <v>36281</v>
      </c>
      <c r="C142" s="96" t="s">
        <v>829</v>
      </c>
      <c r="D142" s="99">
        <v>1841.35</v>
      </c>
      <c r="E142" s="103" t="s">
        <v>55</v>
      </c>
    </row>
    <row r="143" spans="1:5">
      <c r="A143" s="94">
        <v>46076</v>
      </c>
      <c r="B143" s="95">
        <v>67878</v>
      </c>
      <c r="C143" s="96" t="s">
        <v>836</v>
      </c>
      <c r="D143" s="99">
        <v>328.6</v>
      </c>
      <c r="E143" s="103" t="s">
        <v>55</v>
      </c>
    </row>
    <row r="144" spans="1:5">
      <c r="A144" s="94">
        <v>46076</v>
      </c>
      <c r="B144" s="95">
        <v>85175</v>
      </c>
      <c r="C144" s="96" t="s">
        <v>818</v>
      </c>
      <c r="D144" s="99">
        <v>378.29</v>
      </c>
      <c r="E144" s="103" t="s">
        <v>55</v>
      </c>
    </row>
    <row r="145" spans="1:5">
      <c r="A145" s="94">
        <v>46077</v>
      </c>
      <c r="B145" s="95">
        <v>200774</v>
      </c>
      <c r="C145" s="96" t="s">
        <v>819</v>
      </c>
      <c r="D145" s="99">
        <v>179.01</v>
      </c>
      <c r="E145" s="103" t="s">
        <v>55</v>
      </c>
    </row>
    <row r="146" spans="1:5">
      <c r="A146" s="94">
        <v>46077</v>
      </c>
      <c r="B146" s="95">
        <v>200875</v>
      </c>
      <c r="C146" s="96" t="s">
        <v>819</v>
      </c>
      <c r="D146" s="99">
        <v>27.9</v>
      </c>
      <c r="E146" s="103" t="s">
        <v>55</v>
      </c>
    </row>
    <row r="147" spans="1:5">
      <c r="A147" s="94">
        <v>46078</v>
      </c>
      <c r="B147" s="95">
        <v>260036</v>
      </c>
      <c r="C147" s="96" t="s">
        <v>817</v>
      </c>
      <c r="D147" s="99">
        <v>1147.45</v>
      </c>
      <c r="E147" s="103" t="s">
        <v>55</v>
      </c>
    </row>
    <row r="148" spans="1:5">
      <c r="A148" s="94">
        <v>46078</v>
      </c>
      <c r="B148" s="95">
        <v>4148</v>
      </c>
      <c r="C148" s="96" t="s">
        <v>843</v>
      </c>
      <c r="D148" s="99">
        <v>268.5</v>
      </c>
      <c r="E148" s="103" t="s">
        <v>55</v>
      </c>
    </row>
    <row r="149" spans="1:5">
      <c r="A149" s="94">
        <v>46078</v>
      </c>
      <c r="B149" s="95">
        <v>44132</v>
      </c>
      <c r="C149" s="96" t="s">
        <v>858</v>
      </c>
      <c r="D149" s="99">
        <v>60</v>
      </c>
      <c r="E149" s="103" t="s">
        <v>55</v>
      </c>
    </row>
    <row r="150" spans="1:5">
      <c r="A150" s="94">
        <v>46078</v>
      </c>
      <c r="B150" s="95">
        <v>75905</v>
      </c>
      <c r="C150" s="96" t="s">
        <v>821</v>
      </c>
      <c r="D150" s="99">
        <v>720</v>
      </c>
      <c r="E150" s="103" t="s">
        <v>55</v>
      </c>
    </row>
    <row r="151" spans="1:5">
      <c r="A151" s="94">
        <v>46079</v>
      </c>
      <c r="B151" s="95">
        <v>148681</v>
      </c>
      <c r="C151" s="96" t="s">
        <v>839</v>
      </c>
      <c r="D151" s="99">
        <v>1256.1600000000001</v>
      </c>
      <c r="E151" s="103" t="s">
        <v>55</v>
      </c>
    </row>
    <row r="152" spans="1:5">
      <c r="A152" s="94">
        <v>46079</v>
      </c>
      <c r="B152" s="95">
        <v>1583</v>
      </c>
      <c r="C152" s="96" t="s">
        <v>833</v>
      </c>
      <c r="D152" s="99">
        <v>7496.24</v>
      </c>
      <c r="E152" s="103" t="s">
        <v>55</v>
      </c>
    </row>
    <row r="153" spans="1:5">
      <c r="A153" s="94">
        <v>46079</v>
      </c>
      <c r="B153" s="95">
        <v>3028</v>
      </c>
      <c r="C153" s="96" t="s">
        <v>854</v>
      </c>
      <c r="D153" s="99">
        <v>297</v>
      </c>
      <c r="E153" s="103" t="s">
        <v>55</v>
      </c>
    </row>
    <row r="154" spans="1:5">
      <c r="A154" s="94">
        <v>46079</v>
      </c>
      <c r="B154" s="95">
        <v>3513</v>
      </c>
      <c r="C154" s="96" t="s">
        <v>840</v>
      </c>
      <c r="D154" s="99">
        <v>500</v>
      </c>
      <c r="E154" s="103" t="s">
        <v>55</v>
      </c>
    </row>
    <row r="155" spans="1:5">
      <c r="A155" s="94">
        <v>46079</v>
      </c>
      <c r="B155" s="95">
        <v>4158</v>
      </c>
      <c r="C155" s="96" t="s">
        <v>843</v>
      </c>
      <c r="D155" s="99">
        <v>324</v>
      </c>
      <c r="E155" s="103" t="s">
        <v>55</v>
      </c>
    </row>
    <row r="156" spans="1:5">
      <c r="A156" s="94">
        <v>46079</v>
      </c>
      <c r="B156" s="95">
        <v>75944</v>
      </c>
      <c r="C156" s="96" t="s">
        <v>821</v>
      </c>
      <c r="D156" s="99">
        <v>2318.1799999999998</v>
      </c>
      <c r="E156" s="103" t="s">
        <v>55</v>
      </c>
    </row>
    <row r="157" spans="1:5">
      <c r="A157" s="94">
        <v>46080</v>
      </c>
      <c r="B157" s="95">
        <v>1333</v>
      </c>
      <c r="C157" s="96" t="s">
        <v>857</v>
      </c>
      <c r="D157" s="99">
        <v>1414.1</v>
      </c>
      <c r="E157" s="103" t="s">
        <v>55</v>
      </c>
    </row>
    <row r="158" spans="1:5">
      <c r="A158" s="94">
        <v>46080</v>
      </c>
      <c r="B158" s="95">
        <v>17748</v>
      </c>
      <c r="C158" s="96" t="s">
        <v>834</v>
      </c>
      <c r="D158" s="99">
        <v>701.65</v>
      </c>
      <c r="E158" s="103" t="s">
        <v>55</v>
      </c>
    </row>
    <row r="159" spans="1:5">
      <c r="A159" s="94">
        <v>46080</v>
      </c>
      <c r="B159" s="95">
        <v>200968</v>
      </c>
      <c r="C159" s="96" t="s">
        <v>819</v>
      </c>
      <c r="D159" s="99">
        <v>60</v>
      </c>
      <c r="E159" s="103" t="s">
        <v>55</v>
      </c>
    </row>
    <row r="160" spans="1:5">
      <c r="A160" s="94">
        <v>46080</v>
      </c>
      <c r="B160" s="95">
        <v>200973</v>
      </c>
      <c r="C160" s="96" t="s">
        <v>819</v>
      </c>
      <c r="D160" s="99">
        <v>75.069999999999993</v>
      </c>
      <c r="E160" s="103" t="s">
        <v>55</v>
      </c>
    </row>
    <row r="161" spans="1:5">
      <c r="A161" s="94">
        <v>46080</v>
      </c>
      <c r="B161" s="95">
        <v>201110</v>
      </c>
      <c r="C161" s="96" t="s">
        <v>819</v>
      </c>
      <c r="D161" s="99">
        <v>784.3</v>
      </c>
      <c r="E161" s="103" t="s">
        <v>55</v>
      </c>
    </row>
    <row r="162" spans="1:5">
      <c r="A162" s="94">
        <v>46080</v>
      </c>
      <c r="B162" s="95">
        <v>23875</v>
      </c>
      <c r="C162" s="96" t="s">
        <v>820</v>
      </c>
      <c r="D162" s="99">
        <v>477.6</v>
      </c>
      <c r="E162" s="103" t="s">
        <v>55</v>
      </c>
    </row>
    <row r="163" spans="1:5">
      <c r="A163" s="94">
        <v>46080</v>
      </c>
      <c r="B163" s="95">
        <v>260200</v>
      </c>
      <c r="C163" s="96" t="s">
        <v>817</v>
      </c>
      <c r="D163" s="99">
        <v>698.96</v>
      </c>
      <c r="E163" s="103" t="s">
        <v>55</v>
      </c>
    </row>
    <row r="164" spans="1:5">
      <c r="A164" s="94">
        <v>46080</v>
      </c>
      <c r="B164" s="95">
        <v>260225</v>
      </c>
      <c r="C164" s="96" t="s">
        <v>817</v>
      </c>
      <c r="D164" s="99">
        <v>957.82</v>
      </c>
      <c r="E164" s="103" t="s">
        <v>55</v>
      </c>
    </row>
    <row r="165" spans="1:5">
      <c r="A165" s="94">
        <v>46080</v>
      </c>
      <c r="B165" s="95">
        <v>296</v>
      </c>
      <c r="C165" s="96" t="s">
        <v>859</v>
      </c>
      <c r="D165" s="99">
        <v>596.70000000000005</v>
      </c>
      <c r="E165" s="103" t="s">
        <v>55</v>
      </c>
    </row>
    <row r="166" spans="1:5">
      <c r="A166" s="94">
        <v>46080</v>
      </c>
      <c r="B166" s="95">
        <v>305500</v>
      </c>
      <c r="C166" s="96" t="s">
        <v>860</v>
      </c>
      <c r="D166" s="99">
        <v>384.53</v>
      </c>
      <c r="E166" s="103" t="s">
        <v>55</v>
      </c>
    </row>
    <row r="167" spans="1:5">
      <c r="A167" s="94">
        <v>46080</v>
      </c>
      <c r="B167" s="95">
        <v>67970</v>
      </c>
      <c r="C167" s="96" t="s">
        <v>836</v>
      </c>
      <c r="D167" s="99">
        <v>1340.9</v>
      </c>
      <c r="E167" s="103" t="s">
        <v>55</v>
      </c>
    </row>
    <row r="168" spans="1:5">
      <c r="A168" s="94">
        <v>46080</v>
      </c>
      <c r="B168" s="95">
        <v>75973</v>
      </c>
      <c r="C168" s="96" t="s">
        <v>821</v>
      </c>
      <c r="D168" s="99">
        <v>1726</v>
      </c>
      <c r="E168" s="103" t="s">
        <v>55</v>
      </c>
    </row>
    <row r="169" spans="1:5">
      <c r="A169" s="94">
        <v>46080</v>
      </c>
      <c r="B169" s="95">
        <v>7955</v>
      </c>
      <c r="C169" s="96" t="s">
        <v>851</v>
      </c>
      <c r="D169" s="99">
        <v>385</v>
      </c>
      <c r="E169" s="103" t="s">
        <v>55</v>
      </c>
    </row>
    <row r="170" spans="1:5">
      <c r="A170" s="94">
        <v>46083</v>
      </c>
      <c r="B170" s="95">
        <v>1575</v>
      </c>
      <c r="C170" s="96" t="s">
        <v>861</v>
      </c>
      <c r="D170" s="99">
        <v>2990</v>
      </c>
      <c r="E170" s="103" t="s">
        <v>7</v>
      </c>
    </row>
    <row r="171" spans="1:5">
      <c r="A171" s="94">
        <v>46083</v>
      </c>
      <c r="B171" s="95">
        <v>201220</v>
      </c>
      <c r="C171" s="96" t="s">
        <v>819</v>
      </c>
      <c r="D171" s="99">
        <v>1769.17</v>
      </c>
      <c r="E171" s="103" t="s">
        <v>7</v>
      </c>
    </row>
    <row r="172" spans="1:5">
      <c r="A172" s="94">
        <v>46083</v>
      </c>
      <c r="B172" s="95">
        <v>2672</v>
      </c>
      <c r="C172" s="96" t="s">
        <v>825</v>
      </c>
      <c r="D172" s="99">
        <v>743.85</v>
      </c>
      <c r="E172" s="103" t="s">
        <v>7</v>
      </c>
    </row>
    <row r="173" spans="1:5">
      <c r="A173" s="94">
        <v>46083</v>
      </c>
      <c r="B173" s="95">
        <v>3807</v>
      </c>
      <c r="C173" s="96" t="s">
        <v>862</v>
      </c>
      <c r="D173" s="99">
        <v>1300</v>
      </c>
      <c r="E173" s="103" t="s">
        <v>7</v>
      </c>
    </row>
    <row r="174" spans="1:5">
      <c r="A174" s="94">
        <v>46083</v>
      </c>
      <c r="B174" s="95">
        <v>85363</v>
      </c>
      <c r="C174" s="96" t="s">
        <v>818</v>
      </c>
      <c r="D174" s="99">
        <v>90.53</v>
      </c>
      <c r="E174" s="103" t="s">
        <v>7</v>
      </c>
    </row>
    <row r="175" spans="1:5">
      <c r="A175" s="94">
        <v>46084</v>
      </c>
      <c r="B175" s="95">
        <v>75991</v>
      </c>
      <c r="C175" s="96" t="s">
        <v>821</v>
      </c>
      <c r="D175" s="99">
        <v>1243.68</v>
      </c>
      <c r="E175" s="103" t="s">
        <v>7</v>
      </c>
    </row>
    <row r="176" spans="1:5">
      <c r="A176" s="94">
        <v>46085</v>
      </c>
      <c r="B176" s="95">
        <v>148774</v>
      </c>
      <c r="C176" s="96" t="s">
        <v>839</v>
      </c>
      <c r="D176" s="99">
        <v>659.39</v>
      </c>
      <c r="E176" s="103" t="s">
        <v>7</v>
      </c>
    </row>
    <row r="177" spans="1:5">
      <c r="A177" s="94">
        <v>46085</v>
      </c>
      <c r="B177" s="95">
        <v>260358</v>
      </c>
      <c r="C177" s="96" t="s">
        <v>817</v>
      </c>
      <c r="D177" s="99">
        <v>2020.92</v>
      </c>
      <c r="E177" s="103" t="s">
        <v>7</v>
      </c>
    </row>
    <row r="178" spans="1:5">
      <c r="A178" s="94">
        <v>46085</v>
      </c>
      <c r="B178" s="95">
        <v>32764</v>
      </c>
      <c r="C178" s="96" t="s">
        <v>827</v>
      </c>
      <c r="D178" s="99">
        <v>312</v>
      </c>
      <c r="E178" s="103" t="s">
        <v>7</v>
      </c>
    </row>
    <row r="179" spans="1:5">
      <c r="A179" s="94">
        <v>46086</v>
      </c>
      <c r="B179" s="95">
        <v>8900</v>
      </c>
      <c r="C179" s="96" t="s">
        <v>830</v>
      </c>
      <c r="D179" s="99">
        <v>500</v>
      </c>
      <c r="E179" s="103" t="s">
        <v>7</v>
      </c>
    </row>
    <row r="180" spans="1:5">
      <c r="A180" s="94">
        <v>46087</v>
      </c>
      <c r="B180" s="95">
        <v>130477</v>
      </c>
      <c r="C180" s="96" t="s">
        <v>852</v>
      </c>
      <c r="D180" s="99">
        <v>383.4</v>
      </c>
      <c r="E180" s="103" t="s">
        <v>7</v>
      </c>
    </row>
    <row r="181" spans="1:5">
      <c r="A181" s="94">
        <v>46087</v>
      </c>
      <c r="B181" s="95">
        <v>130525</v>
      </c>
      <c r="C181" s="96" t="s">
        <v>852</v>
      </c>
      <c r="D181" s="99">
        <v>145.27000000000001</v>
      </c>
      <c r="E181" s="103" t="s">
        <v>7</v>
      </c>
    </row>
    <row r="182" spans="1:5">
      <c r="A182" s="94">
        <v>46087</v>
      </c>
      <c r="B182" s="95">
        <v>148823</v>
      </c>
      <c r="C182" s="96" t="s">
        <v>839</v>
      </c>
      <c r="D182" s="99">
        <v>124.91</v>
      </c>
      <c r="E182" s="103" t="s">
        <v>7</v>
      </c>
    </row>
    <row r="183" spans="1:5">
      <c r="A183" s="94">
        <v>46087</v>
      </c>
      <c r="B183" s="95">
        <v>17072</v>
      </c>
      <c r="C183" s="96" t="s">
        <v>816</v>
      </c>
      <c r="D183" s="99">
        <v>755.05</v>
      </c>
      <c r="E183" s="103" t="s">
        <v>7</v>
      </c>
    </row>
    <row r="184" spans="1:5">
      <c r="A184" s="94">
        <v>46087</v>
      </c>
      <c r="B184" s="95">
        <v>201349</v>
      </c>
      <c r="C184" s="96" t="s">
        <v>819</v>
      </c>
      <c r="D184" s="99">
        <v>86</v>
      </c>
      <c r="E184" s="103" t="s">
        <v>7</v>
      </c>
    </row>
    <row r="185" spans="1:5">
      <c r="A185" s="94">
        <v>46087</v>
      </c>
      <c r="B185" s="95">
        <v>201622</v>
      </c>
      <c r="C185" s="96" t="s">
        <v>819</v>
      </c>
      <c r="D185" s="99">
        <v>802.46</v>
      </c>
      <c r="E185" s="103" t="s">
        <v>7</v>
      </c>
    </row>
    <row r="186" spans="1:5">
      <c r="A186" s="94">
        <v>46087</v>
      </c>
      <c r="B186" s="95">
        <v>22118</v>
      </c>
      <c r="C186" s="96" t="s">
        <v>863</v>
      </c>
      <c r="D186" s="99">
        <v>449.58</v>
      </c>
      <c r="E186" s="103" t="s">
        <v>7</v>
      </c>
    </row>
    <row r="187" spans="1:5">
      <c r="A187" s="94">
        <v>46087</v>
      </c>
      <c r="B187" s="95">
        <v>23924</v>
      </c>
      <c r="C187" s="96" t="s">
        <v>820</v>
      </c>
      <c r="D187" s="99">
        <v>260</v>
      </c>
      <c r="E187" s="103" t="s">
        <v>7</v>
      </c>
    </row>
    <row r="188" spans="1:5">
      <c r="A188" s="94">
        <v>46087</v>
      </c>
      <c r="B188" s="95">
        <v>260484</v>
      </c>
      <c r="C188" s="96" t="s">
        <v>817</v>
      </c>
      <c r="D188" s="99">
        <v>15093.14</v>
      </c>
      <c r="E188" s="103" t="s">
        <v>7</v>
      </c>
    </row>
    <row r="189" spans="1:5">
      <c r="A189" s="94">
        <v>46087</v>
      </c>
      <c r="B189" s="95">
        <v>2887</v>
      </c>
      <c r="C189" s="96" t="s">
        <v>864</v>
      </c>
      <c r="D189" s="99">
        <v>385.84</v>
      </c>
      <c r="E189" s="103" t="s">
        <v>7</v>
      </c>
    </row>
    <row r="190" spans="1:5">
      <c r="A190" s="94">
        <v>46087</v>
      </c>
      <c r="B190" s="95">
        <v>3114</v>
      </c>
      <c r="C190" s="96" t="s">
        <v>854</v>
      </c>
      <c r="D190" s="99">
        <v>21</v>
      </c>
      <c r="E190" s="103" t="s">
        <v>7</v>
      </c>
    </row>
    <row r="191" spans="1:5">
      <c r="A191" s="94">
        <v>46087</v>
      </c>
      <c r="B191" s="95">
        <v>32767</v>
      </c>
      <c r="C191" s="96" t="s">
        <v>827</v>
      </c>
      <c r="D191" s="99">
        <v>32</v>
      </c>
      <c r="E191" s="103" t="s">
        <v>7</v>
      </c>
    </row>
    <row r="192" spans="1:5">
      <c r="A192" s="94">
        <v>46087</v>
      </c>
      <c r="B192" s="95">
        <v>373</v>
      </c>
      <c r="C192" s="96" t="s">
        <v>856</v>
      </c>
      <c r="D192" s="99">
        <v>1229.0999999999999</v>
      </c>
      <c r="E192" s="103" t="s">
        <v>7</v>
      </c>
    </row>
    <row r="193" spans="1:5">
      <c r="A193" s="94">
        <v>46087</v>
      </c>
      <c r="B193" s="95">
        <v>76032</v>
      </c>
      <c r="C193" s="96" t="s">
        <v>821</v>
      </c>
      <c r="D193" s="99">
        <v>720</v>
      </c>
      <c r="E193" s="103" t="s">
        <v>7</v>
      </c>
    </row>
    <row r="194" spans="1:5">
      <c r="A194" s="94">
        <v>46087</v>
      </c>
      <c r="B194" s="95">
        <v>76052</v>
      </c>
      <c r="C194" s="96" t="s">
        <v>821</v>
      </c>
      <c r="D194" s="99">
        <v>1303.6300000000001</v>
      </c>
      <c r="E194" s="103" t="s">
        <v>7</v>
      </c>
    </row>
    <row r="195" spans="1:5">
      <c r="A195" s="94">
        <v>46087</v>
      </c>
      <c r="B195" s="95">
        <v>85442</v>
      </c>
      <c r="C195" s="96" t="s">
        <v>818</v>
      </c>
      <c r="D195" s="99">
        <v>308.86</v>
      </c>
      <c r="E195" s="103" t="s">
        <v>7</v>
      </c>
    </row>
    <row r="196" spans="1:5">
      <c r="A196" s="94">
        <v>46087</v>
      </c>
      <c r="B196" s="95">
        <v>87751</v>
      </c>
      <c r="C196" s="96" t="s">
        <v>822</v>
      </c>
      <c r="D196" s="99">
        <v>105.79</v>
      </c>
      <c r="E196" s="103" t="s">
        <v>7</v>
      </c>
    </row>
    <row r="197" spans="1:5">
      <c r="A197" s="94">
        <v>46091</v>
      </c>
      <c r="B197" s="95">
        <v>148875</v>
      </c>
      <c r="C197" s="96" t="s">
        <v>839</v>
      </c>
      <c r="D197" s="99">
        <v>262.83</v>
      </c>
      <c r="E197" s="103" t="s">
        <v>7</v>
      </c>
    </row>
    <row r="198" spans="1:5">
      <c r="A198" s="94">
        <v>46091</v>
      </c>
      <c r="B198" s="95">
        <v>201837</v>
      </c>
      <c r="C198" s="96" t="s">
        <v>819</v>
      </c>
      <c r="D198" s="99">
        <v>773.78</v>
      </c>
      <c r="E198" s="103" t="s">
        <v>7</v>
      </c>
    </row>
    <row r="199" spans="1:5">
      <c r="A199" s="94">
        <v>46091</v>
      </c>
      <c r="B199" s="95">
        <v>201848</v>
      </c>
      <c r="C199" s="96" t="s">
        <v>819</v>
      </c>
      <c r="D199" s="99">
        <v>385.73</v>
      </c>
      <c r="E199" s="103" t="s">
        <v>7</v>
      </c>
    </row>
    <row r="200" spans="1:5">
      <c r="A200" s="94">
        <v>46091</v>
      </c>
      <c r="B200" s="95">
        <v>23658</v>
      </c>
      <c r="C200" s="96" t="s">
        <v>850</v>
      </c>
      <c r="D200" s="99">
        <v>628.32000000000005</v>
      </c>
      <c r="E200" s="103" t="s">
        <v>7</v>
      </c>
    </row>
    <row r="201" spans="1:5">
      <c r="A201" s="94">
        <v>46091</v>
      </c>
      <c r="B201" s="95">
        <v>260606</v>
      </c>
      <c r="C201" s="96" t="s">
        <v>817</v>
      </c>
      <c r="D201" s="99">
        <v>1914.91</v>
      </c>
      <c r="E201" s="103" t="s">
        <v>7</v>
      </c>
    </row>
    <row r="202" spans="1:5">
      <c r="A202" s="94">
        <v>46091</v>
      </c>
      <c r="B202" s="95">
        <v>2698</v>
      </c>
      <c r="C202" s="96" t="s">
        <v>825</v>
      </c>
      <c r="D202" s="99">
        <v>270</v>
      </c>
      <c r="E202" s="103" t="s">
        <v>7</v>
      </c>
    </row>
    <row r="203" spans="1:5">
      <c r="A203" s="94">
        <v>46091</v>
      </c>
      <c r="B203" s="95">
        <v>3592</v>
      </c>
      <c r="C203" s="96" t="s">
        <v>840</v>
      </c>
      <c r="D203" s="99">
        <v>106</v>
      </c>
      <c r="E203" s="103" t="s">
        <v>7</v>
      </c>
    </row>
    <row r="204" spans="1:5">
      <c r="A204" s="94">
        <v>46092</v>
      </c>
      <c r="B204" s="95">
        <v>116188</v>
      </c>
      <c r="C204" s="96" t="s">
        <v>824</v>
      </c>
      <c r="D204" s="99">
        <v>54</v>
      </c>
      <c r="E204" s="103" t="s">
        <v>7</v>
      </c>
    </row>
    <row r="205" spans="1:5">
      <c r="A205" s="94">
        <v>46092</v>
      </c>
      <c r="B205" s="95">
        <v>1344</v>
      </c>
      <c r="C205" s="96" t="s">
        <v>865</v>
      </c>
      <c r="D205" s="99">
        <v>565</v>
      </c>
      <c r="E205" s="103" t="s">
        <v>7</v>
      </c>
    </row>
    <row r="206" spans="1:5">
      <c r="A206" s="94">
        <v>46092</v>
      </c>
      <c r="B206" s="95">
        <v>201869</v>
      </c>
      <c r="C206" s="96" t="s">
        <v>819</v>
      </c>
      <c r="D206" s="99">
        <v>174.66</v>
      </c>
      <c r="E206" s="103" t="s">
        <v>7</v>
      </c>
    </row>
    <row r="207" spans="1:5">
      <c r="A207" s="94">
        <v>46092</v>
      </c>
      <c r="B207" s="95">
        <v>23680</v>
      </c>
      <c r="C207" s="96" t="s">
        <v>850</v>
      </c>
      <c r="D207" s="99">
        <v>437.62</v>
      </c>
      <c r="E207" s="103" t="s">
        <v>7</v>
      </c>
    </row>
    <row r="208" spans="1:5">
      <c r="A208" s="94">
        <v>46092</v>
      </c>
      <c r="B208" s="95">
        <v>260675</v>
      </c>
      <c r="C208" s="96" t="s">
        <v>817</v>
      </c>
      <c r="D208" s="99">
        <v>1147.5999999999999</v>
      </c>
      <c r="E208" s="103" t="s">
        <v>7</v>
      </c>
    </row>
    <row r="209" spans="1:5">
      <c r="A209" s="94">
        <v>46092</v>
      </c>
      <c r="B209" s="95">
        <v>2705</v>
      </c>
      <c r="C209" s="96" t="s">
        <v>825</v>
      </c>
      <c r="D209" s="99">
        <v>325</v>
      </c>
      <c r="E209" s="103" t="s">
        <v>7</v>
      </c>
    </row>
    <row r="210" spans="1:5">
      <c r="A210" s="94">
        <v>46092</v>
      </c>
      <c r="B210" s="95">
        <v>2712</v>
      </c>
      <c r="C210" s="96" t="s">
        <v>825</v>
      </c>
      <c r="D210" s="99">
        <v>283.5</v>
      </c>
      <c r="E210" s="103" t="s">
        <v>7</v>
      </c>
    </row>
    <row r="211" spans="1:5">
      <c r="A211" s="94">
        <v>46092</v>
      </c>
      <c r="B211" s="95">
        <v>3139</v>
      </c>
      <c r="C211" s="96" t="s">
        <v>854</v>
      </c>
      <c r="D211" s="99">
        <v>270</v>
      </c>
      <c r="E211" s="103" t="s">
        <v>7</v>
      </c>
    </row>
    <row r="212" spans="1:5">
      <c r="A212" s="94">
        <v>46092</v>
      </c>
      <c r="B212" s="95">
        <v>3148</v>
      </c>
      <c r="C212" s="96" t="s">
        <v>854</v>
      </c>
      <c r="D212" s="99">
        <v>445</v>
      </c>
      <c r="E212" s="103" t="s">
        <v>7</v>
      </c>
    </row>
    <row r="213" spans="1:5">
      <c r="A213" s="94">
        <v>46092</v>
      </c>
      <c r="B213" s="95">
        <v>32865</v>
      </c>
      <c r="C213" s="96" t="s">
        <v>827</v>
      </c>
      <c r="D213" s="99">
        <v>187.5</v>
      </c>
      <c r="E213" s="103" t="s">
        <v>7</v>
      </c>
    </row>
    <row r="214" spans="1:5">
      <c r="A214" s="94">
        <v>46092</v>
      </c>
      <c r="B214" s="95">
        <v>85522</v>
      </c>
      <c r="C214" s="96" t="s">
        <v>818</v>
      </c>
      <c r="D214" s="99">
        <v>665.63</v>
      </c>
      <c r="E214" s="103" t="s">
        <v>7</v>
      </c>
    </row>
    <row r="215" spans="1:5">
      <c r="A215" s="94">
        <v>46093</v>
      </c>
      <c r="B215" s="95">
        <v>116129</v>
      </c>
      <c r="C215" s="96" t="s">
        <v>824</v>
      </c>
      <c r="D215" s="99">
        <v>83</v>
      </c>
      <c r="E215" s="103" t="s">
        <v>7</v>
      </c>
    </row>
    <row r="216" spans="1:5">
      <c r="A216" s="94">
        <v>46093</v>
      </c>
      <c r="B216" s="95">
        <v>260780</v>
      </c>
      <c r="C216" s="96" t="s">
        <v>817</v>
      </c>
      <c r="D216" s="99">
        <v>1490.82</v>
      </c>
      <c r="E216" s="103" t="s">
        <v>7</v>
      </c>
    </row>
    <row r="217" spans="1:5">
      <c r="A217" s="94">
        <v>46093</v>
      </c>
      <c r="B217" s="95">
        <v>3115</v>
      </c>
      <c r="C217" s="96" t="s">
        <v>854</v>
      </c>
      <c r="D217" s="99">
        <v>705</v>
      </c>
      <c r="E217" s="103" t="s">
        <v>7</v>
      </c>
    </row>
    <row r="218" spans="1:5">
      <c r="A218" s="94">
        <v>46093</v>
      </c>
      <c r="B218" s="95">
        <v>3321</v>
      </c>
      <c r="C218" s="96" t="s">
        <v>866</v>
      </c>
      <c r="D218" s="99">
        <v>799.68</v>
      </c>
      <c r="E218" s="103" t="s">
        <v>7</v>
      </c>
    </row>
    <row r="219" spans="1:5">
      <c r="A219" s="94">
        <v>46093</v>
      </c>
      <c r="B219" s="95">
        <v>76124</v>
      </c>
      <c r="C219" s="96" t="s">
        <v>821</v>
      </c>
      <c r="D219" s="99">
        <v>577.5</v>
      </c>
      <c r="E219" s="103" t="s">
        <v>7</v>
      </c>
    </row>
    <row r="220" spans="1:5">
      <c r="A220" s="94">
        <v>46094</v>
      </c>
      <c r="B220" s="95">
        <v>116241</v>
      </c>
      <c r="C220" s="96" t="s">
        <v>824</v>
      </c>
      <c r="D220" s="99">
        <v>50</v>
      </c>
      <c r="E220" s="103" t="s">
        <v>7</v>
      </c>
    </row>
    <row r="221" spans="1:5">
      <c r="A221" s="94">
        <v>46094</v>
      </c>
      <c r="B221" s="95">
        <v>202068</v>
      </c>
      <c r="C221" s="96" t="s">
        <v>819</v>
      </c>
      <c r="D221" s="99">
        <v>135</v>
      </c>
      <c r="E221" s="103" t="s">
        <v>7</v>
      </c>
    </row>
    <row r="222" spans="1:5">
      <c r="A222" s="94">
        <v>46094</v>
      </c>
      <c r="B222" s="95">
        <v>202087</v>
      </c>
      <c r="C222" s="96" t="s">
        <v>819</v>
      </c>
      <c r="D222" s="99">
        <v>95.67</v>
      </c>
      <c r="E222" s="103" t="s">
        <v>7</v>
      </c>
    </row>
    <row r="223" spans="1:5">
      <c r="A223" s="94">
        <v>46094</v>
      </c>
      <c r="B223" s="95">
        <v>85543</v>
      </c>
      <c r="C223" s="96" t="s">
        <v>818</v>
      </c>
      <c r="D223" s="99">
        <v>215.13</v>
      </c>
      <c r="E223" s="103" t="s">
        <v>7</v>
      </c>
    </row>
    <row r="224" spans="1:5">
      <c r="A224" s="94">
        <v>46097</v>
      </c>
      <c r="B224" s="95">
        <v>116265</v>
      </c>
      <c r="C224" s="96" t="s">
        <v>824</v>
      </c>
      <c r="D224" s="99">
        <v>21.3</v>
      </c>
      <c r="E224" s="103" t="s">
        <v>7</v>
      </c>
    </row>
    <row r="225" spans="1:5">
      <c r="A225" s="94">
        <v>46097</v>
      </c>
      <c r="B225" s="95">
        <v>18031</v>
      </c>
      <c r="C225" s="96" t="s">
        <v>834</v>
      </c>
      <c r="D225" s="99">
        <v>154.55000000000001</v>
      </c>
      <c r="E225" s="103" t="s">
        <v>7</v>
      </c>
    </row>
    <row r="226" spans="1:5">
      <c r="A226" s="94">
        <v>46097</v>
      </c>
      <c r="B226" s="95">
        <v>23997</v>
      </c>
      <c r="C226" s="96" t="s">
        <v>820</v>
      </c>
      <c r="D226" s="99">
        <v>424</v>
      </c>
      <c r="E226" s="103" t="s">
        <v>7</v>
      </c>
    </row>
    <row r="227" spans="1:5">
      <c r="A227" s="94">
        <v>46097</v>
      </c>
      <c r="B227" s="95">
        <v>260842</v>
      </c>
      <c r="C227" s="96" t="s">
        <v>817</v>
      </c>
      <c r="D227" s="99">
        <v>1585.49</v>
      </c>
      <c r="E227" s="103" t="s">
        <v>7</v>
      </c>
    </row>
    <row r="228" spans="1:5">
      <c r="A228" s="94">
        <v>46097</v>
      </c>
      <c r="B228" s="95">
        <v>2720</v>
      </c>
      <c r="C228" s="96" t="s">
        <v>825</v>
      </c>
      <c r="D228" s="99">
        <v>342</v>
      </c>
      <c r="E228" s="103" t="s">
        <v>7</v>
      </c>
    </row>
    <row r="229" spans="1:5">
      <c r="A229" s="94">
        <v>46097</v>
      </c>
      <c r="B229" s="95">
        <v>32830</v>
      </c>
      <c r="C229" s="96" t="s">
        <v>867</v>
      </c>
      <c r="D229" s="99">
        <v>3232.96</v>
      </c>
      <c r="E229" s="103" t="s">
        <v>7</v>
      </c>
    </row>
    <row r="230" spans="1:5">
      <c r="A230" s="94">
        <v>46097</v>
      </c>
      <c r="B230" s="95">
        <v>3631</v>
      </c>
      <c r="C230" s="96" t="s">
        <v>840</v>
      </c>
      <c r="D230" s="99">
        <v>139.69999999999999</v>
      </c>
      <c r="E230" s="103" t="s">
        <v>7</v>
      </c>
    </row>
    <row r="231" spans="1:5">
      <c r="A231" s="94">
        <v>46097</v>
      </c>
      <c r="B231" s="95">
        <v>68138</v>
      </c>
      <c r="C231" s="96" t="s">
        <v>836</v>
      </c>
      <c r="D231" s="99">
        <v>47.7</v>
      </c>
      <c r="E231" s="103" t="s">
        <v>7</v>
      </c>
    </row>
    <row r="232" spans="1:5">
      <c r="A232" s="94">
        <v>46098</v>
      </c>
      <c r="B232" s="95">
        <v>1454</v>
      </c>
      <c r="C232" s="96" t="s">
        <v>857</v>
      </c>
      <c r="D232" s="99">
        <v>170</v>
      </c>
      <c r="E232" s="103" t="s">
        <v>7</v>
      </c>
    </row>
    <row r="233" spans="1:5">
      <c r="A233" s="94">
        <v>46098</v>
      </c>
      <c r="B233" s="95">
        <v>202414</v>
      </c>
      <c r="C233" s="96" t="s">
        <v>819</v>
      </c>
      <c r="D233" s="99">
        <v>845.04</v>
      </c>
      <c r="E233" s="103" t="s">
        <v>7</v>
      </c>
    </row>
    <row r="234" spans="1:5">
      <c r="A234" s="94">
        <v>46098</v>
      </c>
      <c r="B234" s="95">
        <v>4224</v>
      </c>
      <c r="C234" s="96" t="s">
        <v>843</v>
      </c>
      <c r="D234" s="99">
        <v>424.9</v>
      </c>
      <c r="E234" s="103" t="s">
        <v>7</v>
      </c>
    </row>
    <row r="235" spans="1:5">
      <c r="A235" s="94">
        <v>46098</v>
      </c>
      <c r="B235" s="95">
        <v>76167</v>
      </c>
      <c r="C235" s="96" t="s">
        <v>821</v>
      </c>
      <c r="D235" s="99">
        <v>598</v>
      </c>
      <c r="E235" s="103" t="s">
        <v>7</v>
      </c>
    </row>
    <row r="236" spans="1:5">
      <c r="A236" s="94">
        <v>46098</v>
      </c>
      <c r="B236" s="95">
        <v>85558</v>
      </c>
      <c r="C236" s="96" t="s">
        <v>818</v>
      </c>
      <c r="D236" s="99">
        <v>464.02</v>
      </c>
      <c r="E236" s="103" t="s">
        <v>7</v>
      </c>
    </row>
    <row r="237" spans="1:5">
      <c r="A237" s="94">
        <v>46098</v>
      </c>
      <c r="B237" s="95">
        <v>85574</v>
      </c>
      <c r="C237" s="96" t="s">
        <v>818</v>
      </c>
      <c r="D237" s="99">
        <v>789.17</v>
      </c>
      <c r="E237" s="103" t="s">
        <v>7</v>
      </c>
    </row>
    <row r="238" spans="1:5">
      <c r="A238" s="94">
        <v>46099</v>
      </c>
      <c r="B238" s="95">
        <v>88921</v>
      </c>
      <c r="C238" s="96" t="s">
        <v>822</v>
      </c>
      <c r="D238" s="99">
        <v>683.6</v>
      </c>
      <c r="E238" s="103" t="s">
        <v>7</v>
      </c>
    </row>
    <row r="239" spans="1:5">
      <c r="A239" s="94">
        <v>46100</v>
      </c>
      <c r="B239" s="95">
        <v>17094</v>
      </c>
      <c r="C239" s="96" t="s">
        <v>816</v>
      </c>
      <c r="D239" s="99">
        <v>951.78</v>
      </c>
      <c r="E239" s="103" t="s">
        <v>7</v>
      </c>
    </row>
    <row r="240" spans="1:5">
      <c r="A240" s="94">
        <v>46100</v>
      </c>
      <c r="B240" s="95">
        <v>23721</v>
      </c>
      <c r="C240" s="96" t="s">
        <v>850</v>
      </c>
      <c r="D240" s="99">
        <v>499.8</v>
      </c>
      <c r="E240" s="103" t="s">
        <v>7</v>
      </c>
    </row>
    <row r="241" spans="1:5">
      <c r="A241" s="94">
        <v>46100</v>
      </c>
      <c r="B241" s="95">
        <v>261018</v>
      </c>
      <c r="C241" s="96" t="s">
        <v>817</v>
      </c>
      <c r="D241" s="99">
        <v>436.24</v>
      </c>
      <c r="E241" s="103" t="s">
        <v>7</v>
      </c>
    </row>
    <row r="242" spans="1:5">
      <c r="A242" s="94">
        <v>46100</v>
      </c>
      <c r="B242" s="95">
        <v>76212</v>
      </c>
      <c r="C242" s="96" t="s">
        <v>821</v>
      </c>
      <c r="D242" s="99">
        <v>609.6</v>
      </c>
      <c r="E242" s="103" t="s">
        <v>7</v>
      </c>
    </row>
    <row r="243" spans="1:5">
      <c r="A243" s="94">
        <v>46101</v>
      </c>
      <c r="B243" s="95">
        <v>116366</v>
      </c>
      <c r="C243" s="96" t="s">
        <v>824</v>
      </c>
      <c r="D243" s="99">
        <v>684</v>
      </c>
      <c r="E243" s="103" t="s">
        <v>7</v>
      </c>
    </row>
    <row r="244" spans="1:5">
      <c r="A244" s="94">
        <v>46101</v>
      </c>
      <c r="B244" s="95">
        <v>149061</v>
      </c>
      <c r="C244" s="96" t="s">
        <v>839</v>
      </c>
      <c r="D244" s="99">
        <v>1178.21</v>
      </c>
      <c r="E244" s="103" t="s">
        <v>7</v>
      </c>
    </row>
    <row r="245" spans="1:5">
      <c r="A245" s="94">
        <v>46101</v>
      </c>
      <c r="B245" s="95">
        <v>17107</v>
      </c>
      <c r="C245" s="96" t="s">
        <v>816</v>
      </c>
      <c r="D245" s="99">
        <v>507</v>
      </c>
      <c r="E245" s="103" t="s">
        <v>7</v>
      </c>
    </row>
    <row r="246" spans="1:5">
      <c r="A246" s="94">
        <v>46101</v>
      </c>
      <c r="B246" s="95">
        <v>202694</v>
      </c>
      <c r="C246" s="96" t="s">
        <v>819</v>
      </c>
      <c r="D246" s="99">
        <v>271.48</v>
      </c>
      <c r="E246" s="103" t="s">
        <v>7</v>
      </c>
    </row>
    <row r="247" spans="1:5">
      <c r="A247" s="94">
        <v>46101</v>
      </c>
      <c r="B247" s="95">
        <v>202695</v>
      </c>
      <c r="C247" s="96" t="s">
        <v>819</v>
      </c>
      <c r="D247" s="99">
        <v>2650.07</v>
      </c>
      <c r="E247" s="103" t="s">
        <v>7</v>
      </c>
    </row>
    <row r="248" spans="1:5">
      <c r="A248" s="94">
        <v>46101</v>
      </c>
      <c r="B248" s="95">
        <v>68211</v>
      </c>
      <c r="C248" s="96" t="s">
        <v>836</v>
      </c>
      <c r="D248" s="99">
        <v>259.7</v>
      </c>
      <c r="E248" s="103" t="s">
        <v>7</v>
      </c>
    </row>
    <row r="249" spans="1:5">
      <c r="A249" s="94">
        <v>46101</v>
      </c>
      <c r="B249" s="95">
        <v>76237</v>
      </c>
      <c r="C249" s="96" t="s">
        <v>821</v>
      </c>
      <c r="D249" s="99">
        <v>270</v>
      </c>
      <c r="E249" s="103" t="s">
        <v>7</v>
      </c>
    </row>
    <row r="250" spans="1:5">
      <c r="A250" s="94">
        <v>46101</v>
      </c>
      <c r="B250" s="95">
        <v>815</v>
      </c>
      <c r="C250" s="96" t="s">
        <v>868</v>
      </c>
      <c r="D250" s="99">
        <v>419.68</v>
      </c>
      <c r="E250" s="103" t="s">
        <v>7</v>
      </c>
    </row>
    <row r="251" spans="1:5">
      <c r="A251" s="94">
        <v>46101</v>
      </c>
      <c r="B251" s="95">
        <v>85633</v>
      </c>
      <c r="C251" s="96" t="s">
        <v>818</v>
      </c>
      <c r="D251" s="99">
        <v>263.06</v>
      </c>
      <c r="E251" s="103" t="s">
        <v>7</v>
      </c>
    </row>
    <row r="252" spans="1:5">
      <c r="A252" s="94">
        <v>46104</v>
      </c>
      <c r="B252" s="95">
        <v>18210</v>
      </c>
      <c r="C252" s="96" t="s">
        <v>834</v>
      </c>
      <c r="D252" s="99">
        <v>142.5</v>
      </c>
      <c r="E252" s="103" t="s">
        <v>7</v>
      </c>
    </row>
    <row r="253" spans="1:5">
      <c r="A253" s="94">
        <v>46104</v>
      </c>
      <c r="B253" s="95">
        <v>2752</v>
      </c>
      <c r="C253" s="96" t="s">
        <v>825</v>
      </c>
      <c r="D253" s="99">
        <v>800</v>
      </c>
      <c r="E253" s="103" t="s">
        <v>7</v>
      </c>
    </row>
    <row r="254" spans="1:5">
      <c r="A254" s="94">
        <v>46104</v>
      </c>
      <c r="B254" s="95">
        <v>2997</v>
      </c>
      <c r="C254" s="96" t="s">
        <v>846</v>
      </c>
      <c r="D254" s="99">
        <v>385</v>
      </c>
      <c r="E254" s="103" t="s">
        <v>7</v>
      </c>
    </row>
    <row r="255" spans="1:5">
      <c r="A255" s="94">
        <v>46104</v>
      </c>
      <c r="B255" s="95">
        <v>3244</v>
      </c>
      <c r="C255" s="96" t="s">
        <v>854</v>
      </c>
      <c r="D255" s="99">
        <v>186</v>
      </c>
      <c r="E255" s="103" t="s">
        <v>7</v>
      </c>
    </row>
    <row r="256" spans="1:5">
      <c r="A256" s="94">
        <v>46104</v>
      </c>
      <c r="B256" s="95">
        <v>33000</v>
      </c>
      <c r="C256" s="96" t="s">
        <v>827</v>
      </c>
      <c r="D256" s="99">
        <v>150</v>
      </c>
      <c r="E256" s="103" t="s">
        <v>7</v>
      </c>
    </row>
    <row r="257" spans="1:5">
      <c r="A257" s="94">
        <v>46104</v>
      </c>
      <c r="B257" s="95">
        <v>3671</v>
      </c>
      <c r="C257" s="96" t="s">
        <v>840</v>
      </c>
      <c r="D257" s="99">
        <v>30</v>
      </c>
      <c r="E257" s="103" t="s">
        <v>7</v>
      </c>
    </row>
    <row r="258" spans="1:5">
      <c r="A258" s="94">
        <v>46104</v>
      </c>
      <c r="B258" s="95">
        <v>45717</v>
      </c>
      <c r="C258" s="96" t="s">
        <v>823</v>
      </c>
      <c r="D258" s="99">
        <v>1116.29</v>
      </c>
      <c r="E258" s="103" t="s">
        <v>7</v>
      </c>
    </row>
    <row r="259" spans="1:5">
      <c r="A259" s="94">
        <v>46104</v>
      </c>
      <c r="B259" s="95">
        <v>5427</v>
      </c>
      <c r="C259" s="96" t="s">
        <v>869</v>
      </c>
      <c r="D259" s="99">
        <v>348</v>
      </c>
      <c r="E259" s="103" t="s">
        <v>7</v>
      </c>
    </row>
    <row r="260" spans="1:5">
      <c r="A260" s="94">
        <v>46104</v>
      </c>
      <c r="B260" s="95">
        <v>73124</v>
      </c>
      <c r="C260" s="96" t="s">
        <v>870</v>
      </c>
      <c r="D260" s="99">
        <v>1708.05</v>
      </c>
      <c r="E260" s="103" t="s">
        <v>7</v>
      </c>
    </row>
    <row r="261" spans="1:5">
      <c r="A261" s="94">
        <v>46104</v>
      </c>
      <c r="B261" s="95">
        <v>7673</v>
      </c>
      <c r="C261" s="96" t="s">
        <v>841</v>
      </c>
      <c r="D261" s="99">
        <v>1100</v>
      </c>
      <c r="E261" s="103" t="s">
        <v>7</v>
      </c>
    </row>
    <row r="262" spans="1:5">
      <c r="A262" s="94">
        <v>46105</v>
      </c>
      <c r="B262" s="95">
        <v>108988</v>
      </c>
      <c r="C262" s="96" t="s">
        <v>871</v>
      </c>
      <c r="D262" s="99">
        <v>13.5</v>
      </c>
      <c r="E262" s="103" t="s">
        <v>7</v>
      </c>
    </row>
    <row r="263" spans="1:5">
      <c r="A263" s="94">
        <v>46105</v>
      </c>
      <c r="B263" s="95">
        <v>29036</v>
      </c>
      <c r="C263" s="96" t="s">
        <v>872</v>
      </c>
      <c r="D263" s="99">
        <v>180</v>
      </c>
      <c r="E263" s="103" t="s">
        <v>7</v>
      </c>
    </row>
    <row r="264" spans="1:5">
      <c r="A264" s="94">
        <v>46105</v>
      </c>
      <c r="B264" s="95">
        <v>64269</v>
      </c>
      <c r="C264" s="96" t="s">
        <v>873</v>
      </c>
      <c r="D264" s="99">
        <v>356</v>
      </c>
      <c r="E264" s="103" t="s">
        <v>7</v>
      </c>
    </row>
    <row r="265" spans="1:5">
      <c r="A265" s="94">
        <v>46105</v>
      </c>
      <c r="B265" s="95">
        <v>68252</v>
      </c>
      <c r="C265" s="96" t="s">
        <v>836</v>
      </c>
      <c r="D265" s="99">
        <v>280.89999999999998</v>
      </c>
      <c r="E265" s="103" t="s">
        <v>7</v>
      </c>
    </row>
    <row r="266" spans="1:5">
      <c r="A266" s="94">
        <v>46106</v>
      </c>
      <c r="B266" s="95">
        <v>202799</v>
      </c>
      <c r="C266" s="96" t="s">
        <v>819</v>
      </c>
      <c r="D266" s="99">
        <v>123.54</v>
      </c>
      <c r="E266" s="103" t="s">
        <v>7</v>
      </c>
    </row>
    <row r="267" spans="1:5">
      <c r="A267" s="94">
        <v>46106</v>
      </c>
      <c r="B267" s="95">
        <v>261335</v>
      </c>
      <c r="C267" s="96" t="s">
        <v>817</v>
      </c>
      <c r="D267" s="99">
        <v>3677.31</v>
      </c>
      <c r="E267" s="103" t="s">
        <v>7</v>
      </c>
    </row>
    <row r="268" spans="1:5">
      <c r="A268" s="94">
        <v>46106</v>
      </c>
      <c r="B268" s="95">
        <v>2774</v>
      </c>
      <c r="C268" s="96" t="s">
        <v>825</v>
      </c>
      <c r="D268" s="99">
        <v>377.05</v>
      </c>
      <c r="E268" s="103" t="s">
        <v>7</v>
      </c>
    </row>
    <row r="269" spans="1:5">
      <c r="A269" s="94">
        <v>46106</v>
      </c>
      <c r="B269" s="95">
        <v>36495</v>
      </c>
      <c r="C269" s="96" t="s">
        <v>829</v>
      </c>
      <c r="D269" s="99">
        <v>3068.92</v>
      </c>
      <c r="E269" s="103" t="s">
        <v>7</v>
      </c>
    </row>
    <row r="270" spans="1:5">
      <c r="A270" s="94">
        <v>46106</v>
      </c>
      <c r="B270" s="95">
        <v>74505</v>
      </c>
      <c r="C270" s="96" t="s">
        <v>874</v>
      </c>
      <c r="D270" s="99">
        <v>1935</v>
      </c>
      <c r="E270" s="103" t="s">
        <v>7</v>
      </c>
    </row>
    <row r="271" spans="1:5">
      <c r="A271" s="94">
        <v>46106</v>
      </c>
      <c r="B271" s="95">
        <v>8960</v>
      </c>
      <c r="C271" s="96" t="s">
        <v>830</v>
      </c>
      <c r="D271" s="99">
        <v>150</v>
      </c>
      <c r="E271" s="103" t="s">
        <v>7</v>
      </c>
    </row>
    <row r="272" spans="1:5">
      <c r="A272" s="94">
        <v>46107</v>
      </c>
      <c r="B272" s="95">
        <v>149180</v>
      </c>
      <c r="C272" s="96" t="s">
        <v>839</v>
      </c>
      <c r="D272" s="99">
        <v>1511.24</v>
      </c>
      <c r="E272" s="103" t="s">
        <v>7</v>
      </c>
    </row>
    <row r="273" spans="1:5">
      <c r="A273" s="94">
        <v>46107</v>
      </c>
      <c r="B273" s="95">
        <v>153494</v>
      </c>
      <c r="C273" s="96" t="s">
        <v>875</v>
      </c>
      <c r="D273" s="99">
        <v>4906.13</v>
      </c>
      <c r="E273" s="103" t="s">
        <v>7</v>
      </c>
    </row>
    <row r="274" spans="1:5">
      <c r="A274" s="94">
        <v>46107</v>
      </c>
      <c r="B274" s="95">
        <v>261431</v>
      </c>
      <c r="C274" s="96" t="s">
        <v>817</v>
      </c>
      <c r="D274" s="99">
        <v>3084.47</v>
      </c>
      <c r="E274" s="103" t="s">
        <v>7</v>
      </c>
    </row>
    <row r="275" spans="1:5">
      <c r="A275" s="94">
        <v>46107</v>
      </c>
      <c r="B275" s="95">
        <v>269462</v>
      </c>
      <c r="C275" s="96" t="s">
        <v>826</v>
      </c>
      <c r="D275" s="99">
        <v>345.06</v>
      </c>
      <c r="E275" s="103" t="s">
        <v>7</v>
      </c>
    </row>
    <row r="276" spans="1:5">
      <c r="A276" s="94">
        <v>46107</v>
      </c>
      <c r="B276" s="95">
        <v>2778</v>
      </c>
      <c r="C276" s="96" t="s">
        <v>825</v>
      </c>
      <c r="D276" s="99">
        <v>415.53</v>
      </c>
      <c r="E276" s="103" t="s">
        <v>7</v>
      </c>
    </row>
    <row r="277" spans="1:5">
      <c r="A277" s="94">
        <v>46107</v>
      </c>
      <c r="B277" s="95">
        <v>3256</v>
      </c>
      <c r="C277" s="96" t="s">
        <v>854</v>
      </c>
      <c r="D277" s="99">
        <v>540</v>
      </c>
      <c r="E277" s="103" t="s">
        <v>7</v>
      </c>
    </row>
    <row r="278" spans="1:5">
      <c r="A278" s="94">
        <v>46107</v>
      </c>
      <c r="B278" s="95">
        <v>33056</v>
      </c>
      <c r="C278" s="96" t="s">
        <v>827</v>
      </c>
      <c r="D278" s="99">
        <v>187.5</v>
      </c>
      <c r="E278" s="103" t="s">
        <v>7</v>
      </c>
    </row>
    <row r="279" spans="1:5">
      <c r="A279" s="94">
        <v>46107</v>
      </c>
      <c r="B279" s="95">
        <v>4267</v>
      </c>
      <c r="C279" s="96" t="s">
        <v>843</v>
      </c>
      <c r="D279" s="99">
        <v>1024.5</v>
      </c>
      <c r="E279" s="103" t="s">
        <v>7</v>
      </c>
    </row>
    <row r="280" spans="1:5">
      <c r="A280" s="94">
        <v>46107</v>
      </c>
      <c r="B280" s="95">
        <v>76312</v>
      </c>
      <c r="C280" s="96" t="s">
        <v>821</v>
      </c>
      <c r="D280" s="99">
        <v>2337.8000000000002</v>
      </c>
      <c r="E280" s="103" t="s">
        <v>7</v>
      </c>
    </row>
    <row r="281" spans="1:5">
      <c r="A281" s="94">
        <v>46107</v>
      </c>
      <c r="B281" s="95">
        <v>85733</v>
      </c>
      <c r="C281" s="96" t="s">
        <v>818</v>
      </c>
      <c r="D281" s="99">
        <v>143.78</v>
      </c>
      <c r="E281" s="103" t="s">
        <v>7</v>
      </c>
    </row>
    <row r="282" spans="1:5">
      <c r="A282" s="94">
        <v>46108</v>
      </c>
      <c r="B282" s="95">
        <v>140852</v>
      </c>
      <c r="C282" s="96" t="s">
        <v>876</v>
      </c>
      <c r="D282" s="99">
        <v>1372.02</v>
      </c>
      <c r="E282" s="103" t="s">
        <v>7</v>
      </c>
    </row>
    <row r="283" spans="1:5">
      <c r="A283" s="94">
        <v>46108</v>
      </c>
      <c r="B283" s="95">
        <v>17496</v>
      </c>
      <c r="C283" s="96" t="s">
        <v>877</v>
      </c>
      <c r="D283" s="99">
        <v>351</v>
      </c>
      <c r="E283" s="103" t="s">
        <v>7</v>
      </c>
    </row>
    <row r="284" spans="1:5">
      <c r="A284" s="94">
        <v>46108</v>
      </c>
      <c r="B284" s="95">
        <v>18323</v>
      </c>
      <c r="C284" s="96" t="s">
        <v>834</v>
      </c>
      <c r="D284" s="99">
        <v>1744.6</v>
      </c>
      <c r="E284" s="103" t="s">
        <v>7</v>
      </c>
    </row>
    <row r="285" spans="1:5">
      <c r="A285" s="94">
        <v>46108</v>
      </c>
      <c r="B285" s="95">
        <v>203039</v>
      </c>
      <c r="C285" s="96" t="s">
        <v>819</v>
      </c>
      <c r="D285" s="99">
        <v>2840.66</v>
      </c>
      <c r="E285" s="103" t="s">
        <v>7</v>
      </c>
    </row>
    <row r="286" spans="1:5">
      <c r="A286" s="94">
        <v>46108</v>
      </c>
      <c r="B286" s="95">
        <v>53822</v>
      </c>
      <c r="C286" s="96" t="s">
        <v>878</v>
      </c>
      <c r="D286" s="99">
        <v>9668.99</v>
      </c>
      <c r="E286" s="103" t="s">
        <v>7</v>
      </c>
    </row>
    <row r="287" spans="1:5">
      <c r="A287" s="94">
        <v>46108</v>
      </c>
      <c r="B287" s="95">
        <v>53823</v>
      </c>
      <c r="C287" s="96" t="s">
        <v>878</v>
      </c>
      <c r="D287" s="99">
        <v>456.91</v>
      </c>
      <c r="E287" s="103" t="s">
        <v>7</v>
      </c>
    </row>
    <row r="288" spans="1:5">
      <c r="A288" s="94">
        <v>46108</v>
      </c>
      <c r="B288" s="95">
        <v>68306</v>
      </c>
      <c r="C288" s="96" t="s">
        <v>836</v>
      </c>
      <c r="D288" s="99">
        <v>1176.5999999999999</v>
      </c>
      <c r="E288" s="103" t="s">
        <v>7</v>
      </c>
    </row>
    <row r="289" spans="1:5">
      <c r="A289" s="94">
        <v>46108</v>
      </c>
      <c r="B289" s="95">
        <v>68333</v>
      </c>
      <c r="C289" s="96" t="s">
        <v>836</v>
      </c>
      <c r="D289" s="99">
        <v>778.04</v>
      </c>
      <c r="E289" s="103" t="s">
        <v>7</v>
      </c>
    </row>
    <row r="290" spans="1:5">
      <c r="A290" s="94">
        <v>46108</v>
      </c>
      <c r="B290" s="95">
        <v>76292</v>
      </c>
      <c r="C290" s="96" t="s">
        <v>821</v>
      </c>
      <c r="D290" s="99">
        <v>2574</v>
      </c>
      <c r="E290" s="103" t="s">
        <v>7</v>
      </c>
    </row>
    <row r="291" spans="1:5">
      <c r="A291" s="94">
        <v>46108</v>
      </c>
      <c r="B291" s="95">
        <v>85774</v>
      </c>
      <c r="C291" s="96" t="s">
        <v>818</v>
      </c>
      <c r="D291" s="99">
        <v>490</v>
      </c>
      <c r="E291" s="103" t="s">
        <v>7</v>
      </c>
    </row>
    <row r="292" spans="1:5">
      <c r="A292" s="94">
        <v>46108</v>
      </c>
      <c r="B292" s="95">
        <v>89318</v>
      </c>
      <c r="C292" s="96" t="s">
        <v>822</v>
      </c>
      <c r="D292" s="99">
        <v>193.2</v>
      </c>
      <c r="E292" s="103" t="s">
        <v>7</v>
      </c>
    </row>
    <row r="293" spans="1:5">
      <c r="A293" s="94">
        <v>46108</v>
      </c>
      <c r="B293" s="95">
        <v>895</v>
      </c>
      <c r="C293" s="96" t="s">
        <v>835</v>
      </c>
      <c r="D293" s="99">
        <v>360</v>
      </c>
      <c r="E293" s="103" t="s">
        <v>7</v>
      </c>
    </row>
    <row r="294" spans="1:5">
      <c r="A294" s="94">
        <v>46111</v>
      </c>
      <c r="B294" s="95">
        <v>103739</v>
      </c>
      <c r="C294" s="96" t="s">
        <v>879</v>
      </c>
      <c r="D294" s="99">
        <v>823.18</v>
      </c>
      <c r="E294" s="103" t="s">
        <v>7</v>
      </c>
    </row>
    <row r="295" spans="1:5">
      <c r="A295" s="94">
        <v>46111</v>
      </c>
      <c r="B295" s="95">
        <v>121701</v>
      </c>
      <c r="C295" s="96" t="s">
        <v>831</v>
      </c>
      <c r="D295" s="99">
        <v>5296</v>
      </c>
      <c r="E295" s="103" t="s">
        <v>7</v>
      </c>
    </row>
    <row r="296" spans="1:5">
      <c r="A296" s="94">
        <v>46111</v>
      </c>
      <c r="B296" s="95">
        <v>76334</v>
      </c>
      <c r="C296" s="96" t="s">
        <v>821</v>
      </c>
      <c r="D296" s="99">
        <v>2713.3</v>
      </c>
      <c r="E296" s="103" t="s">
        <v>7</v>
      </c>
    </row>
    <row r="297" spans="1:5">
      <c r="A297" s="94">
        <v>46112</v>
      </c>
      <c r="B297" s="95">
        <v>116497</v>
      </c>
      <c r="C297" s="96" t="s">
        <v>824</v>
      </c>
      <c r="D297" s="99">
        <v>70</v>
      </c>
      <c r="E297" s="103" t="s">
        <v>7</v>
      </c>
    </row>
    <row r="298" spans="1:5">
      <c r="A298" s="94">
        <v>46112</v>
      </c>
      <c r="B298" s="95">
        <v>1543</v>
      </c>
      <c r="C298" s="96" t="s">
        <v>857</v>
      </c>
      <c r="D298" s="99">
        <v>910</v>
      </c>
      <c r="E298" s="103" t="s">
        <v>7</v>
      </c>
    </row>
    <row r="299" spans="1:5">
      <c r="A299" s="94">
        <v>46112</v>
      </c>
      <c r="B299" s="95">
        <v>261513</v>
      </c>
      <c r="C299" s="96" t="s">
        <v>817</v>
      </c>
      <c r="D299" s="99">
        <v>1102.22</v>
      </c>
      <c r="E299" s="103" t="s">
        <v>7</v>
      </c>
    </row>
    <row r="300" spans="1:5">
      <c r="A300" s="94">
        <v>46112</v>
      </c>
      <c r="B300" s="95">
        <v>2791</v>
      </c>
      <c r="C300" s="96" t="s">
        <v>825</v>
      </c>
      <c r="D300" s="99">
        <v>159.16999999999999</v>
      </c>
      <c r="E300" s="103" t="s">
        <v>7</v>
      </c>
    </row>
    <row r="301" spans="1:5">
      <c r="A301" s="94">
        <v>46112</v>
      </c>
      <c r="B301" s="95">
        <v>2794</v>
      </c>
      <c r="C301" s="96" t="s">
        <v>825</v>
      </c>
      <c r="D301" s="99">
        <v>463.05</v>
      </c>
      <c r="E301" s="103" t="s">
        <v>7</v>
      </c>
    </row>
    <row r="302" spans="1:5">
      <c r="A302" s="94">
        <v>46112</v>
      </c>
      <c r="B302" s="95">
        <v>3000</v>
      </c>
      <c r="C302" s="96" t="s">
        <v>846</v>
      </c>
      <c r="D302" s="99">
        <v>770</v>
      </c>
      <c r="E302" s="103" t="s">
        <v>7</v>
      </c>
    </row>
    <row r="303" spans="1:5">
      <c r="A303" s="94">
        <v>46112</v>
      </c>
      <c r="B303" s="95">
        <v>3837</v>
      </c>
      <c r="C303" s="96" t="s">
        <v>880</v>
      </c>
      <c r="D303" s="99">
        <v>540</v>
      </c>
      <c r="E303" s="103" t="s">
        <v>7</v>
      </c>
    </row>
    <row r="304" spans="1:5">
      <c r="A304" s="94">
        <v>46112</v>
      </c>
      <c r="B304" s="95">
        <v>4113</v>
      </c>
      <c r="C304" s="96" t="s">
        <v>832</v>
      </c>
      <c r="D304" s="99">
        <v>1600</v>
      </c>
      <c r="E304" s="103" t="s">
        <v>7</v>
      </c>
    </row>
    <row r="305" spans="1:5">
      <c r="A305" s="94">
        <v>46112</v>
      </c>
      <c r="B305" s="95">
        <v>85793</v>
      </c>
      <c r="C305" s="96" t="s">
        <v>818</v>
      </c>
      <c r="D305" s="99">
        <v>218.33</v>
      </c>
      <c r="E305" s="103" t="s">
        <v>7</v>
      </c>
    </row>
    <row r="306" spans="1:5">
      <c r="A306" s="88">
        <v>46114</v>
      </c>
      <c r="B306" s="89">
        <v>23811</v>
      </c>
      <c r="C306" s="90" t="s">
        <v>850</v>
      </c>
      <c r="D306" s="91">
        <v>693.6</v>
      </c>
      <c r="E306" t="s">
        <v>1173</v>
      </c>
    </row>
    <row r="307" spans="1:5">
      <c r="A307" s="88">
        <v>46118</v>
      </c>
      <c r="B307" s="89">
        <v>15917</v>
      </c>
      <c r="C307" s="90" t="s">
        <v>1399</v>
      </c>
      <c r="D307" s="91">
        <v>1710</v>
      </c>
      <c r="E307" t="s">
        <v>1173</v>
      </c>
    </row>
    <row r="308" spans="1:5">
      <c r="A308" s="88">
        <v>46118</v>
      </c>
      <c r="B308" s="89">
        <v>203811</v>
      </c>
      <c r="C308" s="90" t="s">
        <v>819</v>
      </c>
      <c r="D308" s="91">
        <v>904.09</v>
      </c>
      <c r="E308" t="s">
        <v>1173</v>
      </c>
    </row>
    <row r="309" spans="1:5">
      <c r="A309" s="88">
        <v>46118</v>
      </c>
      <c r="B309" s="89">
        <v>33161</v>
      </c>
      <c r="C309" s="90" t="s">
        <v>827</v>
      </c>
      <c r="D309" s="91">
        <v>197.5</v>
      </c>
      <c r="E309" t="s">
        <v>1173</v>
      </c>
    </row>
    <row r="310" spans="1:5">
      <c r="A310" s="88">
        <v>46118</v>
      </c>
      <c r="B310" s="89">
        <v>3419</v>
      </c>
      <c r="C310" s="90" t="s">
        <v>864</v>
      </c>
      <c r="D310" s="91">
        <v>344.5</v>
      </c>
      <c r="E310" t="s">
        <v>1173</v>
      </c>
    </row>
    <row r="311" spans="1:5">
      <c r="A311" s="88">
        <v>46118</v>
      </c>
      <c r="B311" s="89">
        <v>4294</v>
      </c>
      <c r="C311" s="90" t="s">
        <v>843</v>
      </c>
      <c r="D311" s="91">
        <v>328</v>
      </c>
      <c r="E311" t="s">
        <v>1173</v>
      </c>
    </row>
    <row r="312" spans="1:5">
      <c r="A312" s="88">
        <v>46118</v>
      </c>
      <c r="B312" s="89">
        <v>76396</v>
      </c>
      <c r="C312" s="90" t="s">
        <v>821</v>
      </c>
      <c r="D312" s="91">
        <v>470</v>
      </c>
      <c r="E312" t="s">
        <v>1173</v>
      </c>
    </row>
    <row r="313" spans="1:5">
      <c r="A313" s="88">
        <v>46118</v>
      </c>
      <c r="B313" s="89">
        <v>85849</v>
      </c>
      <c r="C313" s="90" t="s">
        <v>818</v>
      </c>
      <c r="D313" s="91">
        <v>143.78</v>
      </c>
      <c r="E313" t="s">
        <v>1173</v>
      </c>
    </row>
    <row r="314" spans="1:5">
      <c r="A314" s="88">
        <v>46118</v>
      </c>
      <c r="B314" s="89">
        <v>89587</v>
      </c>
      <c r="C314" s="90" t="s">
        <v>822</v>
      </c>
      <c r="D314" s="91">
        <v>298.87</v>
      </c>
      <c r="E314" t="s">
        <v>1173</v>
      </c>
    </row>
    <row r="315" spans="1:5">
      <c r="A315" s="88">
        <v>46119</v>
      </c>
      <c r="B315" s="89">
        <v>261720</v>
      </c>
      <c r="C315" s="90" t="s">
        <v>817</v>
      </c>
      <c r="D315" s="91">
        <v>787.98</v>
      </c>
      <c r="E315" t="s">
        <v>1173</v>
      </c>
    </row>
    <row r="316" spans="1:5">
      <c r="A316" s="88">
        <v>46121</v>
      </c>
      <c r="B316" s="89">
        <v>116582</v>
      </c>
      <c r="C316" s="90" t="s">
        <v>824</v>
      </c>
      <c r="D316" s="91">
        <v>97.5</v>
      </c>
      <c r="E316" t="s">
        <v>1173</v>
      </c>
    </row>
    <row r="317" spans="1:5">
      <c r="A317" s="88">
        <v>46121</v>
      </c>
      <c r="B317" s="89">
        <v>116638</v>
      </c>
      <c r="C317" s="90" t="s">
        <v>824</v>
      </c>
      <c r="D317" s="91">
        <v>65</v>
      </c>
      <c r="E317" t="s">
        <v>1173</v>
      </c>
    </row>
    <row r="318" spans="1:5">
      <c r="A318" s="88">
        <v>46121</v>
      </c>
      <c r="B318" s="89">
        <v>18526</v>
      </c>
      <c r="C318" s="90" t="s">
        <v>834</v>
      </c>
      <c r="D318" s="91">
        <v>1323.94</v>
      </c>
      <c r="E318" t="s">
        <v>1173</v>
      </c>
    </row>
    <row r="319" spans="1:5">
      <c r="A319" s="88">
        <v>46121</v>
      </c>
      <c r="B319" s="89">
        <v>203928</v>
      </c>
      <c r="C319" s="90" t="s">
        <v>819</v>
      </c>
      <c r="D319" s="91">
        <v>1114.4100000000001</v>
      </c>
      <c r="E319" t="s">
        <v>1173</v>
      </c>
    </row>
    <row r="320" spans="1:5">
      <c r="A320" s="88">
        <v>46121</v>
      </c>
      <c r="B320" s="89">
        <v>204149</v>
      </c>
      <c r="C320" s="90" t="s">
        <v>819</v>
      </c>
      <c r="D320" s="91">
        <v>166</v>
      </c>
      <c r="E320" t="s">
        <v>1173</v>
      </c>
    </row>
    <row r="321" spans="1:5">
      <c r="A321" s="88">
        <v>46121</v>
      </c>
      <c r="B321" s="89">
        <v>261839</v>
      </c>
      <c r="C321" s="90" t="s">
        <v>817</v>
      </c>
      <c r="D321" s="91">
        <v>2050.4899999999998</v>
      </c>
      <c r="E321" t="s">
        <v>1173</v>
      </c>
    </row>
    <row r="322" spans="1:5">
      <c r="A322" s="88">
        <v>46121</v>
      </c>
      <c r="B322" s="89">
        <v>2812</v>
      </c>
      <c r="C322" s="90" t="s">
        <v>825</v>
      </c>
      <c r="D322" s="91">
        <v>386.6</v>
      </c>
      <c r="E322" t="s">
        <v>1173</v>
      </c>
    </row>
    <row r="323" spans="1:5">
      <c r="A323" s="88">
        <v>46121</v>
      </c>
      <c r="B323" s="89">
        <v>2818</v>
      </c>
      <c r="C323" s="90" t="s">
        <v>825</v>
      </c>
      <c r="D323" s="91">
        <v>461.7</v>
      </c>
      <c r="E323" t="s">
        <v>1173</v>
      </c>
    </row>
    <row r="324" spans="1:5">
      <c r="A324" s="88">
        <v>46121</v>
      </c>
      <c r="B324" s="89">
        <v>33212</v>
      </c>
      <c r="C324" s="90" t="s">
        <v>827</v>
      </c>
      <c r="D324" s="91">
        <v>187.5</v>
      </c>
      <c r="E324" t="s">
        <v>1173</v>
      </c>
    </row>
    <row r="325" spans="1:5">
      <c r="A325" s="88">
        <v>46121</v>
      </c>
      <c r="B325" s="89">
        <v>3775</v>
      </c>
      <c r="C325" s="90" t="s">
        <v>840</v>
      </c>
      <c r="D325" s="91">
        <v>127</v>
      </c>
      <c r="E325" t="s">
        <v>1173</v>
      </c>
    </row>
    <row r="326" spans="1:5">
      <c r="A326" s="88">
        <v>46121</v>
      </c>
      <c r="B326" s="89">
        <v>68424</v>
      </c>
      <c r="C326" s="90" t="s">
        <v>836</v>
      </c>
      <c r="D326" s="91">
        <v>390.08</v>
      </c>
      <c r="E326" t="s">
        <v>1173</v>
      </c>
    </row>
    <row r="327" spans="1:5">
      <c r="A327" s="88">
        <v>46121</v>
      </c>
      <c r="B327" s="89">
        <v>68444</v>
      </c>
      <c r="C327" s="90" t="s">
        <v>836</v>
      </c>
      <c r="D327" s="91">
        <v>584.27</v>
      </c>
      <c r="E327" t="s">
        <v>1173</v>
      </c>
    </row>
    <row r="328" spans="1:5">
      <c r="A328" s="88">
        <v>46121</v>
      </c>
      <c r="B328" s="89">
        <v>76465</v>
      </c>
      <c r="C328" s="90" t="s">
        <v>821</v>
      </c>
      <c r="D328" s="91">
        <v>456.5</v>
      </c>
      <c r="E328" t="s">
        <v>1173</v>
      </c>
    </row>
    <row r="329" spans="1:5">
      <c r="A329" s="88">
        <v>46121</v>
      </c>
      <c r="B329" s="89">
        <v>85940</v>
      </c>
      <c r="C329" s="90" t="s">
        <v>818</v>
      </c>
      <c r="D329" s="91">
        <v>521</v>
      </c>
      <c r="E329" t="s">
        <v>1173</v>
      </c>
    </row>
    <row r="330" spans="1:5">
      <c r="A330" s="88">
        <v>46122</v>
      </c>
      <c r="B330" s="89">
        <v>261969</v>
      </c>
      <c r="C330" s="90" t="s">
        <v>817</v>
      </c>
      <c r="D330" s="91">
        <v>833.02</v>
      </c>
      <c r="E330" t="s">
        <v>1173</v>
      </c>
    </row>
    <row r="331" spans="1:5">
      <c r="A331" s="88">
        <v>46122</v>
      </c>
      <c r="B331" s="89">
        <v>53867</v>
      </c>
      <c r="C331" s="90" t="s">
        <v>878</v>
      </c>
      <c r="D331" s="91">
        <v>8862.7999999999993</v>
      </c>
      <c r="E331" t="s">
        <v>1173</v>
      </c>
    </row>
    <row r="332" spans="1:5">
      <c r="A332" s="88">
        <v>46125</v>
      </c>
      <c r="B332" s="89">
        <v>24238</v>
      </c>
      <c r="C332" s="90" t="s">
        <v>820</v>
      </c>
      <c r="D332" s="91">
        <v>482.07</v>
      </c>
      <c r="E332" t="s">
        <v>1173</v>
      </c>
    </row>
    <row r="333" spans="1:5">
      <c r="A333" s="88">
        <v>46125</v>
      </c>
      <c r="B333" s="89">
        <v>262028</v>
      </c>
      <c r="C333" s="90" t="s">
        <v>817</v>
      </c>
      <c r="D333" s="91">
        <v>1404.11</v>
      </c>
      <c r="E333" t="s">
        <v>1173</v>
      </c>
    </row>
    <row r="334" spans="1:5">
      <c r="A334" s="88">
        <v>46125</v>
      </c>
      <c r="B334" s="89">
        <v>2823</v>
      </c>
      <c r="C334" s="90" t="s">
        <v>825</v>
      </c>
      <c r="D334" s="91">
        <v>1305</v>
      </c>
      <c r="E334" t="s">
        <v>1173</v>
      </c>
    </row>
    <row r="335" spans="1:5">
      <c r="A335" s="88">
        <v>46125</v>
      </c>
      <c r="B335" s="89">
        <v>33283</v>
      </c>
      <c r="C335" s="90" t="s">
        <v>827</v>
      </c>
      <c r="D335" s="91">
        <v>1841</v>
      </c>
      <c r="E335" t="s">
        <v>1173</v>
      </c>
    </row>
    <row r="336" spans="1:5">
      <c r="A336" s="88">
        <v>46125</v>
      </c>
      <c r="B336" s="89">
        <v>499085</v>
      </c>
      <c r="C336" s="90" t="s">
        <v>1400</v>
      </c>
      <c r="D336" s="91">
        <v>6057.13</v>
      </c>
      <c r="E336" t="s">
        <v>1173</v>
      </c>
    </row>
    <row r="337" spans="1:5">
      <c r="A337" s="88">
        <v>46125</v>
      </c>
      <c r="B337" s="89">
        <v>85969</v>
      </c>
      <c r="C337" s="90" t="s">
        <v>818</v>
      </c>
      <c r="D337" s="91">
        <v>556.91</v>
      </c>
      <c r="E337" t="s">
        <v>1173</v>
      </c>
    </row>
    <row r="338" spans="1:5">
      <c r="A338" s="88">
        <v>46126</v>
      </c>
      <c r="B338" s="89">
        <v>262072</v>
      </c>
      <c r="C338" s="90" t="s">
        <v>817</v>
      </c>
      <c r="D338" s="91">
        <v>632.73</v>
      </c>
      <c r="E338" t="s">
        <v>1173</v>
      </c>
    </row>
    <row r="339" spans="1:5">
      <c r="A339" s="88">
        <v>46126</v>
      </c>
      <c r="B339" s="89">
        <v>73323</v>
      </c>
      <c r="C339" s="90" t="s">
        <v>870</v>
      </c>
      <c r="D339" s="91">
        <v>1708.05</v>
      </c>
      <c r="E339" t="s">
        <v>1173</v>
      </c>
    </row>
    <row r="340" spans="1:5">
      <c r="A340" s="88">
        <v>46126</v>
      </c>
      <c r="B340" s="89">
        <v>73324</v>
      </c>
      <c r="C340" s="90" t="s">
        <v>870</v>
      </c>
      <c r="D340" s="91">
        <v>2562.08</v>
      </c>
      <c r="E340" t="s">
        <v>1173</v>
      </c>
    </row>
    <row r="341" spans="1:5">
      <c r="A341" s="88">
        <v>46127</v>
      </c>
      <c r="B341" s="89">
        <v>204293</v>
      </c>
      <c r="C341" s="90" t="s">
        <v>819</v>
      </c>
      <c r="D341" s="91">
        <v>664.56</v>
      </c>
      <c r="E341" t="s">
        <v>1173</v>
      </c>
    </row>
    <row r="342" spans="1:5">
      <c r="A342" s="88">
        <v>46127</v>
      </c>
      <c r="B342" s="89">
        <v>204447</v>
      </c>
      <c r="C342" s="90" t="s">
        <v>819</v>
      </c>
      <c r="D342" s="91">
        <v>577.41</v>
      </c>
      <c r="E342" t="s">
        <v>1173</v>
      </c>
    </row>
    <row r="343" spans="1:5">
      <c r="A343" s="88">
        <v>46127</v>
      </c>
      <c r="B343" s="89">
        <v>262153</v>
      </c>
      <c r="C343" s="90" t="s">
        <v>817</v>
      </c>
      <c r="D343" s="91">
        <v>358.4</v>
      </c>
      <c r="E343" t="s">
        <v>1173</v>
      </c>
    </row>
    <row r="344" spans="1:5">
      <c r="A344" s="88">
        <v>46127</v>
      </c>
      <c r="B344" s="89">
        <v>2837</v>
      </c>
      <c r="C344" s="90" t="s">
        <v>825</v>
      </c>
      <c r="D344" s="91">
        <v>1462.5</v>
      </c>
      <c r="E344" t="s">
        <v>1173</v>
      </c>
    </row>
    <row r="345" spans="1:5">
      <c r="A345" s="88">
        <v>46127</v>
      </c>
      <c r="B345" s="89">
        <v>71306</v>
      </c>
      <c r="C345" s="90" t="s">
        <v>1401</v>
      </c>
      <c r="D345" s="91">
        <v>151.69999999999999</v>
      </c>
      <c r="E345" t="s">
        <v>1173</v>
      </c>
    </row>
    <row r="346" spans="1:5">
      <c r="A346" s="88">
        <v>46127</v>
      </c>
      <c r="B346" s="89">
        <v>76516</v>
      </c>
      <c r="C346" s="90" t="s">
        <v>821</v>
      </c>
      <c r="D346" s="91">
        <v>2795.2</v>
      </c>
      <c r="E346" t="s">
        <v>1173</v>
      </c>
    </row>
    <row r="347" spans="1:5">
      <c r="A347" s="88">
        <v>46128</v>
      </c>
      <c r="B347" s="89">
        <v>1157</v>
      </c>
      <c r="C347" s="90" t="s">
        <v>835</v>
      </c>
      <c r="D347" s="91">
        <v>522</v>
      </c>
      <c r="E347" t="s">
        <v>1173</v>
      </c>
    </row>
    <row r="348" spans="1:5">
      <c r="A348" s="88">
        <v>46128</v>
      </c>
      <c r="B348" s="89">
        <v>1646</v>
      </c>
      <c r="C348" s="90" t="s">
        <v>857</v>
      </c>
      <c r="D348" s="91">
        <v>708</v>
      </c>
      <c r="E348" t="s">
        <v>1173</v>
      </c>
    </row>
    <row r="349" spans="1:5">
      <c r="A349" s="88">
        <v>46128</v>
      </c>
      <c r="B349" s="89">
        <v>18686</v>
      </c>
      <c r="C349" s="90" t="s">
        <v>834</v>
      </c>
      <c r="D349" s="91">
        <v>953.5</v>
      </c>
      <c r="E349" t="s">
        <v>1173</v>
      </c>
    </row>
    <row r="350" spans="1:5">
      <c r="A350" s="88">
        <v>46128</v>
      </c>
      <c r="B350" s="89">
        <v>204452</v>
      </c>
      <c r="C350" s="90" t="s">
        <v>819</v>
      </c>
      <c r="D350" s="91">
        <v>309.75</v>
      </c>
      <c r="E350" t="s">
        <v>1173</v>
      </c>
    </row>
    <row r="351" spans="1:5">
      <c r="A351" s="88">
        <v>46128</v>
      </c>
      <c r="B351" s="89">
        <v>204609</v>
      </c>
      <c r="C351" s="90" t="s">
        <v>819</v>
      </c>
      <c r="D351" s="91">
        <v>522</v>
      </c>
      <c r="E351" t="s">
        <v>1173</v>
      </c>
    </row>
    <row r="352" spans="1:5">
      <c r="A352" s="88">
        <v>46128</v>
      </c>
      <c r="B352" s="89">
        <v>3425</v>
      </c>
      <c r="C352" s="90" t="s">
        <v>854</v>
      </c>
      <c r="D352" s="91">
        <v>191</v>
      </c>
      <c r="E352" t="s">
        <v>1173</v>
      </c>
    </row>
    <row r="353" spans="1:5">
      <c r="A353" s="88">
        <v>46128</v>
      </c>
      <c r="B353" s="89">
        <v>76486</v>
      </c>
      <c r="C353" s="90" t="s">
        <v>821</v>
      </c>
      <c r="D353" s="91">
        <v>640.5</v>
      </c>
      <c r="E353" t="s">
        <v>1173</v>
      </c>
    </row>
    <row r="354" spans="1:5">
      <c r="A354" s="88">
        <v>46128</v>
      </c>
      <c r="B354" s="89">
        <v>9014</v>
      </c>
      <c r="C354" s="90" t="s">
        <v>830</v>
      </c>
      <c r="D354" s="91">
        <v>205</v>
      </c>
      <c r="E354" t="s">
        <v>1173</v>
      </c>
    </row>
    <row r="355" spans="1:5">
      <c r="A355" s="88">
        <v>46129</v>
      </c>
      <c r="B355" s="89">
        <v>1654</v>
      </c>
      <c r="C355" s="90" t="s">
        <v>857</v>
      </c>
      <c r="D355" s="91">
        <v>177</v>
      </c>
      <c r="E355" t="s">
        <v>1173</v>
      </c>
    </row>
    <row r="356" spans="1:5">
      <c r="A356" s="88">
        <v>46129</v>
      </c>
      <c r="B356" s="89">
        <v>262202</v>
      </c>
      <c r="C356" s="90" t="s">
        <v>817</v>
      </c>
      <c r="D356" s="91">
        <v>5669.02</v>
      </c>
      <c r="E356" t="s">
        <v>1173</v>
      </c>
    </row>
    <row r="357" spans="1:5">
      <c r="A357" s="88">
        <v>46129</v>
      </c>
      <c r="B357" s="89">
        <v>4340</v>
      </c>
      <c r="C357" s="90" t="s">
        <v>843</v>
      </c>
      <c r="D357" s="91">
        <v>275</v>
      </c>
      <c r="E357" t="s">
        <v>1173</v>
      </c>
    </row>
    <row r="358" spans="1:5">
      <c r="A358" s="88">
        <v>46129</v>
      </c>
      <c r="B358" s="89">
        <v>76538</v>
      </c>
      <c r="C358" s="90" t="s">
        <v>821</v>
      </c>
      <c r="D358" s="91">
        <v>363</v>
      </c>
      <c r="E358" t="s">
        <v>1173</v>
      </c>
    </row>
    <row r="359" spans="1:5">
      <c r="A359" s="88">
        <v>46132</v>
      </c>
      <c r="B359" s="89">
        <v>204782</v>
      </c>
      <c r="C359" s="90" t="s">
        <v>819</v>
      </c>
      <c r="D359" s="91">
        <v>455.85</v>
      </c>
      <c r="E359" t="s">
        <v>1173</v>
      </c>
    </row>
    <row r="360" spans="1:5">
      <c r="A360" s="88">
        <v>46132</v>
      </c>
      <c r="B360" s="89">
        <v>270226</v>
      </c>
      <c r="C360" s="90" t="s">
        <v>826</v>
      </c>
      <c r="D360" s="91">
        <v>520</v>
      </c>
      <c r="E360" t="s">
        <v>1173</v>
      </c>
    </row>
    <row r="361" spans="1:5">
      <c r="A361" s="88">
        <v>46132</v>
      </c>
      <c r="B361" s="89">
        <v>86021</v>
      </c>
      <c r="C361" s="90" t="s">
        <v>818</v>
      </c>
      <c r="D361" s="91">
        <v>341.18</v>
      </c>
      <c r="E361" t="s">
        <v>1173</v>
      </c>
    </row>
    <row r="362" spans="1:5">
      <c r="A362" s="88">
        <v>46134</v>
      </c>
      <c r="B362" s="89">
        <v>262436</v>
      </c>
      <c r="C362" s="90" t="s">
        <v>817</v>
      </c>
      <c r="D362" s="91">
        <v>12179.77</v>
      </c>
      <c r="E362" t="s">
        <v>1173</v>
      </c>
    </row>
    <row r="363" spans="1:5">
      <c r="A363" s="88">
        <v>46135</v>
      </c>
      <c r="B363" s="89">
        <v>18776</v>
      </c>
      <c r="C363" s="90" t="s">
        <v>834</v>
      </c>
      <c r="D363" s="91">
        <v>212</v>
      </c>
      <c r="E363" t="s">
        <v>1173</v>
      </c>
    </row>
    <row r="364" spans="1:5">
      <c r="A364" s="88">
        <v>46135</v>
      </c>
      <c r="B364" s="89">
        <v>4352</v>
      </c>
      <c r="C364" s="90" t="s">
        <v>843</v>
      </c>
      <c r="D364" s="91">
        <v>500</v>
      </c>
      <c r="E364" t="s">
        <v>1173</v>
      </c>
    </row>
    <row r="365" spans="1:5">
      <c r="A365" s="88">
        <v>46136</v>
      </c>
      <c r="B365" s="89">
        <v>1328</v>
      </c>
      <c r="C365" s="90" t="s">
        <v>835</v>
      </c>
      <c r="D365" s="91">
        <v>400</v>
      </c>
      <c r="E365" t="s">
        <v>1173</v>
      </c>
    </row>
    <row r="366" spans="1:5">
      <c r="A366" s="88">
        <v>46136</v>
      </c>
      <c r="B366" s="89">
        <v>17180</v>
      </c>
      <c r="C366" s="90" t="s">
        <v>816</v>
      </c>
      <c r="D366" s="91">
        <v>784.07</v>
      </c>
      <c r="E366" t="s">
        <v>1173</v>
      </c>
    </row>
    <row r="367" spans="1:5">
      <c r="A367" s="88">
        <v>46136</v>
      </c>
      <c r="B367" s="89">
        <v>18783</v>
      </c>
      <c r="C367" s="90" t="s">
        <v>834</v>
      </c>
      <c r="D367" s="91">
        <v>757.9</v>
      </c>
      <c r="E367" t="s">
        <v>1173</v>
      </c>
    </row>
    <row r="368" spans="1:5">
      <c r="A368" s="88">
        <v>46136</v>
      </c>
      <c r="B368" s="89">
        <v>262543</v>
      </c>
      <c r="C368" s="90" t="s">
        <v>817</v>
      </c>
      <c r="D368" s="91">
        <v>1462.47</v>
      </c>
      <c r="E368" t="s">
        <v>1173</v>
      </c>
    </row>
    <row r="369" spans="1:5">
      <c r="A369" s="88">
        <v>46136</v>
      </c>
      <c r="B369" s="89">
        <v>262620</v>
      </c>
      <c r="C369" s="90" t="s">
        <v>817</v>
      </c>
      <c r="D369" s="91">
        <v>396.92</v>
      </c>
      <c r="E369" t="s">
        <v>1173</v>
      </c>
    </row>
    <row r="370" spans="1:5">
      <c r="A370" s="88">
        <v>46136</v>
      </c>
      <c r="B370" s="89">
        <v>76603</v>
      </c>
      <c r="C370" s="90" t="s">
        <v>821</v>
      </c>
      <c r="D370" s="91">
        <v>725.8</v>
      </c>
      <c r="E370" t="s">
        <v>1173</v>
      </c>
    </row>
    <row r="371" spans="1:5">
      <c r="A371" s="88">
        <v>46136</v>
      </c>
      <c r="B371" s="89">
        <v>76624</v>
      </c>
      <c r="C371" s="90" t="s">
        <v>821</v>
      </c>
      <c r="D371" s="91">
        <v>618.20000000000005</v>
      </c>
      <c r="E371" t="s">
        <v>1173</v>
      </c>
    </row>
    <row r="372" spans="1:5">
      <c r="A372" s="88">
        <v>46136</v>
      </c>
      <c r="B372" s="89">
        <v>9033</v>
      </c>
      <c r="C372" s="90" t="s">
        <v>830</v>
      </c>
      <c r="D372" s="91">
        <v>549</v>
      </c>
      <c r="E372" t="s">
        <v>1173</v>
      </c>
    </row>
    <row r="373" spans="1:5">
      <c r="A373" s="88">
        <v>46136</v>
      </c>
      <c r="B373" s="89">
        <v>90420</v>
      </c>
      <c r="C373" s="90" t="s">
        <v>822</v>
      </c>
      <c r="D373" s="91">
        <v>450</v>
      </c>
      <c r="E373" t="s">
        <v>1173</v>
      </c>
    </row>
    <row r="374" spans="1:5">
      <c r="A374" s="88">
        <v>46140</v>
      </c>
      <c r="B374" s="89">
        <v>116898</v>
      </c>
      <c r="C374" s="90" t="s">
        <v>824</v>
      </c>
      <c r="D374" s="91">
        <v>10.5</v>
      </c>
      <c r="E374" t="s">
        <v>1173</v>
      </c>
    </row>
    <row r="375" spans="1:5">
      <c r="A375" s="88">
        <v>46140</v>
      </c>
      <c r="B375" s="89">
        <v>1439</v>
      </c>
      <c r="C375" s="90" t="s">
        <v>845</v>
      </c>
      <c r="D375" s="91">
        <v>371.46</v>
      </c>
      <c r="E375" t="s">
        <v>1173</v>
      </c>
    </row>
    <row r="376" spans="1:5">
      <c r="A376" s="88">
        <v>46140</v>
      </c>
      <c r="B376" s="89">
        <v>205173</v>
      </c>
      <c r="C376" s="90" t="s">
        <v>819</v>
      </c>
      <c r="D376" s="91">
        <v>734.4</v>
      </c>
      <c r="E376" t="s">
        <v>1173</v>
      </c>
    </row>
    <row r="377" spans="1:5">
      <c r="A377" s="88">
        <v>46140</v>
      </c>
      <c r="B377" s="89">
        <v>262685</v>
      </c>
      <c r="C377" s="90" t="s">
        <v>817</v>
      </c>
      <c r="D377" s="91">
        <v>671.95</v>
      </c>
      <c r="E377" t="s">
        <v>1173</v>
      </c>
    </row>
    <row r="378" spans="1:5">
      <c r="A378" s="88">
        <v>46140</v>
      </c>
      <c r="B378" s="89">
        <v>30894</v>
      </c>
      <c r="C378" s="90" t="s">
        <v>1402</v>
      </c>
      <c r="D378" s="91">
        <v>216</v>
      </c>
      <c r="E378" t="s">
        <v>1173</v>
      </c>
    </row>
    <row r="379" spans="1:5">
      <c r="A379" s="88">
        <v>46140</v>
      </c>
      <c r="B379" s="89">
        <v>53911</v>
      </c>
      <c r="C379" s="90" t="s">
        <v>878</v>
      </c>
      <c r="D379" s="91">
        <v>1087.3699999999999</v>
      </c>
      <c r="E379" t="s">
        <v>1173</v>
      </c>
    </row>
    <row r="380" spans="1:5">
      <c r="A380" s="88">
        <v>46140</v>
      </c>
      <c r="B380" s="89">
        <v>86140</v>
      </c>
      <c r="C380" s="90" t="s">
        <v>818</v>
      </c>
      <c r="D380" s="91">
        <v>499.7</v>
      </c>
      <c r="E380" t="s">
        <v>1173</v>
      </c>
    </row>
    <row r="381" spans="1:5">
      <c r="A381" s="88">
        <v>46141</v>
      </c>
      <c r="B381" s="89">
        <v>131244</v>
      </c>
      <c r="C381" s="90" t="s">
        <v>852</v>
      </c>
      <c r="D381" s="91">
        <v>111</v>
      </c>
      <c r="E381" t="s">
        <v>1173</v>
      </c>
    </row>
    <row r="382" spans="1:5">
      <c r="A382" s="88">
        <v>46141</v>
      </c>
      <c r="B382" s="89">
        <v>18880</v>
      </c>
      <c r="C382" s="90" t="s">
        <v>834</v>
      </c>
      <c r="D382" s="91">
        <v>23.85</v>
      </c>
      <c r="E382" t="s">
        <v>1173</v>
      </c>
    </row>
    <row r="383" spans="1:5">
      <c r="A383" s="88">
        <v>46141</v>
      </c>
      <c r="B383" s="89">
        <v>205459</v>
      </c>
      <c r="C383" s="90" t="s">
        <v>819</v>
      </c>
      <c r="D383" s="91">
        <v>164.17</v>
      </c>
      <c r="E383" t="s">
        <v>1173</v>
      </c>
    </row>
    <row r="384" spans="1:5">
      <c r="A384" s="88">
        <v>46141</v>
      </c>
      <c r="B384" s="89">
        <v>24345</v>
      </c>
      <c r="C384" s="90" t="s">
        <v>820</v>
      </c>
      <c r="D384" s="91">
        <v>290</v>
      </c>
      <c r="E384" t="s">
        <v>1173</v>
      </c>
    </row>
    <row r="385" spans="1:5">
      <c r="A385" s="88">
        <v>46141</v>
      </c>
      <c r="B385" s="89">
        <v>2885</v>
      </c>
      <c r="C385" s="90" t="s">
        <v>825</v>
      </c>
      <c r="D385" s="91">
        <v>342</v>
      </c>
      <c r="E385" t="s">
        <v>1173</v>
      </c>
    </row>
    <row r="386" spans="1:5">
      <c r="A386" s="88">
        <v>46141</v>
      </c>
      <c r="B386" s="89">
        <v>5561</v>
      </c>
      <c r="C386" s="90" t="s">
        <v>869</v>
      </c>
      <c r="D386" s="91">
        <v>899</v>
      </c>
      <c r="E386" t="s">
        <v>1173</v>
      </c>
    </row>
    <row r="387" spans="1:5">
      <c r="A387" s="88">
        <v>46141</v>
      </c>
      <c r="B387" s="89">
        <v>68650</v>
      </c>
      <c r="C387" s="90" t="s">
        <v>836</v>
      </c>
      <c r="D387" s="91">
        <v>479.6</v>
      </c>
      <c r="E387" t="s">
        <v>1173</v>
      </c>
    </row>
    <row r="388" spans="1:5">
      <c r="A388" s="88">
        <v>46141</v>
      </c>
      <c r="B388" s="89">
        <v>9049</v>
      </c>
      <c r="C388" s="90" t="s">
        <v>830</v>
      </c>
      <c r="D388" s="91">
        <v>307</v>
      </c>
      <c r="E388" t="s">
        <v>1173</v>
      </c>
    </row>
    <row r="389" spans="1:5">
      <c r="A389" s="88">
        <v>46142</v>
      </c>
      <c r="B389" s="89">
        <v>205522</v>
      </c>
      <c r="C389" s="90" t="s">
        <v>819</v>
      </c>
      <c r="D389" s="91">
        <v>1112.28</v>
      </c>
      <c r="E389" t="s">
        <v>1173</v>
      </c>
    </row>
    <row r="390" spans="1:5">
      <c r="A390" s="88">
        <v>46142</v>
      </c>
      <c r="B390" s="89">
        <v>25257</v>
      </c>
      <c r="C390" s="90" t="s">
        <v>1403</v>
      </c>
      <c r="D390" s="91">
        <v>1924.38</v>
      </c>
      <c r="E390" t="s">
        <v>1173</v>
      </c>
    </row>
    <row r="391" spans="1:5">
      <c r="A391" s="88">
        <v>46142</v>
      </c>
      <c r="B391" s="89">
        <v>262847</v>
      </c>
      <c r="C391" s="90" t="s">
        <v>817</v>
      </c>
      <c r="D391" s="91">
        <v>1005.54</v>
      </c>
      <c r="E391" t="s">
        <v>1173</v>
      </c>
    </row>
    <row r="392" spans="1:5">
      <c r="A392" s="88">
        <v>46142</v>
      </c>
      <c r="B392" s="89">
        <v>68743</v>
      </c>
      <c r="C392" s="90" t="s">
        <v>836</v>
      </c>
      <c r="D392" s="91">
        <v>243.8</v>
      </c>
      <c r="E392" t="s">
        <v>1173</v>
      </c>
    </row>
    <row r="393" spans="1:5">
      <c r="A393" s="88">
        <v>46142</v>
      </c>
      <c r="B393" s="89">
        <v>76696</v>
      </c>
      <c r="C393" s="90" t="s">
        <v>821</v>
      </c>
      <c r="D393" s="91">
        <v>1032.5</v>
      </c>
      <c r="E393" t="s">
        <v>1173</v>
      </c>
    </row>
    <row r="394" spans="1:5">
      <c r="A394" s="88">
        <v>46142</v>
      </c>
      <c r="B394" s="89">
        <v>909</v>
      </c>
      <c r="C394" s="90" t="s">
        <v>1404</v>
      </c>
      <c r="D394" s="91">
        <v>288</v>
      </c>
      <c r="E394" t="s">
        <v>1173</v>
      </c>
    </row>
    <row r="395" spans="1:5">
      <c r="A395" s="88">
        <v>46141</v>
      </c>
      <c r="B395" s="89">
        <v>72685</v>
      </c>
      <c r="C395" s="90" t="s">
        <v>1405</v>
      </c>
      <c r="D395" s="312">
        <v>1999.4</v>
      </c>
      <c r="E395" t="s">
        <v>1173</v>
      </c>
    </row>
    <row r="396" spans="1:5">
      <c r="A396" s="88">
        <v>46146</v>
      </c>
      <c r="B396" s="89">
        <v>116987</v>
      </c>
      <c r="C396" s="90" t="s">
        <v>824</v>
      </c>
      <c r="D396" s="91">
        <v>200</v>
      </c>
      <c r="E396" t="s">
        <v>1482</v>
      </c>
    </row>
    <row r="397" spans="1:5">
      <c r="A397" s="88">
        <v>46146</v>
      </c>
      <c r="B397" s="89">
        <v>72685</v>
      </c>
      <c r="C397" s="90" t="s">
        <v>1469</v>
      </c>
      <c r="D397" s="91">
        <v>1999.4</v>
      </c>
      <c r="E397" t="s">
        <v>1482</v>
      </c>
    </row>
    <row r="398" spans="1:5">
      <c r="A398" s="88">
        <v>46147</v>
      </c>
      <c r="B398" s="89">
        <v>159</v>
      </c>
      <c r="C398" s="90" t="s">
        <v>1470</v>
      </c>
      <c r="D398" s="91">
        <v>190</v>
      </c>
      <c r="E398" t="s">
        <v>1482</v>
      </c>
    </row>
    <row r="399" spans="1:5">
      <c r="A399" s="88">
        <v>46147</v>
      </c>
      <c r="B399" s="89">
        <v>17202</v>
      </c>
      <c r="C399" s="90" t="s">
        <v>816</v>
      </c>
      <c r="D399" s="91">
        <v>535.54</v>
      </c>
      <c r="E399" t="s">
        <v>1482</v>
      </c>
    </row>
    <row r="400" spans="1:5">
      <c r="A400" s="88">
        <v>46147</v>
      </c>
      <c r="B400" s="89">
        <v>2516</v>
      </c>
      <c r="C400" s="90" t="s">
        <v>895</v>
      </c>
      <c r="D400" s="91">
        <v>1950</v>
      </c>
      <c r="E400" t="s">
        <v>1482</v>
      </c>
    </row>
    <row r="401" spans="1:5">
      <c r="A401" s="88">
        <v>46147</v>
      </c>
      <c r="B401" s="89">
        <v>76719</v>
      </c>
      <c r="C401" s="90" t="s">
        <v>821</v>
      </c>
      <c r="D401" s="91">
        <v>660</v>
      </c>
      <c r="E401" t="s">
        <v>1482</v>
      </c>
    </row>
    <row r="402" spans="1:5">
      <c r="A402" s="88">
        <v>46149</v>
      </c>
      <c r="B402" s="89">
        <v>149784</v>
      </c>
      <c r="C402" s="90" t="s">
        <v>839</v>
      </c>
      <c r="D402" s="91">
        <v>342.41</v>
      </c>
      <c r="E402" t="s">
        <v>1482</v>
      </c>
    </row>
    <row r="403" spans="1:5">
      <c r="A403" s="88">
        <v>46149</v>
      </c>
      <c r="B403" s="89">
        <v>24014</v>
      </c>
      <c r="C403" s="90" t="s">
        <v>850</v>
      </c>
      <c r="D403" s="91">
        <v>3009</v>
      </c>
      <c r="E403" t="s">
        <v>1482</v>
      </c>
    </row>
    <row r="404" spans="1:5">
      <c r="A404" s="88">
        <v>46149</v>
      </c>
      <c r="B404" s="89">
        <v>263062</v>
      </c>
      <c r="C404" s="90" t="s">
        <v>817</v>
      </c>
      <c r="D404" s="91">
        <v>442.85</v>
      </c>
      <c r="E404" t="s">
        <v>1482</v>
      </c>
    </row>
    <row r="405" spans="1:5">
      <c r="A405" s="88">
        <v>46149</v>
      </c>
      <c r="B405" s="89">
        <v>3581</v>
      </c>
      <c r="C405" s="90" t="s">
        <v>854</v>
      </c>
      <c r="D405" s="91">
        <v>198</v>
      </c>
      <c r="E405" t="s">
        <v>1482</v>
      </c>
    </row>
    <row r="406" spans="1:5">
      <c r="A406" s="88">
        <v>46149</v>
      </c>
      <c r="B406" s="89">
        <v>44955</v>
      </c>
      <c r="C406" s="90" t="s">
        <v>858</v>
      </c>
      <c r="D406" s="91">
        <v>676</v>
      </c>
      <c r="E406" t="s">
        <v>1482</v>
      </c>
    </row>
    <row r="407" spans="1:5">
      <c r="A407" s="88">
        <v>46149</v>
      </c>
      <c r="B407" s="89">
        <v>76734</v>
      </c>
      <c r="C407" s="90" t="s">
        <v>821</v>
      </c>
      <c r="D407" s="91">
        <v>836</v>
      </c>
      <c r="E407" t="s">
        <v>1482</v>
      </c>
    </row>
    <row r="408" spans="1:5">
      <c r="A408" s="88">
        <v>46150</v>
      </c>
      <c r="B408" s="89">
        <v>117019</v>
      </c>
      <c r="C408" s="90" t="s">
        <v>824</v>
      </c>
      <c r="D408" s="91">
        <v>250</v>
      </c>
      <c r="E408" t="s">
        <v>1482</v>
      </c>
    </row>
    <row r="409" spans="1:5">
      <c r="A409" s="88">
        <v>46150</v>
      </c>
      <c r="B409" s="89">
        <v>154400</v>
      </c>
      <c r="C409" s="90" t="s">
        <v>875</v>
      </c>
      <c r="D409" s="91">
        <v>1740.09</v>
      </c>
      <c r="E409" t="s">
        <v>1482</v>
      </c>
    </row>
    <row r="410" spans="1:5">
      <c r="A410" s="88">
        <v>46150</v>
      </c>
      <c r="B410" s="89">
        <v>205790</v>
      </c>
      <c r="C410" s="90" t="s">
        <v>819</v>
      </c>
      <c r="D410" s="91">
        <v>720</v>
      </c>
      <c r="E410" t="s">
        <v>1482</v>
      </c>
    </row>
    <row r="411" spans="1:5">
      <c r="A411" s="88">
        <v>46150</v>
      </c>
      <c r="B411" s="89">
        <v>205803</v>
      </c>
      <c r="C411" s="90" t="s">
        <v>819</v>
      </c>
      <c r="D411" s="91">
        <v>277.8</v>
      </c>
      <c r="E411" t="s">
        <v>1482</v>
      </c>
    </row>
    <row r="412" spans="1:5">
      <c r="A412" s="88">
        <v>46150</v>
      </c>
      <c r="B412" s="89">
        <v>262971</v>
      </c>
      <c r="C412" s="90" t="s">
        <v>817</v>
      </c>
      <c r="D412" s="91">
        <v>987.42</v>
      </c>
      <c r="E412" t="s">
        <v>1482</v>
      </c>
    </row>
    <row r="413" spans="1:5">
      <c r="A413" s="88">
        <v>46150</v>
      </c>
      <c r="B413" s="89">
        <v>4393</v>
      </c>
      <c r="C413" s="90" t="s">
        <v>843</v>
      </c>
      <c r="D413" s="91">
        <v>364</v>
      </c>
      <c r="E413" t="s">
        <v>1482</v>
      </c>
    </row>
    <row r="414" spans="1:5">
      <c r="A414" s="88">
        <v>46150</v>
      </c>
      <c r="B414" s="89">
        <v>921</v>
      </c>
      <c r="C414" s="90" t="s">
        <v>1404</v>
      </c>
      <c r="D414" s="91">
        <v>236.25</v>
      </c>
      <c r="E414" t="s">
        <v>1482</v>
      </c>
    </row>
    <row r="415" spans="1:5">
      <c r="A415" s="88">
        <v>46153</v>
      </c>
      <c r="B415" s="89">
        <v>25280</v>
      </c>
      <c r="C415" s="90" t="s">
        <v>1403</v>
      </c>
      <c r="D415" s="91">
        <v>1893.01</v>
      </c>
      <c r="E415" t="s">
        <v>1482</v>
      </c>
    </row>
    <row r="416" spans="1:5">
      <c r="A416" s="88">
        <v>46153</v>
      </c>
      <c r="B416" s="89">
        <v>90996</v>
      </c>
      <c r="C416" s="90" t="s">
        <v>822</v>
      </c>
      <c r="D416" s="91">
        <v>208</v>
      </c>
      <c r="E416" t="s">
        <v>1482</v>
      </c>
    </row>
    <row r="417" spans="1:5">
      <c r="A417" s="88">
        <v>46154</v>
      </c>
      <c r="B417" s="89">
        <v>19050</v>
      </c>
      <c r="C417" s="90" t="s">
        <v>1471</v>
      </c>
      <c r="D417" s="91">
        <v>204</v>
      </c>
      <c r="E417" t="s">
        <v>1482</v>
      </c>
    </row>
    <row r="418" spans="1:5">
      <c r="A418" s="88">
        <v>46154</v>
      </c>
      <c r="B418" s="89">
        <v>205938</v>
      </c>
      <c r="C418" s="90" t="s">
        <v>819</v>
      </c>
      <c r="D418" s="91">
        <v>249.21</v>
      </c>
      <c r="E418" t="s">
        <v>1482</v>
      </c>
    </row>
    <row r="419" spans="1:5">
      <c r="A419" s="88">
        <v>46154</v>
      </c>
      <c r="B419" s="89">
        <v>206154</v>
      </c>
      <c r="C419" s="90" t="s">
        <v>819</v>
      </c>
      <c r="D419" s="91">
        <v>657.7</v>
      </c>
      <c r="E419" t="s">
        <v>1482</v>
      </c>
    </row>
    <row r="420" spans="1:5">
      <c r="A420" s="88">
        <v>46154</v>
      </c>
      <c r="B420" s="89">
        <v>206275</v>
      </c>
      <c r="C420" s="90" t="s">
        <v>819</v>
      </c>
      <c r="D420" s="91">
        <v>387.39</v>
      </c>
      <c r="E420" t="s">
        <v>1482</v>
      </c>
    </row>
    <row r="421" spans="1:5">
      <c r="A421" s="88">
        <v>46154</v>
      </c>
      <c r="B421" s="89">
        <v>2099</v>
      </c>
      <c r="C421" s="90" t="s">
        <v>1472</v>
      </c>
      <c r="D421" s="91">
        <v>1091.99</v>
      </c>
      <c r="E421" t="s">
        <v>1482</v>
      </c>
    </row>
    <row r="422" spans="1:5">
      <c r="A422" s="88">
        <v>46154</v>
      </c>
      <c r="B422" s="89">
        <v>24415</v>
      </c>
      <c r="C422" s="90" t="s">
        <v>820</v>
      </c>
      <c r="D422" s="91">
        <v>290</v>
      </c>
      <c r="E422" t="s">
        <v>1482</v>
      </c>
    </row>
    <row r="423" spans="1:5">
      <c r="A423" s="88">
        <v>46154</v>
      </c>
      <c r="B423" s="89">
        <v>270949</v>
      </c>
      <c r="C423" s="90" t="s">
        <v>826</v>
      </c>
      <c r="D423" s="91">
        <v>520</v>
      </c>
      <c r="E423" t="s">
        <v>1482</v>
      </c>
    </row>
    <row r="424" spans="1:5">
      <c r="A424" s="88">
        <v>46154</v>
      </c>
      <c r="B424" s="89">
        <v>4417</v>
      </c>
      <c r="C424" s="90" t="s">
        <v>843</v>
      </c>
      <c r="D424" s="91">
        <v>1115</v>
      </c>
      <c r="E424" t="s">
        <v>1482</v>
      </c>
    </row>
    <row r="425" spans="1:5">
      <c r="A425" s="88">
        <v>46154</v>
      </c>
      <c r="B425" s="89">
        <v>5753</v>
      </c>
      <c r="C425" s="90" t="s">
        <v>844</v>
      </c>
      <c r="D425" s="91">
        <v>1143.7</v>
      </c>
      <c r="E425" t="s">
        <v>1482</v>
      </c>
    </row>
    <row r="426" spans="1:5">
      <c r="A426" s="88">
        <v>46154</v>
      </c>
      <c r="B426" s="89">
        <v>68880</v>
      </c>
      <c r="C426" s="90" t="s">
        <v>836</v>
      </c>
      <c r="D426" s="91">
        <v>328.6</v>
      </c>
      <c r="E426" t="s">
        <v>1482</v>
      </c>
    </row>
    <row r="427" spans="1:5">
      <c r="A427" s="88">
        <v>46154</v>
      </c>
      <c r="B427" s="89">
        <v>76756</v>
      </c>
      <c r="C427" s="90" t="s">
        <v>821</v>
      </c>
      <c r="D427" s="91">
        <v>258</v>
      </c>
      <c r="E427" t="s">
        <v>1482</v>
      </c>
    </row>
    <row r="428" spans="1:5">
      <c r="A428" s="88">
        <v>46154</v>
      </c>
      <c r="B428" s="89">
        <v>86367</v>
      </c>
      <c r="C428" s="90" t="s">
        <v>818</v>
      </c>
      <c r="D428" s="91">
        <v>85.73</v>
      </c>
      <c r="E428" t="s">
        <v>1482</v>
      </c>
    </row>
    <row r="429" spans="1:5">
      <c r="A429" s="88">
        <v>46154</v>
      </c>
      <c r="B429" s="89">
        <v>91103</v>
      </c>
      <c r="C429" s="90" t="s">
        <v>822</v>
      </c>
      <c r="D429" s="91">
        <v>320</v>
      </c>
      <c r="E429" t="s">
        <v>1482</v>
      </c>
    </row>
    <row r="430" spans="1:5">
      <c r="A430" s="88">
        <v>46155</v>
      </c>
      <c r="B430" s="89">
        <v>14985</v>
      </c>
      <c r="C430" s="90" t="s">
        <v>1473</v>
      </c>
      <c r="D430" s="91">
        <v>49</v>
      </c>
      <c r="E430" t="s">
        <v>1482</v>
      </c>
    </row>
    <row r="431" spans="1:5">
      <c r="A431" s="88">
        <v>46155</v>
      </c>
      <c r="B431" s="89">
        <v>17219</v>
      </c>
      <c r="C431" s="90" t="s">
        <v>816</v>
      </c>
      <c r="D431" s="91">
        <v>1652.68</v>
      </c>
      <c r="E431" t="s">
        <v>1482</v>
      </c>
    </row>
    <row r="432" spans="1:5">
      <c r="A432" s="88">
        <v>46155</v>
      </c>
      <c r="B432" s="89">
        <v>22444</v>
      </c>
      <c r="C432" s="90" t="s">
        <v>1474</v>
      </c>
      <c r="D432" s="91">
        <v>888.01</v>
      </c>
      <c r="E432" t="s">
        <v>1482</v>
      </c>
    </row>
    <row r="433" spans="1:5">
      <c r="A433" s="88">
        <v>46155</v>
      </c>
      <c r="B433" s="89">
        <v>263221</v>
      </c>
      <c r="C433" s="90" t="s">
        <v>817</v>
      </c>
      <c r="D433" s="91">
        <v>1096.0999999999999</v>
      </c>
      <c r="E433" t="s">
        <v>1482</v>
      </c>
    </row>
    <row r="434" spans="1:5">
      <c r="A434" s="88">
        <v>46155</v>
      </c>
      <c r="B434" s="89">
        <v>3957</v>
      </c>
      <c r="C434" s="90" t="s">
        <v>840</v>
      </c>
      <c r="D434" s="91">
        <v>104</v>
      </c>
      <c r="E434" t="s">
        <v>1482</v>
      </c>
    </row>
    <row r="435" spans="1:5">
      <c r="A435" s="88">
        <v>46155</v>
      </c>
      <c r="B435" s="89">
        <v>4428</v>
      </c>
      <c r="C435" s="90" t="s">
        <v>843</v>
      </c>
      <c r="D435" s="91">
        <v>823.5</v>
      </c>
      <c r="E435" t="s">
        <v>1482</v>
      </c>
    </row>
    <row r="436" spans="1:5">
      <c r="A436" s="88">
        <v>46155</v>
      </c>
      <c r="B436" s="89">
        <v>68902</v>
      </c>
      <c r="C436" s="90" t="s">
        <v>836</v>
      </c>
      <c r="D436" s="91">
        <v>797.6</v>
      </c>
      <c r="E436" t="s">
        <v>1482</v>
      </c>
    </row>
    <row r="437" spans="1:5">
      <c r="A437" s="88">
        <v>46155</v>
      </c>
      <c r="B437" s="89">
        <v>76780</v>
      </c>
      <c r="C437" s="90" t="s">
        <v>821</v>
      </c>
      <c r="D437" s="91">
        <v>339.64</v>
      </c>
      <c r="E437" t="s">
        <v>1482</v>
      </c>
    </row>
    <row r="438" spans="1:5">
      <c r="A438" s="88">
        <v>46155</v>
      </c>
      <c r="B438" s="89">
        <v>76795</v>
      </c>
      <c r="C438" s="90" t="s">
        <v>821</v>
      </c>
      <c r="D438" s="91">
        <v>1998.2</v>
      </c>
      <c r="E438" t="s">
        <v>1482</v>
      </c>
    </row>
    <row r="439" spans="1:5">
      <c r="A439" s="88">
        <v>46155</v>
      </c>
      <c r="B439" s="89">
        <v>86397</v>
      </c>
      <c r="C439" s="90" t="s">
        <v>818</v>
      </c>
      <c r="D439" s="91">
        <v>1060.74</v>
      </c>
      <c r="E439" t="s">
        <v>1482</v>
      </c>
    </row>
    <row r="440" spans="1:5">
      <c r="A440" s="88">
        <v>46156</v>
      </c>
      <c r="B440" s="89">
        <v>12055</v>
      </c>
      <c r="C440" s="90" t="s">
        <v>1475</v>
      </c>
      <c r="D440" s="91">
        <v>53.98</v>
      </c>
      <c r="E440" t="s">
        <v>1482</v>
      </c>
    </row>
    <row r="441" spans="1:5">
      <c r="A441" s="88">
        <v>46156</v>
      </c>
      <c r="B441" s="89">
        <v>12535</v>
      </c>
      <c r="C441" s="90" t="s">
        <v>1476</v>
      </c>
      <c r="D441" s="91">
        <v>26.99</v>
      </c>
      <c r="E441" t="s">
        <v>1482</v>
      </c>
    </row>
    <row r="442" spans="1:5">
      <c r="A442" s="88">
        <v>46156</v>
      </c>
      <c r="B442" s="89">
        <v>1750</v>
      </c>
      <c r="C442" s="90" t="s">
        <v>833</v>
      </c>
      <c r="D442" s="91">
        <v>1784.82</v>
      </c>
      <c r="E442" t="s">
        <v>1482</v>
      </c>
    </row>
    <row r="443" spans="1:5">
      <c r="A443" s="88">
        <v>46156</v>
      </c>
      <c r="B443" s="89">
        <v>965</v>
      </c>
      <c r="C443" s="90" t="s">
        <v>1404</v>
      </c>
      <c r="D443" s="91">
        <v>567</v>
      </c>
      <c r="E443" t="s">
        <v>1482</v>
      </c>
    </row>
    <row r="444" spans="1:5">
      <c r="A444" s="88">
        <v>46157</v>
      </c>
      <c r="B444" s="89">
        <v>16266</v>
      </c>
      <c r="C444" s="90" t="s">
        <v>1399</v>
      </c>
      <c r="D444" s="91">
        <v>342</v>
      </c>
      <c r="E444" t="s">
        <v>1482</v>
      </c>
    </row>
    <row r="445" spans="1:5">
      <c r="A445" s="88">
        <v>46157</v>
      </c>
      <c r="B445" s="89">
        <v>19108</v>
      </c>
      <c r="C445" s="90" t="s">
        <v>834</v>
      </c>
      <c r="D445" s="91">
        <v>1496.72</v>
      </c>
      <c r="E445" t="s">
        <v>1482</v>
      </c>
    </row>
    <row r="446" spans="1:5">
      <c r="A446" s="88">
        <v>46157</v>
      </c>
      <c r="B446" s="89">
        <v>76818</v>
      </c>
      <c r="C446" s="90" t="s">
        <v>821</v>
      </c>
      <c r="D446" s="91">
        <v>1333</v>
      </c>
      <c r="E446" t="s">
        <v>1482</v>
      </c>
    </row>
    <row r="447" spans="1:5">
      <c r="A447" s="88">
        <v>46160</v>
      </c>
      <c r="B447" s="89">
        <v>1605</v>
      </c>
      <c r="C447" s="90" t="s">
        <v>1477</v>
      </c>
      <c r="D447" s="91">
        <v>1300.05</v>
      </c>
      <c r="E447" t="s">
        <v>1482</v>
      </c>
    </row>
    <row r="448" spans="1:5">
      <c r="A448" s="88">
        <v>46160</v>
      </c>
      <c r="B448" s="89">
        <v>24484</v>
      </c>
      <c r="C448" s="90" t="s">
        <v>820</v>
      </c>
      <c r="D448" s="91">
        <v>436</v>
      </c>
      <c r="E448" t="s">
        <v>1482</v>
      </c>
    </row>
    <row r="449" spans="1:5">
      <c r="A449" s="88">
        <v>46160</v>
      </c>
      <c r="B449" s="89">
        <v>263393</v>
      </c>
      <c r="C449" s="90" t="s">
        <v>817</v>
      </c>
      <c r="D449" s="91">
        <v>633.98</v>
      </c>
      <c r="E449" t="s">
        <v>1482</v>
      </c>
    </row>
    <row r="450" spans="1:5">
      <c r="A450" s="88">
        <v>46160</v>
      </c>
      <c r="B450" s="89">
        <v>263415</v>
      </c>
      <c r="C450" s="90" t="s">
        <v>817</v>
      </c>
      <c r="D450" s="91">
        <v>439.59</v>
      </c>
      <c r="E450" t="s">
        <v>1482</v>
      </c>
    </row>
    <row r="451" spans="1:5">
      <c r="A451" s="88">
        <v>46160</v>
      </c>
      <c r="B451" s="89">
        <v>33663</v>
      </c>
      <c r="C451" s="90" t="s">
        <v>827</v>
      </c>
      <c r="D451" s="91">
        <v>320</v>
      </c>
      <c r="E451" t="s">
        <v>1482</v>
      </c>
    </row>
    <row r="452" spans="1:5">
      <c r="A452" s="88">
        <v>46160</v>
      </c>
      <c r="B452" s="89">
        <v>33765</v>
      </c>
      <c r="C452" s="90" t="s">
        <v>855</v>
      </c>
      <c r="D452" s="91">
        <v>1003.74</v>
      </c>
      <c r="E452" t="s">
        <v>1482</v>
      </c>
    </row>
    <row r="453" spans="1:5">
      <c r="A453" s="88">
        <v>46160</v>
      </c>
      <c r="B453" s="89">
        <v>86427</v>
      </c>
      <c r="C453" s="90" t="s">
        <v>818</v>
      </c>
      <c r="D453" s="91">
        <v>1226</v>
      </c>
      <c r="E453" t="s">
        <v>1482</v>
      </c>
    </row>
    <row r="454" spans="1:5">
      <c r="A454" s="88">
        <v>46160</v>
      </c>
      <c r="B454" s="89">
        <v>86444</v>
      </c>
      <c r="C454" s="90" t="s">
        <v>818</v>
      </c>
      <c r="D454" s="91">
        <v>852</v>
      </c>
      <c r="E454" t="s">
        <v>1482</v>
      </c>
    </row>
    <row r="455" spans="1:5">
      <c r="A455" s="88">
        <v>46161</v>
      </c>
      <c r="B455" s="89">
        <v>141933</v>
      </c>
      <c r="C455" s="90" t="s">
        <v>876</v>
      </c>
      <c r="D455" s="91">
        <v>1372.01</v>
      </c>
      <c r="E455" t="s">
        <v>1482</v>
      </c>
    </row>
    <row r="456" spans="1:5">
      <c r="A456" s="88">
        <v>46161</v>
      </c>
      <c r="B456" s="89">
        <v>206678</v>
      </c>
      <c r="C456" s="90" t="s">
        <v>819</v>
      </c>
      <c r="D456" s="91">
        <v>714</v>
      </c>
      <c r="E456" t="s">
        <v>1482</v>
      </c>
    </row>
    <row r="457" spans="1:5">
      <c r="A457" s="88">
        <v>46161</v>
      </c>
      <c r="B457" s="89">
        <v>206792</v>
      </c>
      <c r="C457" s="90" t="s">
        <v>819</v>
      </c>
      <c r="D457" s="91">
        <v>2990.31</v>
      </c>
      <c r="E457" t="s">
        <v>1482</v>
      </c>
    </row>
    <row r="458" spans="1:5">
      <c r="A458" s="88">
        <v>46161</v>
      </c>
      <c r="B458" s="89">
        <v>51299</v>
      </c>
      <c r="C458" s="90" t="s">
        <v>1478</v>
      </c>
      <c r="D458" s="91">
        <v>1693.31</v>
      </c>
      <c r="E458" t="s">
        <v>1482</v>
      </c>
    </row>
    <row r="459" spans="1:5">
      <c r="A459" s="88">
        <v>46161</v>
      </c>
      <c r="B459" s="89">
        <v>86458</v>
      </c>
      <c r="C459" s="90" t="s">
        <v>818</v>
      </c>
      <c r="D459" s="91">
        <v>85.73</v>
      </c>
      <c r="E459" t="s">
        <v>1482</v>
      </c>
    </row>
    <row r="460" spans="1:5">
      <c r="A460" s="88">
        <v>46162</v>
      </c>
      <c r="B460" s="89">
        <v>4452</v>
      </c>
      <c r="C460" s="90" t="s">
        <v>843</v>
      </c>
      <c r="D460" s="91">
        <v>1478</v>
      </c>
      <c r="E460" t="s">
        <v>1482</v>
      </c>
    </row>
    <row r="461" spans="1:5">
      <c r="A461" s="88">
        <v>46162</v>
      </c>
      <c r="B461" s="89">
        <v>69003</v>
      </c>
      <c r="C461" s="90" t="s">
        <v>836</v>
      </c>
      <c r="D461" s="91">
        <v>572.4</v>
      </c>
      <c r="E461" t="s">
        <v>1482</v>
      </c>
    </row>
    <row r="462" spans="1:5">
      <c r="A462" s="88">
        <v>46162</v>
      </c>
      <c r="B462" s="89">
        <v>77</v>
      </c>
      <c r="C462" s="90" t="s">
        <v>1479</v>
      </c>
      <c r="D462" s="91">
        <v>2599</v>
      </c>
      <c r="E462" t="s">
        <v>1482</v>
      </c>
    </row>
    <row r="463" spans="1:5">
      <c r="A463" s="88">
        <v>46162</v>
      </c>
      <c r="B463" s="89">
        <v>859</v>
      </c>
      <c r="C463" s="90" t="s">
        <v>1480</v>
      </c>
      <c r="D463" s="91">
        <v>603.25</v>
      </c>
      <c r="E463" t="s">
        <v>1482</v>
      </c>
    </row>
    <row r="464" spans="1:5">
      <c r="A464" s="88">
        <v>46162</v>
      </c>
      <c r="B464" s="89">
        <v>91537</v>
      </c>
      <c r="C464" s="90" t="s">
        <v>822</v>
      </c>
      <c r="D464" s="91">
        <v>855.77</v>
      </c>
      <c r="E464" t="s">
        <v>1482</v>
      </c>
    </row>
    <row r="465" spans="1:5">
      <c r="A465" s="88">
        <v>46162</v>
      </c>
      <c r="B465" s="89">
        <v>975</v>
      </c>
      <c r="C465" s="90" t="s">
        <v>1404</v>
      </c>
      <c r="D465" s="91">
        <v>315</v>
      </c>
      <c r="E465" t="s">
        <v>1482</v>
      </c>
    </row>
    <row r="466" spans="1:5">
      <c r="A466" s="88">
        <v>46163</v>
      </c>
      <c r="B466" s="89">
        <v>206915</v>
      </c>
      <c r="C466" s="90" t="s">
        <v>819</v>
      </c>
      <c r="D466" s="91">
        <v>434.21</v>
      </c>
      <c r="E466" t="s">
        <v>1482</v>
      </c>
    </row>
    <row r="467" spans="1:5">
      <c r="A467" s="88">
        <v>46163</v>
      </c>
      <c r="B467" s="89">
        <v>263508</v>
      </c>
      <c r="C467" s="90" t="s">
        <v>817</v>
      </c>
      <c r="D467" s="91">
        <v>2788.61</v>
      </c>
      <c r="E467" t="s">
        <v>1482</v>
      </c>
    </row>
    <row r="468" spans="1:5">
      <c r="A468" s="88">
        <v>46163</v>
      </c>
      <c r="B468" s="89">
        <v>4016</v>
      </c>
      <c r="C468" s="90" t="s">
        <v>840</v>
      </c>
      <c r="D468" s="91">
        <v>35</v>
      </c>
      <c r="E468" t="s">
        <v>1482</v>
      </c>
    </row>
    <row r="469" spans="1:5">
      <c r="A469" s="88">
        <v>46163</v>
      </c>
      <c r="B469" s="89">
        <v>5963</v>
      </c>
      <c r="C469" s="90" t="s">
        <v>849</v>
      </c>
      <c r="D469" s="91">
        <v>665.97</v>
      </c>
      <c r="E469" t="s">
        <v>1482</v>
      </c>
    </row>
    <row r="470" spans="1:5">
      <c r="A470" s="88">
        <v>46163</v>
      </c>
      <c r="B470" s="89">
        <v>76884</v>
      </c>
      <c r="C470" s="90" t="s">
        <v>821</v>
      </c>
      <c r="D470" s="91">
        <v>1080</v>
      </c>
      <c r="E470" t="s">
        <v>1482</v>
      </c>
    </row>
    <row r="471" spans="1:5">
      <c r="A471" s="88">
        <v>46163</v>
      </c>
      <c r="B471" s="89">
        <v>8058</v>
      </c>
      <c r="C471" s="90" t="s">
        <v>851</v>
      </c>
      <c r="D471" s="91">
        <v>125</v>
      </c>
      <c r="E471" t="s">
        <v>1482</v>
      </c>
    </row>
    <row r="472" spans="1:5">
      <c r="A472" s="88">
        <v>46164</v>
      </c>
      <c r="B472" s="89">
        <v>19100</v>
      </c>
      <c r="C472" s="90" t="s">
        <v>1471</v>
      </c>
      <c r="D472" s="91">
        <v>453</v>
      </c>
      <c r="E472" t="s">
        <v>1482</v>
      </c>
    </row>
    <row r="473" spans="1:5">
      <c r="A473" s="88">
        <v>46164</v>
      </c>
      <c r="B473" s="89">
        <v>263633</v>
      </c>
      <c r="C473" s="90" t="s">
        <v>817</v>
      </c>
      <c r="D473" s="91">
        <v>392.43</v>
      </c>
      <c r="E473" t="s">
        <v>1482</v>
      </c>
    </row>
    <row r="474" spans="1:5">
      <c r="A474" s="88">
        <v>46164</v>
      </c>
      <c r="B474" s="89">
        <v>263662</v>
      </c>
      <c r="C474" s="90" t="s">
        <v>817</v>
      </c>
      <c r="D474" s="91">
        <v>843.81</v>
      </c>
      <c r="E474" t="s">
        <v>1482</v>
      </c>
    </row>
    <row r="475" spans="1:5">
      <c r="A475" s="88">
        <v>46164</v>
      </c>
      <c r="B475" s="89">
        <v>8376</v>
      </c>
      <c r="C475" s="90" t="s">
        <v>1481</v>
      </c>
      <c r="D475" s="91">
        <v>300</v>
      </c>
      <c r="E475" t="s">
        <v>1482</v>
      </c>
    </row>
    <row r="476" spans="1:5">
      <c r="A476" s="88">
        <v>46167</v>
      </c>
      <c r="B476" s="89">
        <v>1007</v>
      </c>
      <c r="C476" s="90" t="s">
        <v>1404</v>
      </c>
      <c r="D476" s="91">
        <v>548.1</v>
      </c>
      <c r="E476" t="s">
        <v>1482</v>
      </c>
    </row>
    <row r="477" spans="1:5">
      <c r="A477" s="88">
        <v>46167</v>
      </c>
      <c r="B477" s="89">
        <v>19326</v>
      </c>
      <c r="C477" s="90" t="s">
        <v>834</v>
      </c>
      <c r="D477" s="91">
        <v>79.5</v>
      </c>
      <c r="E477" t="s">
        <v>1482</v>
      </c>
    </row>
    <row r="478" spans="1:5">
      <c r="A478" s="88">
        <v>46167</v>
      </c>
      <c r="B478" s="89">
        <v>207116</v>
      </c>
      <c r="C478" s="90" t="s">
        <v>819</v>
      </c>
      <c r="D478" s="91">
        <v>100</v>
      </c>
      <c r="E478" t="s">
        <v>1482</v>
      </c>
    </row>
    <row r="479" spans="1:5">
      <c r="A479" s="88">
        <v>46167</v>
      </c>
      <c r="B479" s="89">
        <v>207157</v>
      </c>
      <c r="C479" s="90" t="s">
        <v>819</v>
      </c>
      <c r="D479" s="91">
        <v>135.5</v>
      </c>
      <c r="E479" t="s">
        <v>1482</v>
      </c>
    </row>
    <row r="480" spans="1:5">
      <c r="A480" s="88">
        <v>46167</v>
      </c>
      <c r="B480" s="89">
        <v>24533</v>
      </c>
      <c r="C480" s="90" t="s">
        <v>820</v>
      </c>
      <c r="D480" s="91">
        <v>489</v>
      </c>
      <c r="E480" t="s">
        <v>1482</v>
      </c>
    </row>
    <row r="481" spans="1:5">
      <c r="A481" s="88">
        <v>46167</v>
      </c>
      <c r="B481" s="89">
        <v>69100</v>
      </c>
      <c r="C481" s="90" t="s">
        <v>836</v>
      </c>
      <c r="D481" s="91">
        <v>93.28</v>
      </c>
      <c r="E481" t="s">
        <v>1482</v>
      </c>
    </row>
    <row r="482" spans="1:5">
      <c r="A482" s="88">
        <v>46167</v>
      </c>
      <c r="B482" s="89">
        <v>76918</v>
      </c>
      <c r="C482" s="90" t="s">
        <v>821</v>
      </c>
      <c r="D482" s="91">
        <v>619.9</v>
      </c>
      <c r="E482" t="s">
        <v>1482</v>
      </c>
    </row>
    <row r="483" spans="1:5">
      <c r="A483" s="88">
        <v>46167</v>
      </c>
      <c r="B483" s="89">
        <v>91779</v>
      </c>
      <c r="C483" s="90" t="s">
        <v>822</v>
      </c>
      <c r="D483" s="91">
        <v>208</v>
      </c>
      <c r="E483" t="s">
        <v>1482</v>
      </c>
    </row>
    <row r="484" spans="1:5">
      <c r="A484" s="88">
        <v>46168</v>
      </c>
      <c r="B484" s="89">
        <v>131594</v>
      </c>
      <c r="C484" s="90" t="s">
        <v>852</v>
      </c>
      <c r="D484" s="91">
        <v>6.07</v>
      </c>
      <c r="E484" t="s">
        <v>1482</v>
      </c>
    </row>
    <row r="485" spans="1:5">
      <c r="A485" s="88">
        <v>46168</v>
      </c>
      <c r="B485" s="89">
        <v>207253</v>
      </c>
      <c r="C485" s="90" t="s">
        <v>819</v>
      </c>
      <c r="D485" s="91">
        <v>100</v>
      </c>
      <c r="E485" t="s">
        <v>1482</v>
      </c>
    </row>
    <row r="486" spans="1:5">
      <c r="A486" s="88">
        <v>46168</v>
      </c>
      <c r="B486" s="89">
        <v>3754</v>
      </c>
      <c r="C486" s="90" t="s">
        <v>854</v>
      </c>
      <c r="D486" s="91">
        <v>490</v>
      </c>
      <c r="E486" t="s">
        <v>1482</v>
      </c>
    </row>
    <row r="487" spans="1:5">
      <c r="A487" s="88">
        <v>46168</v>
      </c>
      <c r="B487" s="89">
        <v>76931</v>
      </c>
      <c r="C487" s="90" t="s">
        <v>821</v>
      </c>
      <c r="D487" s="91">
        <v>654</v>
      </c>
      <c r="E487" t="s">
        <v>1482</v>
      </c>
    </row>
    <row r="488" spans="1:5">
      <c r="A488" s="88">
        <v>46169</v>
      </c>
      <c r="B488" s="89">
        <v>19116</v>
      </c>
      <c r="C488" s="90" t="s">
        <v>1471</v>
      </c>
      <c r="D488" s="91">
        <v>78</v>
      </c>
      <c r="E488" t="s">
        <v>1482</v>
      </c>
    </row>
    <row r="489" spans="1:5">
      <c r="A489" s="88">
        <v>46169</v>
      </c>
      <c r="B489" s="89">
        <v>33773</v>
      </c>
      <c r="C489" s="90" t="s">
        <v>827</v>
      </c>
      <c r="D489" s="91">
        <v>120</v>
      </c>
      <c r="E489" t="s">
        <v>1482</v>
      </c>
    </row>
    <row r="490" spans="1:5">
      <c r="A490" s="88">
        <v>46169</v>
      </c>
      <c r="B490" s="89">
        <v>33821</v>
      </c>
      <c r="C490" s="90" t="s">
        <v>827</v>
      </c>
      <c r="D490" s="91">
        <v>135</v>
      </c>
      <c r="E490" t="s">
        <v>1482</v>
      </c>
    </row>
    <row r="491" spans="1:5">
      <c r="A491" s="88">
        <v>46170</v>
      </c>
      <c r="B491" s="89">
        <v>207444</v>
      </c>
      <c r="C491" s="90" t="s">
        <v>819</v>
      </c>
      <c r="D491" s="91">
        <v>300</v>
      </c>
      <c r="E491" t="s">
        <v>1482</v>
      </c>
    </row>
    <row r="492" spans="1:5">
      <c r="A492" s="88">
        <v>46170</v>
      </c>
      <c r="B492" s="89">
        <v>33849</v>
      </c>
      <c r="C492" s="90" t="s">
        <v>827</v>
      </c>
      <c r="D492" s="91">
        <v>140</v>
      </c>
      <c r="E492" t="s">
        <v>1482</v>
      </c>
    </row>
    <row r="493" spans="1:5">
      <c r="A493" s="88">
        <v>46170</v>
      </c>
      <c r="B493" s="89">
        <v>4026</v>
      </c>
      <c r="C493" s="90" t="s">
        <v>840</v>
      </c>
      <c r="D493" s="91">
        <v>75</v>
      </c>
      <c r="E493" t="s">
        <v>1482</v>
      </c>
    </row>
    <row r="494" spans="1:5">
      <c r="A494" s="88">
        <v>46170</v>
      </c>
      <c r="B494" s="89">
        <v>4483</v>
      </c>
      <c r="C494" s="90" t="s">
        <v>843</v>
      </c>
      <c r="D494" s="91">
        <v>916</v>
      </c>
      <c r="E494" t="s">
        <v>1482</v>
      </c>
    </row>
    <row r="495" spans="1:5">
      <c r="A495" s="88">
        <v>46170</v>
      </c>
      <c r="B495" s="89">
        <v>504361</v>
      </c>
      <c r="C495" s="90" t="s">
        <v>1400</v>
      </c>
      <c r="D495" s="91">
        <v>710.85</v>
      </c>
      <c r="E495" t="s">
        <v>1482</v>
      </c>
    </row>
    <row r="496" spans="1:5">
      <c r="A496" s="88">
        <v>46170</v>
      </c>
      <c r="B496" s="89">
        <v>9110</v>
      </c>
      <c r="C496" s="90" t="s">
        <v>830</v>
      </c>
      <c r="D496" s="91">
        <v>212</v>
      </c>
      <c r="E496" t="s">
        <v>1482</v>
      </c>
    </row>
    <row r="497" spans="1:5">
      <c r="A497" s="88">
        <v>46171</v>
      </c>
      <c r="B497" s="89">
        <v>155017</v>
      </c>
      <c r="C497" s="90" t="s">
        <v>875</v>
      </c>
      <c r="D497" s="91">
        <v>1248.96</v>
      </c>
      <c r="E497" t="s">
        <v>1482</v>
      </c>
    </row>
    <row r="498" spans="1:5">
      <c r="A498" s="88">
        <v>46171</v>
      </c>
      <c r="B498" s="89">
        <v>207586</v>
      </c>
      <c r="C498" s="90" t="s">
        <v>819</v>
      </c>
      <c r="D498" s="91">
        <v>29.78</v>
      </c>
      <c r="E498" t="s">
        <v>1482</v>
      </c>
    </row>
    <row r="499" spans="1:5">
      <c r="A499" s="88">
        <v>46171</v>
      </c>
      <c r="B499" s="89">
        <v>207628</v>
      </c>
      <c r="C499" s="90" t="s">
        <v>819</v>
      </c>
      <c r="D499" s="91">
        <v>819.75</v>
      </c>
      <c r="E499" t="s">
        <v>1482</v>
      </c>
    </row>
    <row r="500" spans="1:5">
      <c r="A500" s="88">
        <v>46171</v>
      </c>
      <c r="B500" s="89">
        <v>263995</v>
      </c>
      <c r="C500" s="90" t="s">
        <v>817</v>
      </c>
      <c r="D500" s="91">
        <v>1172.71</v>
      </c>
      <c r="E500" t="s">
        <v>1482</v>
      </c>
    </row>
    <row r="501" spans="1:5">
      <c r="A501" s="88">
        <v>46171</v>
      </c>
      <c r="B501" s="89">
        <v>264036</v>
      </c>
      <c r="C501" s="90" t="s">
        <v>817</v>
      </c>
      <c r="D501" s="91">
        <v>718.74</v>
      </c>
      <c r="E501" t="s">
        <v>1482</v>
      </c>
    </row>
    <row r="502" spans="1:5">
      <c r="A502" s="88">
        <v>46171</v>
      </c>
      <c r="B502" s="89">
        <v>271638</v>
      </c>
      <c r="C502" s="90" t="s">
        <v>826</v>
      </c>
      <c r="D502" s="91">
        <v>367.98</v>
      </c>
      <c r="E502" t="s">
        <v>1482</v>
      </c>
    </row>
    <row r="503" spans="1:5">
      <c r="A503" s="88">
        <v>46171</v>
      </c>
      <c r="B503" s="89">
        <v>33863</v>
      </c>
      <c r="C503" s="90" t="s">
        <v>827</v>
      </c>
      <c r="D503" s="91">
        <v>120</v>
      </c>
      <c r="E503" t="s">
        <v>1482</v>
      </c>
    </row>
    <row r="504" spans="1:5">
      <c r="A504" s="88">
        <v>46171</v>
      </c>
      <c r="B504" s="89">
        <v>3801</v>
      </c>
      <c r="C504" s="90" t="s">
        <v>854</v>
      </c>
      <c r="D504" s="91">
        <v>190</v>
      </c>
      <c r="E504" t="s">
        <v>1482</v>
      </c>
    </row>
    <row r="505" spans="1:5">
      <c r="A505" s="88">
        <v>46171</v>
      </c>
      <c r="B505" s="89">
        <v>69180</v>
      </c>
      <c r="C505" s="90" t="s">
        <v>836</v>
      </c>
      <c r="D505" s="91">
        <v>400.68</v>
      </c>
      <c r="E505" t="s">
        <v>1482</v>
      </c>
    </row>
    <row r="506" spans="1:5">
      <c r="A506" s="88">
        <v>46171</v>
      </c>
      <c r="B506" s="89">
        <v>74888</v>
      </c>
      <c r="C506" s="90" t="s">
        <v>874</v>
      </c>
      <c r="D506" s="91">
        <v>458.8</v>
      </c>
      <c r="E506" t="s">
        <v>1482</v>
      </c>
    </row>
    <row r="507" spans="1:5">
      <c r="A507" s="88">
        <v>46171</v>
      </c>
      <c r="B507" s="89">
        <v>86618</v>
      </c>
      <c r="C507" s="90" t="s">
        <v>818</v>
      </c>
      <c r="D507" s="91">
        <v>384.56</v>
      </c>
      <c r="E507" t="s">
        <v>1482</v>
      </c>
    </row>
    <row r="508" spans="1:5">
      <c r="A508" s="88">
        <v>46171</v>
      </c>
      <c r="B508" s="89">
        <v>9128</v>
      </c>
      <c r="C508" s="90" t="s">
        <v>830</v>
      </c>
      <c r="D508" s="91">
        <v>240.62</v>
      </c>
      <c r="E508" t="s">
        <v>1482</v>
      </c>
    </row>
    <row r="509" spans="1:5">
      <c r="A509" s="88">
        <v>46174</v>
      </c>
      <c r="B509" s="89">
        <v>33893</v>
      </c>
      <c r="C509" s="90" t="s">
        <v>827</v>
      </c>
      <c r="D509" s="91">
        <v>25</v>
      </c>
      <c r="E509" t="s">
        <v>1565</v>
      </c>
    </row>
    <row r="510" spans="1:5">
      <c r="A510" s="88">
        <v>46174</v>
      </c>
      <c r="B510" s="89">
        <v>759</v>
      </c>
      <c r="C510" s="90" t="s">
        <v>1553</v>
      </c>
      <c r="D510" s="91">
        <v>880</v>
      </c>
      <c r="E510" t="s">
        <v>1565</v>
      </c>
    </row>
    <row r="511" spans="1:5">
      <c r="A511" s="88">
        <v>46174</v>
      </c>
      <c r="B511" s="89">
        <v>76992</v>
      </c>
      <c r="C511" s="90" t="s">
        <v>821</v>
      </c>
      <c r="D511" s="91">
        <v>1592.8</v>
      </c>
      <c r="E511" t="s">
        <v>1565</v>
      </c>
    </row>
    <row r="512" spans="1:5">
      <c r="A512" s="88">
        <v>46174</v>
      </c>
      <c r="B512" s="89">
        <v>92186</v>
      </c>
      <c r="C512" s="90" t="s">
        <v>822</v>
      </c>
      <c r="D512" s="91">
        <v>974.79</v>
      </c>
      <c r="E512" t="s">
        <v>1565</v>
      </c>
    </row>
    <row r="513" spans="1:5">
      <c r="A513" s="88">
        <v>46175</v>
      </c>
      <c r="B513" s="89">
        <v>110265</v>
      </c>
      <c r="C513" s="90" t="s">
        <v>1554</v>
      </c>
      <c r="D513" s="91">
        <v>2144.84</v>
      </c>
      <c r="E513" t="s">
        <v>1565</v>
      </c>
    </row>
    <row r="514" spans="1:5">
      <c r="A514" s="88">
        <v>46175</v>
      </c>
      <c r="B514" s="89">
        <v>19468</v>
      </c>
      <c r="C514" s="90" t="s">
        <v>834</v>
      </c>
      <c r="D514" s="91">
        <v>820.44</v>
      </c>
      <c r="E514" t="s">
        <v>1565</v>
      </c>
    </row>
    <row r="515" spans="1:5">
      <c r="A515" s="88">
        <v>46175</v>
      </c>
      <c r="B515" s="89">
        <v>33935</v>
      </c>
      <c r="C515" s="90" t="s">
        <v>827</v>
      </c>
      <c r="D515" s="91">
        <v>215</v>
      </c>
      <c r="E515" t="s">
        <v>1565</v>
      </c>
    </row>
    <row r="516" spans="1:5">
      <c r="A516" s="88">
        <v>46175</v>
      </c>
      <c r="B516" s="89">
        <v>4436</v>
      </c>
      <c r="C516" s="90" t="s">
        <v>864</v>
      </c>
      <c r="D516" s="91">
        <v>397.5</v>
      </c>
      <c r="E516" t="s">
        <v>1565</v>
      </c>
    </row>
    <row r="517" spans="1:5">
      <c r="A517" s="88">
        <v>46175</v>
      </c>
      <c r="B517" s="89">
        <v>74921</v>
      </c>
      <c r="C517" s="90" t="s">
        <v>874</v>
      </c>
      <c r="D517" s="91">
        <v>623.6</v>
      </c>
      <c r="E517" t="s">
        <v>1565</v>
      </c>
    </row>
    <row r="518" spans="1:5">
      <c r="A518" s="88">
        <v>46176</v>
      </c>
      <c r="B518" s="89">
        <v>24161</v>
      </c>
      <c r="C518" s="90" t="s">
        <v>850</v>
      </c>
      <c r="D518" s="91">
        <v>314.16000000000003</v>
      </c>
      <c r="E518" t="s">
        <v>1565</v>
      </c>
    </row>
    <row r="519" spans="1:5">
      <c r="A519" s="88">
        <v>46176</v>
      </c>
      <c r="B519" s="89">
        <v>30937</v>
      </c>
      <c r="C519" s="90" t="s">
        <v>1402</v>
      </c>
      <c r="D519" s="91">
        <v>509.57</v>
      </c>
      <c r="E519" t="s">
        <v>1565</v>
      </c>
    </row>
    <row r="520" spans="1:5">
      <c r="A520" s="88">
        <v>46176</v>
      </c>
      <c r="B520" s="89">
        <v>69239</v>
      </c>
      <c r="C520" s="90" t="s">
        <v>836</v>
      </c>
      <c r="D520" s="91">
        <v>134.19999999999999</v>
      </c>
      <c r="E520" t="s">
        <v>1565</v>
      </c>
    </row>
    <row r="521" spans="1:5">
      <c r="A521" s="88">
        <v>46181</v>
      </c>
      <c r="B521" s="89">
        <v>12672</v>
      </c>
      <c r="C521" s="90" t="s">
        <v>1555</v>
      </c>
      <c r="D521" s="91">
        <v>29.99</v>
      </c>
      <c r="E521" t="s">
        <v>1565</v>
      </c>
    </row>
    <row r="522" spans="1:5">
      <c r="A522" s="88">
        <v>46181</v>
      </c>
      <c r="B522" s="89">
        <v>24196</v>
      </c>
      <c r="C522" s="90" t="s">
        <v>850</v>
      </c>
      <c r="D522" s="91">
        <v>3137.35</v>
      </c>
      <c r="E522" t="s">
        <v>1565</v>
      </c>
    </row>
    <row r="523" spans="1:5">
      <c r="A523" s="88">
        <v>46181</v>
      </c>
      <c r="B523" s="89">
        <v>264330</v>
      </c>
      <c r="C523" s="90" t="s">
        <v>817</v>
      </c>
      <c r="D523" s="91">
        <v>1219.33</v>
      </c>
      <c r="E523" t="s">
        <v>1565</v>
      </c>
    </row>
    <row r="524" spans="1:5">
      <c r="A524" s="88">
        <v>46182</v>
      </c>
      <c r="B524" s="89">
        <v>117554</v>
      </c>
      <c r="C524" s="90" t="s">
        <v>824</v>
      </c>
      <c r="D524" s="91">
        <v>59.4</v>
      </c>
      <c r="E524" t="s">
        <v>1565</v>
      </c>
    </row>
    <row r="525" spans="1:5">
      <c r="A525" s="88">
        <v>46182</v>
      </c>
      <c r="B525" s="89">
        <v>19597</v>
      </c>
      <c r="C525" s="90" t="s">
        <v>834</v>
      </c>
      <c r="D525" s="91">
        <v>220</v>
      </c>
      <c r="E525" t="s">
        <v>1565</v>
      </c>
    </row>
    <row r="526" spans="1:5">
      <c r="A526" s="88">
        <v>46182</v>
      </c>
      <c r="B526" s="89">
        <v>54040</v>
      </c>
      <c r="C526" s="90" t="s">
        <v>878</v>
      </c>
      <c r="D526" s="91">
        <v>2347.83</v>
      </c>
      <c r="E526" t="s">
        <v>1565</v>
      </c>
    </row>
    <row r="527" spans="1:5">
      <c r="A527" s="88">
        <v>46183</v>
      </c>
      <c r="B527" s="89">
        <v>4519</v>
      </c>
      <c r="C527" s="90" t="s">
        <v>843</v>
      </c>
      <c r="D527" s="91">
        <v>617</v>
      </c>
      <c r="E527" t="s">
        <v>1565</v>
      </c>
    </row>
    <row r="528" spans="1:5">
      <c r="A528" s="88">
        <v>46184</v>
      </c>
      <c r="B528" s="89">
        <v>208488</v>
      </c>
      <c r="C528" s="90" t="s">
        <v>819</v>
      </c>
      <c r="D528" s="91">
        <v>123.86</v>
      </c>
      <c r="E528" t="s">
        <v>1565</v>
      </c>
    </row>
    <row r="529" spans="1:5">
      <c r="A529" s="88">
        <v>46184</v>
      </c>
      <c r="B529" s="89">
        <v>208568</v>
      </c>
      <c r="C529" s="90" t="s">
        <v>819</v>
      </c>
      <c r="D529" s="91">
        <v>273.2</v>
      </c>
      <c r="E529" t="s">
        <v>1565</v>
      </c>
    </row>
    <row r="530" spans="1:5">
      <c r="A530" s="88">
        <v>46184</v>
      </c>
      <c r="B530" s="89">
        <v>264468</v>
      </c>
      <c r="C530" s="90" t="s">
        <v>817</v>
      </c>
      <c r="D530" s="91">
        <v>12053.19</v>
      </c>
      <c r="E530" t="s">
        <v>1565</v>
      </c>
    </row>
    <row r="531" spans="1:5">
      <c r="A531" s="88">
        <v>46184</v>
      </c>
      <c r="B531" s="89">
        <v>34038</v>
      </c>
      <c r="C531" s="90" t="s">
        <v>827</v>
      </c>
      <c r="D531" s="91">
        <v>255</v>
      </c>
      <c r="E531" t="s">
        <v>1565</v>
      </c>
    </row>
    <row r="532" spans="1:5">
      <c r="A532" s="88">
        <v>46184</v>
      </c>
      <c r="B532" s="89">
        <v>34052</v>
      </c>
      <c r="C532" s="90" t="s">
        <v>827</v>
      </c>
      <c r="D532" s="91">
        <v>212.5</v>
      </c>
      <c r="E532" t="s">
        <v>1565</v>
      </c>
    </row>
    <row r="533" spans="1:5">
      <c r="A533" s="88">
        <v>46184</v>
      </c>
      <c r="B533" s="89">
        <v>69298</v>
      </c>
      <c r="C533" s="90" t="s">
        <v>836</v>
      </c>
      <c r="D533" s="91">
        <v>816.2</v>
      </c>
      <c r="E533" t="s">
        <v>1565</v>
      </c>
    </row>
    <row r="534" spans="1:5">
      <c r="A534" s="88">
        <v>46184</v>
      </c>
      <c r="B534" s="89">
        <v>77100</v>
      </c>
      <c r="C534" s="90" t="s">
        <v>821</v>
      </c>
      <c r="D534" s="91">
        <v>987</v>
      </c>
      <c r="E534" t="s">
        <v>1565</v>
      </c>
    </row>
    <row r="535" spans="1:5">
      <c r="A535" s="88">
        <v>46184</v>
      </c>
      <c r="B535" s="89">
        <v>77117</v>
      </c>
      <c r="C535" s="90" t="s">
        <v>821</v>
      </c>
      <c r="D535" s="91">
        <v>2626.2</v>
      </c>
      <c r="E535" t="s">
        <v>1565</v>
      </c>
    </row>
    <row r="536" spans="1:5">
      <c r="A536" s="88">
        <v>46185</v>
      </c>
      <c r="B536" s="89">
        <v>264577</v>
      </c>
      <c r="C536" s="90" t="s">
        <v>817</v>
      </c>
      <c r="D536" s="91">
        <v>649.65</v>
      </c>
      <c r="E536" t="s">
        <v>1565</v>
      </c>
    </row>
    <row r="537" spans="1:5">
      <c r="A537" s="88">
        <v>46188</v>
      </c>
      <c r="B537" s="89">
        <v>117607</v>
      </c>
      <c r="C537" s="90" t="s">
        <v>824</v>
      </c>
      <c r="D537" s="91">
        <v>50</v>
      </c>
      <c r="E537" t="s">
        <v>1565</v>
      </c>
    </row>
    <row r="538" spans="1:5">
      <c r="A538" s="88">
        <v>46188</v>
      </c>
      <c r="B538" s="89">
        <v>150420</v>
      </c>
      <c r="C538" s="90" t="s">
        <v>839</v>
      </c>
      <c r="D538" s="91">
        <v>266.11</v>
      </c>
      <c r="E538" t="s">
        <v>1565</v>
      </c>
    </row>
    <row r="539" spans="1:5">
      <c r="A539" s="88">
        <v>46188</v>
      </c>
      <c r="B539" s="89">
        <v>19683</v>
      </c>
      <c r="C539" s="90" t="s">
        <v>834</v>
      </c>
      <c r="D539" s="91">
        <v>1944.04</v>
      </c>
      <c r="E539" t="s">
        <v>1565</v>
      </c>
    </row>
    <row r="540" spans="1:5">
      <c r="A540" s="88">
        <v>46188</v>
      </c>
      <c r="B540" s="89">
        <v>2030</v>
      </c>
      <c r="C540" s="90" t="s">
        <v>835</v>
      </c>
      <c r="D540" s="91">
        <v>357</v>
      </c>
      <c r="E540" t="s">
        <v>1565</v>
      </c>
    </row>
    <row r="541" spans="1:5">
      <c r="A541" s="88">
        <v>46188</v>
      </c>
      <c r="B541" s="89">
        <v>208676</v>
      </c>
      <c r="C541" s="90" t="s">
        <v>819</v>
      </c>
      <c r="D541" s="91">
        <v>1186.82</v>
      </c>
      <c r="E541" t="s">
        <v>1565</v>
      </c>
    </row>
    <row r="542" spans="1:5">
      <c r="A542" s="88">
        <v>46188</v>
      </c>
      <c r="B542" s="89">
        <v>208693</v>
      </c>
      <c r="C542" s="90" t="s">
        <v>819</v>
      </c>
      <c r="D542" s="91">
        <v>155</v>
      </c>
      <c r="E542" t="s">
        <v>1565</v>
      </c>
    </row>
    <row r="543" spans="1:5">
      <c r="A543" s="88">
        <v>46188</v>
      </c>
      <c r="B543" s="89">
        <v>555</v>
      </c>
      <c r="C543" s="90" t="s">
        <v>1556</v>
      </c>
      <c r="D543" s="91">
        <v>756.73</v>
      </c>
      <c r="E543" t="s">
        <v>1565</v>
      </c>
    </row>
    <row r="544" spans="1:5">
      <c r="A544" s="88">
        <v>46188</v>
      </c>
      <c r="B544" s="89">
        <v>69339</v>
      </c>
      <c r="C544" s="90" t="s">
        <v>836</v>
      </c>
      <c r="D544" s="91">
        <v>55.54</v>
      </c>
      <c r="E544" t="s">
        <v>1565</v>
      </c>
    </row>
    <row r="545" spans="1:5">
      <c r="A545" s="88">
        <v>46188</v>
      </c>
      <c r="B545" s="89">
        <v>69369</v>
      </c>
      <c r="C545" s="90" t="s">
        <v>836</v>
      </c>
      <c r="D545" s="91">
        <v>1173.95</v>
      </c>
      <c r="E545" t="s">
        <v>1565</v>
      </c>
    </row>
    <row r="546" spans="1:5">
      <c r="A546" s="88">
        <v>46188</v>
      </c>
      <c r="B546" s="89">
        <v>73043</v>
      </c>
      <c r="C546" s="90" t="s">
        <v>848</v>
      </c>
      <c r="D546" s="91">
        <v>392.35</v>
      </c>
      <c r="E546" t="s">
        <v>1565</v>
      </c>
    </row>
    <row r="547" spans="1:5">
      <c r="A547" s="88">
        <v>46188</v>
      </c>
      <c r="B547" s="89">
        <v>77140</v>
      </c>
      <c r="C547" s="90" t="s">
        <v>821</v>
      </c>
      <c r="D547" s="91">
        <v>970</v>
      </c>
      <c r="E547" t="s">
        <v>1565</v>
      </c>
    </row>
    <row r="548" spans="1:5">
      <c r="A548" s="88">
        <v>46189</v>
      </c>
      <c r="B548" s="89">
        <v>1497</v>
      </c>
      <c r="C548" s="90" t="s">
        <v>845</v>
      </c>
      <c r="D548" s="91">
        <v>386</v>
      </c>
      <c r="E548" t="s">
        <v>1565</v>
      </c>
    </row>
    <row r="549" spans="1:5">
      <c r="A549" s="88">
        <v>46189</v>
      </c>
      <c r="B549" s="89">
        <v>17279</v>
      </c>
      <c r="C549" s="90" t="s">
        <v>816</v>
      </c>
      <c r="D549" s="91">
        <v>535.75</v>
      </c>
      <c r="E549" t="s">
        <v>1565</v>
      </c>
    </row>
    <row r="550" spans="1:5">
      <c r="A550" s="88">
        <v>46189</v>
      </c>
      <c r="B550" s="89">
        <v>17290</v>
      </c>
      <c r="C550" s="90" t="s">
        <v>816</v>
      </c>
      <c r="D550" s="91">
        <v>107.94</v>
      </c>
      <c r="E550" t="s">
        <v>1565</v>
      </c>
    </row>
    <row r="551" spans="1:5">
      <c r="A551" s="88">
        <v>46189</v>
      </c>
      <c r="B551" s="89">
        <v>24237</v>
      </c>
      <c r="C551" s="90" t="s">
        <v>850</v>
      </c>
      <c r="D551" s="91">
        <v>302.01</v>
      </c>
      <c r="E551" t="s">
        <v>1565</v>
      </c>
    </row>
    <row r="552" spans="1:5">
      <c r="A552" s="88">
        <v>46189</v>
      </c>
      <c r="B552" s="89">
        <v>24682</v>
      </c>
      <c r="C552" s="90" t="s">
        <v>820</v>
      </c>
      <c r="D552" s="91">
        <v>257.60000000000002</v>
      </c>
      <c r="E552" t="s">
        <v>1565</v>
      </c>
    </row>
    <row r="553" spans="1:5">
      <c r="A553" s="88">
        <v>46189</v>
      </c>
      <c r="B553" s="89">
        <v>24691</v>
      </c>
      <c r="C553" s="90" t="s">
        <v>820</v>
      </c>
      <c r="D553" s="91">
        <v>960</v>
      </c>
      <c r="E553" t="s">
        <v>1565</v>
      </c>
    </row>
    <row r="554" spans="1:5">
      <c r="A554" s="88">
        <v>46189</v>
      </c>
      <c r="B554" s="89">
        <v>32106</v>
      </c>
      <c r="C554" s="90" t="s">
        <v>1557</v>
      </c>
      <c r="D554" s="91">
        <v>644.5</v>
      </c>
      <c r="E554" t="s">
        <v>1565</v>
      </c>
    </row>
    <row r="555" spans="1:5">
      <c r="A555" s="88">
        <v>46189</v>
      </c>
      <c r="B555" s="89">
        <v>34076</v>
      </c>
      <c r="C555" s="90" t="s">
        <v>827</v>
      </c>
      <c r="D555" s="91">
        <v>1195</v>
      </c>
      <c r="E555" t="s">
        <v>1565</v>
      </c>
    </row>
    <row r="556" spans="1:5">
      <c r="A556" s="88">
        <v>46189</v>
      </c>
      <c r="B556" s="89">
        <v>45482</v>
      </c>
      <c r="C556" s="90" t="s">
        <v>858</v>
      </c>
      <c r="D556" s="91">
        <v>60</v>
      </c>
      <c r="E556" t="s">
        <v>1565</v>
      </c>
    </row>
    <row r="557" spans="1:5">
      <c r="A557" s="88">
        <v>46189</v>
      </c>
      <c r="B557" s="89">
        <v>77159</v>
      </c>
      <c r="C557" s="90" t="s">
        <v>821</v>
      </c>
      <c r="D557" s="91">
        <v>1484.6</v>
      </c>
      <c r="E557" t="s">
        <v>1565</v>
      </c>
    </row>
    <row r="558" spans="1:5">
      <c r="A558" s="88">
        <v>46189</v>
      </c>
      <c r="B558" s="89">
        <v>9182</v>
      </c>
      <c r="C558" s="90" t="s">
        <v>1481</v>
      </c>
      <c r="D558" s="91">
        <v>1820</v>
      </c>
      <c r="E558" t="s">
        <v>1565</v>
      </c>
    </row>
    <row r="559" spans="1:5">
      <c r="A559" s="88">
        <v>46190</v>
      </c>
      <c r="B559" s="89">
        <v>1093</v>
      </c>
      <c r="C559" s="90" t="s">
        <v>1404</v>
      </c>
      <c r="D559" s="91">
        <v>138</v>
      </c>
      <c r="E559" t="s">
        <v>1565</v>
      </c>
    </row>
    <row r="560" spans="1:5">
      <c r="A560" s="88">
        <v>46190</v>
      </c>
      <c r="B560" s="89">
        <v>123573</v>
      </c>
      <c r="C560" s="90" t="s">
        <v>831</v>
      </c>
      <c r="D560" s="91">
        <v>1560.31</v>
      </c>
      <c r="E560" t="s">
        <v>1565</v>
      </c>
    </row>
    <row r="561" spans="1:5">
      <c r="A561" s="88">
        <v>46190</v>
      </c>
      <c r="B561" s="89">
        <v>146546</v>
      </c>
      <c r="C561" s="90" t="s">
        <v>1558</v>
      </c>
      <c r="D561" s="91">
        <v>5255.9</v>
      </c>
      <c r="E561" t="s">
        <v>1565</v>
      </c>
    </row>
    <row r="562" spans="1:5">
      <c r="A562" s="88">
        <v>46190</v>
      </c>
      <c r="B562" s="89">
        <v>20666</v>
      </c>
      <c r="C562" s="90" t="s">
        <v>1559</v>
      </c>
      <c r="D562" s="91">
        <v>591.52</v>
      </c>
      <c r="E562" t="s">
        <v>1565</v>
      </c>
    </row>
    <row r="563" spans="1:5">
      <c r="A563" s="88">
        <v>46190</v>
      </c>
      <c r="B563" s="89">
        <v>208815</v>
      </c>
      <c r="C563" s="90" t="s">
        <v>819</v>
      </c>
      <c r="D563" s="91">
        <v>6390.55</v>
      </c>
      <c r="E563" t="s">
        <v>1565</v>
      </c>
    </row>
    <row r="564" spans="1:5">
      <c r="A564" s="88">
        <v>46190</v>
      </c>
      <c r="B564" s="89">
        <v>208835</v>
      </c>
      <c r="C564" s="90" t="s">
        <v>819</v>
      </c>
      <c r="D564" s="91">
        <v>7.29</v>
      </c>
      <c r="E564" t="s">
        <v>1565</v>
      </c>
    </row>
    <row r="565" spans="1:5">
      <c r="A565" s="88">
        <v>46190</v>
      </c>
      <c r="B565" s="89">
        <v>264710</v>
      </c>
      <c r="C565" s="90" t="s">
        <v>817</v>
      </c>
      <c r="D565" s="91">
        <v>3696.58</v>
      </c>
      <c r="E565" t="s">
        <v>1565</v>
      </c>
    </row>
    <row r="566" spans="1:5">
      <c r="A566" s="88">
        <v>46190</v>
      </c>
      <c r="B566" s="89">
        <v>4565</v>
      </c>
      <c r="C566" s="90" t="s">
        <v>843</v>
      </c>
      <c r="D566" s="91">
        <v>1644.5</v>
      </c>
      <c r="E566" t="s">
        <v>1565</v>
      </c>
    </row>
    <row r="567" spans="1:5">
      <c r="A567" s="88">
        <v>46190</v>
      </c>
      <c r="B567" s="89">
        <v>5987</v>
      </c>
      <c r="C567" s="90" t="s">
        <v>849</v>
      </c>
      <c r="D567" s="91">
        <v>693.18</v>
      </c>
      <c r="E567" t="s">
        <v>1565</v>
      </c>
    </row>
    <row r="568" spans="1:5">
      <c r="A568" s="88">
        <v>46190</v>
      </c>
      <c r="B568" s="89">
        <v>6019</v>
      </c>
      <c r="C568" s="90" t="s">
        <v>849</v>
      </c>
      <c r="D568" s="91">
        <v>217.64</v>
      </c>
      <c r="E568" t="s">
        <v>1565</v>
      </c>
    </row>
    <row r="569" spans="1:5">
      <c r="A569" s="88">
        <v>46190</v>
      </c>
      <c r="B569" s="89">
        <v>74695</v>
      </c>
      <c r="C569" s="90" t="s">
        <v>1560</v>
      </c>
      <c r="D569" s="91">
        <v>738.01</v>
      </c>
      <c r="E569" t="s">
        <v>1565</v>
      </c>
    </row>
    <row r="570" spans="1:5">
      <c r="A570" s="88">
        <v>46190</v>
      </c>
      <c r="B570" s="89">
        <v>77179</v>
      </c>
      <c r="C570" s="90" t="s">
        <v>821</v>
      </c>
      <c r="D570" s="91">
        <v>553</v>
      </c>
      <c r="E570" t="s">
        <v>1565</v>
      </c>
    </row>
    <row r="571" spans="1:5">
      <c r="A571" s="88">
        <v>46191</v>
      </c>
      <c r="B571" s="89">
        <v>128</v>
      </c>
      <c r="C571" s="90" t="s">
        <v>1561</v>
      </c>
      <c r="D571" s="91">
        <v>675</v>
      </c>
      <c r="E571" t="s">
        <v>1565</v>
      </c>
    </row>
    <row r="572" spans="1:5">
      <c r="A572" s="88">
        <v>46191</v>
      </c>
      <c r="B572" s="89">
        <v>19831</v>
      </c>
      <c r="C572" s="90" t="s">
        <v>834</v>
      </c>
      <c r="D572" s="91">
        <v>220</v>
      </c>
      <c r="E572" t="s">
        <v>1565</v>
      </c>
    </row>
    <row r="573" spans="1:5">
      <c r="A573" s="88">
        <v>46191</v>
      </c>
      <c r="B573" s="89">
        <v>34126</v>
      </c>
      <c r="C573" s="90" t="s">
        <v>827</v>
      </c>
      <c r="D573" s="91">
        <v>262.5</v>
      </c>
      <c r="E573" t="s">
        <v>1565</v>
      </c>
    </row>
    <row r="574" spans="1:5">
      <c r="A574" s="88">
        <v>46191</v>
      </c>
      <c r="B574" s="89">
        <v>55411</v>
      </c>
      <c r="C574" s="90" t="s">
        <v>1562</v>
      </c>
      <c r="D574" s="91">
        <v>242.19</v>
      </c>
      <c r="E574" t="s">
        <v>1565</v>
      </c>
    </row>
    <row r="575" spans="1:5">
      <c r="A575" s="88">
        <v>46192</v>
      </c>
      <c r="B575" s="89">
        <v>150509</v>
      </c>
      <c r="C575" s="90" t="s">
        <v>839</v>
      </c>
      <c r="D575" s="91">
        <v>403.68</v>
      </c>
      <c r="E575" t="s">
        <v>1565</v>
      </c>
    </row>
    <row r="576" spans="1:5">
      <c r="A576" s="88">
        <v>46192</v>
      </c>
      <c r="B576" s="89">
        <v>209019</v>
      </c>
      <c r="C576" s="90" t="s">
        <v>819</v>
      </c>
      <c r="D576" s="91">
        <v>250</v>
      </c>
      <c r="E576" t="s">
        <v>1565</v>
      </c>
    </row>
    <row r="577" spans="1:5">
      <c r="A577" s="88">
        <v>46192</v>
      </c>
      <c r="B577" s="89">
        <v>69417</v>
      </c>
      <c r="C577" s="90" t="s">
        <v>836</v>
      </c>
      <c r="D577" s="91">
        <v>342.61</v>
      </c>
      <c r="E577" t="s">
        <v>1565</v>
      </c>
    </row>
    <row r="578" spans="1:5">
      <c r="A578" s="88">
        <v>46192</v>
      </c>
      <c r="B578" s="89">
        <v>77209</v>
      </c>
      <c r="C578" s="90" t="s">
        <v>821</v>
      </c>
      <c r="D578" s="91">
        <v>273.89999999999998</v>
      </c>
      <c r="E578" t="s">
        <v>1565</v>
      </c>
    </row>
    <row r="579" spans="1:5">
      <c r="A579" s="88">
        <v>46192</v>
      </c>
      <c r="B579" s="89">
        <v>77210</v>
      </c>
      <c r="C579" s="90" t="s">
        <v>821</v>
      </c>
      <c r="D579" s="91">
        <v>3600</v>
      </c>
      <c r="E579" t="s">
        <v>1565</v>
      </c>
    </row>
    <row r="580" spans="1:5">
      <c r="A580" s="88">
        <v>46195</v>
      </c>
      <c r="B580" s="89">
        <v>12716</v>
      </c>
      <c r="C580" s="90" t="s">
        <v>1563</v>
      </c>
      <c r="D580" s="91">
        <v>34.99</v>
      </c>
      <c r="E580" t="s">
        <v>1565</v>
      </c>
    </row>
    <row r="581" spans="1:5">
      <c r="A581" s="88">
        <v>46195</v>
      </c>
      <c r="B581" s="89">
        <v>155516</v>
      </c>
      <c r="C581" s="90" t="s">
        <v>875</v>
      </c>
      <c r="D581" s="91">
        <v>1241.1300000000001</v>
      </c>
      <c r="E581" t="s">
        <v>1565</v>
      </c>
    </row>
    <row r="582" spans="1:5">
      <c r="A582" s="88">
        <v>46195</v>
      </c>
      <c r="B582" s="89">
        <v>24732</v>
      </c>
      <c r="C582" s="90" t="s">
        <v>820</v>
      </c>
      <c r="D582" s="91">
        <v>472.75</v>
      </c>
      <c r="E582" t="s">
        <v>1565</v>
      </c>
    </row>
    <row r="583" spans="1:5">
      <c r="A583" s="88">
        <v>46195</v>
      </c>
      <c r="B583" s="89">
        <v>4152</v>
      </c>
      <c r="C583" s="90" t="s">
        <v>840</v>
      </c>
      <c r="D583" s="91">
        <v>319.24</v>
      </c>
      <c r="E583" t="s">
        <v>1565</v>
      </c>
    </row>
    <row r="584" spans="1:5">
      <c r="A584" s="88">
        <v>46195</v>
      </c>
      <c r="B584" s="89">
        <v>4557</v>
      </c>
      <c r="C584" s="90" t="s">
        <v>843</v>
      </c>
      <c r="D584" s="91">
        <v>930</v>
      </c>
      <c r="E584" t="s">
        <v>1565</v>
      </c>
    </row>
    <row r="585" spans="1:5">
      <c r="A585" s="88">
        <v>46195</v>
      </c>
      <c r="B585" s="89">
        <v>7743</v>
      </c>
      <c r="C585" s="90" t="s">
        <v>841</v>
      </c>
      <c r="D585" s="91">
        <v>825</v>
      </c>
      <c r="E585" t="s">
        <v>1565</v>
      </c>
    </row>
    <row r="586" spans="1:5">
      <c r="A586" s="88">
        <v>46195</v>
      </c>
      <c r="B586" s="89">
        <v>86887</v>
      </c>
      <c r="C586" s="90" t="s">
        <v>818</v>
      </c>
      <c r="D586" s="91">
        <v>257.2</v>
      </c>
      <c r="E586" t="s">
        <v>1565</v>
      </c>
    </row>
    <row r="587" spans="1:5">
      <c r="A587" s="88">
        <v>46195</v>
      </c>
      <c r="B587" s="89">
        <v>93351</v>
      </c>
      <c r="C587" s="90" t="s">
        <v>822</v>
      </c>
      <c r="D587" s="91">
        <v>404.92</v>
      </c>
      <c r="E587" t="s">
        <v>1565</v>
      </c>
    </row>
    <row r="588" spans="1:5">
      <c r="A588" s="88">
        <v>46196</v>
      </c>
      <c r="B588" s="89">
        <v>150572</v>
      </c>
      <c r="C588" s="90" t="s">
        <v>839</v>
      </c>
      <c r="D588" s="91">
        <v>1353.96</v>
      </c>
      <c r="E588" t="s">
        <v>1565</v>
      </c>
    </row>
    <row r="589" spans="1:5">
      <c r="A589" s="88">
        <v>46196</v>
      </c>
      <c r="B589" s="89">
        <v>34207</v>
      </c>
      <c r="C589" s="90" t="s">
        <v>827</v>
      </c>
      <c r="D589" s="91">
        <v>244</v>
      </c>
      <c r="E589" t="s">
        <v>1565</v>
      </c>
    </row>
    <row r="590" spans="1:5">
      <c r="A590" s="88">
        <v>46196</v>
      </c>
      <c r="B590" s="89">
        <v>69511</v>
      </c>
      <c r="C590" s="90" t="s">
        <v>836</v>
      </c>
      <c r="D590" s="91">
        <v>1441.18</v>
      </c>
      <c r="E590" t="s">
        <v>1565</v>
      </c>
    </row>
    <row r="591" spans="1:5">
      <c r="A591" s="88">
        <v>46196</v>
      </c>
      <c r="B591" s="89">
        <v>77254</v>
      </c>
      <c r="C591" s="90" t="s">
        <v>821</v>
      </c>
      <c r="D591" s="91">
        <v>620</v>
      </c>
      <c r="E591" t="s">
        <v>1565</v>
      </c>
    </row>
    <row r="592" spans="1:5">
      <c r="A592" s="88">
        <v>46197</v>
      </c>
      <c r="B592" s="89">
        <v>1121</v>
      </c>
      <c r="C592" s="90" t="s">
        <v>1404</v>
      </c>
      <c r="D592" s="91">
        <v>117</v>
      </c>
      <c r="E592" t="s">
        <v>1565</v>
      </c>
    </row>
    <row r="593" spans="1:5">
      <c r="A593" s="88">
        <v>46198</v>
      </c>
      <c r="B593" s="89">
        <v>150594</v>
      </c>
      <c r="C593" s="90" t="s">
        <v>839</v>
      </c>
      <c r="D593" s="91">
        <v>534.17999999999995</v>
      </c>
      <c r="E593" t="s">
        <v>1565</v>
      </c>
    </row>
    <row r="594" spans="1:5">
      <c r="A594" s="88">
        <v>46198</v>
      </c>
      <c r="B594" s="89">
        <v>2168</v>
      </c>
      <c r="C594" s="90" t="s">
        <v>835</v>
      </c>
      <c r="D594" s="91">
        <v>332</v>
      </c>
      <c r="E594" t="s">
        <v>1565</v>
      </c>
    </row>
    <row r="595" spans="1:5">
      <c r="A595" s="88">
        <v>46198</v>
      </c>
      <c r="B595" s="89">
        <v>2186</v>
      </c>
      <c r="C595" s="90" t="s">
        <v>835</v>
      </c>
      <c r="D595" s="91">
        <v>348</v>
      </c>
      <c r="E595" t="s">
        <v>1565</v>
      </c>
    </row>
    <row r="596" spans="1:5">
      <c r="A596" s="88">
        <v>46198</v>
      </c>
      <c r="B596" s="89">
        <v>24774</v>
      </c>
      <c r="C596" s="90" t="s">
        <v>820</v>
      </c>
      <c r="D596" s="91">
        <v>590</v>
      </c>
      <c r="E596" t="s">
        <v>1565</v>
      </c>
    </row>
    <row r="597" spans="1:5">
      <c r="A597" s="88">
        <v>46199</v>
      </c>
      <c r="B597" s="89">
        <v>93705</v>
      </c>
      <c r="C597" s="90" t="s">
        <v>822</v>
      </c>
      <c r="D597" s="91">
        <v>550.6</v>
      </c>
      <c r="E597" t="s">
        <v>1565</v>
      </c>
    </row>
    <row r="598" spans="1:5">
      <c r="A598" s="88">
        <v>46202</v>
      </c>
      <c r="B598" s="89">
        <v>117843</v>
      </c>
      <c r="C598" s="90" t="s">
        <v>824</v>
      </c>
      <c r="D598" s="91">
        <v>1055</v>
      </c>
      <c r="E598" t="s">
        <v>1565</v>
      </c>
    </row>
    <row r="599" spans="1:5">
      <c r="A599" s="88">
        <v>46202</v>
      </c>
      <c r="B599" s="89">
        <v>150664</v>
      </c>
      <c r="C599" s="90" t="s">
        <v>839</v>
      </c>
      <c r="D599" s="91">
        <v>1039.97</v>
      </c>
      <c r="E599" t="s">
        <v>1565</v>
      </c>
    </row>
    <row r="600" spans="1:5">
      <c r="A600" s="88">
        <v>46202</v>
      </c>
      <c r="B600" s="89">
        <v>20039</v>
      </c>
      <c r="C600" s="90" t="s">
        <v>834</v>
      </c>
      <c r="D600" s="91">
        <v>152.6</v>
      </c>
      <c r="E600" t="s">
        <v>1565</v>
      </c>
    </row>
    <row r="601" spans="1:5">
      <c r="A601" s="88">
        <v>46202</v>
      </c>
      <c r="B601" s="89">
        <v>24290</v>
      </c>
      <c r="C601" s="90" t="s">
        <v>850</v>
      </c>
      <c r="D601" s="91">
        <v>1548.75</v>
      </c>
      <c r="E601" t="s">
        <v>1565</v>
      </c>
    </row>
    <row r="602" spans="1:5">
      <c r="A602" s="88">
        <v>46202</v>
      </c>
      <c r="B602" s="89">
        <v>24298</v>
      </c>
      <c r="C602" s="90" t="s">
        <v>850</v>
      </c>
      <c r="D602" s="91">
        <v>222.86</v>
      </c>
      <c r="E602" t="s">
        <v>1565</v>
      </c>
    </row>
    <row r="603" spans="1:5">
      <c r="A603" s="88">
        <v>46202</v>
      </c>
      <c r="B603" s="89">
        <v>265230</v>
      </c>
      <c r="C603" s="90" t="s">
        <v>817</v>
      </c>
      <c r="D603" s="91">
        <v>1036.0899999999999</v>
      </c>
      <c r="E603" t="s">
        <v>1565</v>
      </c>
    </row>
    <row r="604" spans="1:5">
      <c r="A604" s="88">
        <v>46202</v>
      </c>
      <c r="B604" s="89">
        <v>4599</v>
      </c>
      <c r="C604" s="90" t="s">
        <v>843</v>
      </c>
      <c r="D604" s="91">
        <v>859</v>
      </c>
      <c r="E604" t="s">
        <v>1565</v>
      </c>
    </row>
    <row r="605" spans="1:5">
      <c r="A605" s="88">
        <v>46202</v>
      </c>
      <c r="B605" s="89">
        <v>55931</v>
      </c>
      <c r="C605" s="90" t="s">
        <v>1562</v>
      </c>
      <c r="D605" s="91">
        <v>25</v>
      </c>
      <c r="E605" t="s">
        <v>1565</v>
      </c>
    </row>
    <row r="606" spans="1:5">
      <c r="A606" s="88">
        <v>46202</v>
      </c>
      <c r="B606" s="89">
        <v>69578</v>
      </c>
      <c r="C606" s="90" t="s">
        <v>836</v>
      </c>
      <c r="D606" s="91">
        <v>65.44</v>
      </c>
      <c r="E606" t="s">
        <v>1565</v>
      </c>
    </row>
    <row r="607" spans="1:5">
      <c r="A607" s="88">
        <v>46202</v>
      </c>
      <c r="B607" s="89">
        <v>77293</v>
      </c>
      <c r="C607" s="90" t="s">
        <v>821</v>
      </c>
      <c r="D607" s="91">
        <v>5072.5</v>
      </c>
      <c r="E607" t="s">
        <v>1565</v>
      </c>
    </row>
    <row r="608" spans="1:5">
      <c r="A608" s="88">
        <v>46202</v>
      </c>
      <c r="B608" s="89">
        <v>9858</v>
      </c>
      <c r="C608" s="90" t="s">
        <v>1564</v>
      </c>
      <c r="D608" s="91">
        <v>110</v>
      </c>
      <c r="E608" t="s">
        <v>1565</v>
      </c>
    </row>
    <row r="609" spans="1:6">
      <c r="A609" s="88">
        <v>46203</v>
      </c>
      <c r="B609" s="89">
        <v>24790</v>
      </c>
      <c r="C609" s="90" t="s">
        <v>820</v>
      </c>
      <c r="D609" s="91">
        <v>250</v>
      </c>
      <c r="E609" t="s">
        <v>1565</v>
      </c>
    </row>
    <row r="610" spans="1:6">
      <c r="A610" s="88">
        <v>46203</v>
      </c>
      <c r="B610" s="89">
        <v>265310</v>
      </c>
      <c r="C610" s="90" t="s">
        <v>817</v>
      </c>
      <c r="D610" s="91">
        <v>1851.43</v>
      </c>
      <c r="E610" t="s">
        <v>1565</v>
      </c>
    </row>
    <row r="611" spans="1:6">
      <c r="A611" s="88">
        <v>46203</v>
      </c>
      <c r="B611" s="89">
        <v>55930</v>
      </c>
      <c r="C611" s="90" t="s">
        <v>1562</v>
      </c>
      <c r="D611" s="91">
        <v>66</v>
      </c>
      <c r="E611" t="s">
        <v>1565</v>
      </c>
    </row>
    <row r="612" spans="1:6">
      <c r="A612" s="88">
        <v>46203</v>
      </c>
      <c r="B612" s="89">
        <v>93952</v>
      </c>
      <c r="C612" s="90" t="s">
        <v>827</v>
      </c>
      <c r="D612" s="91">
        <v>280</v>
      </c>
      <c r="E612" t="s">
        <v>1565</v>
      </c>
    </row>
    <row r="613" spans="1:6">
      <c r="A613" s="268"/>
      <c r="B613" s="364"/>
      <c r="D613" s="270"/>
      <c r="F613" s="269"/>
    </row>
    <row r="614" spans="1:6">
      <c r="A614" s="268"/>
      <c r="B614" s="364"/>
      <c r="D614" s="270"/>
      <c r="F614" s="269"/>
    </row>
    <row r="615" spans="1:6">
      <c r="A615" s="268"/>
      <c r="B615" s="364"/>
      <c r="C615" s="269"/>
      <c r="D615" s="270"/>
    </row>
    <row r="616" spans="1:6">
      <c r="A616" s="268"/>
      <c r="B616" s="364"/>
      <c r="C616" s="269"/>
      <c r="D616" s="270"/>
    </row>
    <row r="617" spans="1:6">
      <c r="A617" s="268"/>
      <c r="B617" s="364"/>
      <c r="C617" s="269"/>
      <c r="D617" s="270"/>
    </row>
    <row r="618" spans="1:6">
      <c r="A618" s="268"/>
      <c r="B618" s="364"/>
      <c r="C618" s="269"/>
      <c r="D618" s="270"/>
    </row>
    <row r="619" spans="1:6">
      <c r="A619" s="268"/>
      <c r="B619" s="364"/>
      <c r="C619" s="269"/>
      <c r="D619" s="270"/>
    </row>
    <row r="620" spans="1:6">
      <c r="A620" s="268"/>
      <c r="B620" s="364"/>
      <c r="C620" s="269"/>
      <c r="D620" s="270"/>
    </row>
    <row r="621" spans="1:6">
      <c r="A621" s="268"/>
      <c r="B621" s="364"/>
      <c r="C621" s="269"/>
      <c r="D621" s="270"/>
    </row>
    <row r="622" spans="1:6">
      <c r="A622" s="268"/>
      <c r="B622" s="364"/>
      <c r="C622" s="269"/>
      <c r="D622" s="270"/>
    </row>
    <row r="623" spans="1:6">
      <c r="A623" s="268"/>
      <c r="B623" s="364"/>
      <c r="C623" s="269"/>
      <c r="D623" s="270"/>
    </row>
    <row r="624" spans="1:6">
      <c r="A624" s="268"/>
      <c r="B624" s="364"/>
      <c r="C624" s="269"/>
      <c r="D624" s="270"/>
    </row>
    <row r="625" spans="1:4">
      <c r="A625" s="268"/>
      <c r="B625" s="364"/>
      <c r="C625" s="269"/>
      <c r="D625" s="270"/>
    </row>
    <row r="626" spans="1:4">
      <c r="A626" s="268"/>
      <c r="B626" s="364"/>
      <c r="C626" s="269"/>
      <c r="D626" s="270"/>
    </row>
    <row r="627" spans="1:4">
      <c r="A627" s="268"/>
      <c r="B627" s="364"/>
      <c r="C627" s="269"/>
      <c r="D627" s="270"/>
    </row>
    <row r="628" spans="1:4">
      <c r="A628" s="268"/>
      <c r="B628" s="364"/>
      <c r="C628" s="269"/>
      <c r="D628" s="270"/>
    </row>
    <row r="629" spans="1:4">
      <c r="A629" s="365"/>
      <c r="B629" s="366"/>
      <c r="C629" s="367"/>
      <c r="D629" s="368"/>
    </row>
    <row r="630" spans="1:4">
      <c r="A630" s="365"/>
      <c r="B630" s="366"/>
      <c r="C630" s="367"/>
      <c r="D630" s="368"/>
    </row>
    <row r="631" spans="1:4">
      <c r="A631" s="365"/>
      <c r="B631" s="366"/>
      <c r="C631" s="367"/>
      <c r="D631" s="368"/>
    </row>
    <row r="632" spans="1:4">
      <c r="A632" s="365"/>
      <c r="B632" s="366"/>
      <c r="C632" s="367"/>
      <c r="D632" s="368"/>
    </row>
    <row r="633" spans="1:4">
      <c r="A633" s="365"/>
      <c r="B633" s="366"/>
      <c r="C633" s="367"/>
      <c r="D633" s="368"/>
    </row>
    <row r="634" spans="1:4">
      <c r="A634" s="365"/>
      <c r="B634" s="366"/>
      <c r="C634" s="367"/>
      <c r="D634" s="368"/>
    </row>
    <row r="635" spans="1:4">
      <c r="A635" s="365"/>
      <c r="B635" s="366"/>
      <c r="C635" s="367"/>
      <c r="D635" s="368"/>
    </row>
    <row r="636" spans="1:4">
      <c r="A636" s="365"/>
      <c r="B636" s="366"/>
      <c r="C636" s="367"/>
      <c r="D636" s="368"/>
    </row>
    <row r="637" spans="1:4">
      <c r="A637" s="365"/>
      <c r="B637" s="366"/>
      <c r="C637" s="367"/>
      <c r="D637" s="368"/>
    </row>
    <row r="638" spans="1:4">
      <c r="A638" s="365"/>
      <c r="B638" s="366"/>
      <c r="C638" s="367"/>
      <c r="D638" s="368"/>
    </row>
    <row r="639" spans="1:4">
      <c r="A639" s="365"/>
      <c r="B639" s="366"/>
      <c r="C639" s="367"/>
      <c r="D639" s="368"/>
    </row>
    <row r="640" spans="1:4">
      <c r="A640" s="365"/>
      <c r="B640" s="366"/>
      <c r="C640" s="367"/>
      <c r="D640" s="368"/>
    </row>
    <row r="641" spans="1:4">
      <c r="A641" s="365"/>
      <c r="B641" s="366"/>
      <c r="C641" s="367"/>
      <c r="D641" s="368"/>
    </row>
    <row r="642" spans="1:4">
      <c r="A642" s="365"/>
      <c r="B642" s="366"/>
      <c r="C642" s="367"/>
      <c r="D642" s="368"/>
    </row>
    <row r="643" spans="1:4">
      <c r="A643" s="365"/>
      <c r="B643" s="366"/>
      <c r="C643" s="367"/>
      <c r="D643" s="368"/>
    </row>
    <row r="644" spans="1:4">
      <c r="A644" s="365"/>
      <c r="B644" s="366"/>
      <c r="C644" s="367"/>
      <c r="D644" s="368"/>
    </row>
    <row r="645" spans="1:4">
      <c r="A645" s="365"/>
      <c r="B645" s="366"/>
      <c r="C645" s="367"/>
      <c r="D645" s="368"/>
    </row>
    <row r="646" spans="1:4">
      <c r="A646" s="365"/>
      <c r="B646" s="366"/>
      <c r="C646" s="367"/>
      <c r="D646" s="368"/>
    </row>
    <row r="647" spans="1:4">
      <c r="A647" s="365"/>
      <c r="B647" s="366"/>
      <c r="C647" s="367"/>
      <c r="D647" s="368"/>
    </row>
    <row r="648" spans="1:4">
      <c r="A648" s="365"/>
      <c r="B648" s="366"/>
      <c r="C648" s="367"/>
      <c r="D648" s="368"/>
    </row>
    <row r="649" spans="1:4">
      <c r="A649" s="365"/>
      <c r="B649" s="366"/>
      <c r="C649" s="367"/>
      <c r="D649" s="368"/>
    </row>
    <row r="650" spans="1:4">
      <c r="A650" s="365"/>
      <c r="B650" s="366"/>
      <c r="C650" s="367"/>
      <c r="D650" s="368"/>
    </row>
    <row r="651" spans="1:4">
      <c r="A651" s="365"/>
      <c r="B651" s="366"/>
      <c r="C651" s="367"/>
      <c r="D651" s="368"/>
    </row>
    <row r="652" spans="1:4">
      <c r="A652" s="365"/>
      <c r="B652" s="366"/>
      <c r="C652" s="367"/>
      <c r="D652" s="368"/>
    </row>
    <row r="653" spans="1:4">
      <c r="A653" s="365"/>
      <c r="B653" s="366"/>
      <c r="C653" s="367"/>
      <c r="D653" s="368"/>
    </row>
    <row r="654" spans="1:4">
      <c r="A654" s="365"/>
      <c r="B654" s="366"/>
      <c r="C654" s="367"/>
      <c r="D654" s="368"/>
    </row>
    <row r="655" spans="1:4">
      <c r="A655" s="365"/>
      <c r="B655" s="366"/>
      <c r="C655" s="367"/>
      <c r="D655" s="368"/>
    </row>
    <row r="656" spans="1:4">
      <c r="A656" s="365"/>
      <c r="B656" s="366"/>
      <c r="C656" s="367"/>
      <c r="D656" s="368"/>
    </row>
    <row r="657" spans="1:4">
      <c r="A657" s="365"/>
      <c r="B657" s="366"/>
      <c r="C657" s="367"/>
      <c r="D657" s="368"/>
    </row>
    <row r="658" spans="1:4">
      <c r="A658" s="365"/>
      <c r="B658" s="366"/>
      <c r="C658" s="367"/>
      <c r="D658" s="368"/>
    </row>
    <row r="659" spans="1:4">
      <c r="A659" s="365"/>
      <c r="B659" s="366"/>
      <c r="C659" s="367"/>
      <c r="D659" s="368"/>
    </row>
    <row r="660" spans="1:4">
      <c r="A660" s="365"/>
      <c r="B660" s="366"/>
      <c r="C660" s="367"/>
      <c r="D660" s="368"/>
    </row>
    <row r="661" spans="1:4">
      <c r="A661" s="365"/>
      <c r="B661" s="366"/>
      <c r="C661" s="367"/>
      <c r="D661" s="368"/>
    </row>
    <row r="662" spans="1:4">
      <c r="A662" s="365"/>
      <c r="B662" s="366"/>
      <c r="C662" s="367"/>
      <c r="D662" s="368"/>
    </row>
    <row r="663" spans="1:4">
      <c r="A663" s="365"/>
      <c r="B663" s="366"/>
      <c r="C663" s="367"/>
      <c r="D663" s="368"/>
    </row>
    <row r="664" spans="1:4">
      <c r="A664" s="365"/>
      <c r="B664" s="366"/>
      <c r="C664" s="367"/>
      <c r="D664" s="368"/>
    </row>
    <row r="665" spans="1:4">
      <c r="A665" s="365"/>
      <c r="B665" s="366"/>
      <c r="C665" s="367"/>
      <c r="D665" s="368"/>
    </row>
    <row r="666" spans="1:4">
      <c r="A666" s="365"/>
      <c r="B666" s="366"/>
      <c r="C666" s="367"/>
      <c r="D666" s="368"/>
    </row>
    <row r="667" spans="1:4">
      <c r="A667" s="365"/>
      <c r="B667" s="366"/>
      <c r="C667" s="367"/>
      <c r="D667" s="368"/>
    </row>
    <row r="668" spans="1:4">
      <c r="A668" s="365"/>
      <c r="B668" s="366"/>
      <c r="C668" s="367"/>
      <c r="D668" s="368"/>
    </row>
    <row r="669" spans="1:4">
      <c r="A669" s="365"/>
      <c r="B669" s="366"/>
      <c r="C669" s="367"/>
      <c r="D669" s="368"/>
    </row>
    <row r="670" spans="1:4">
      <c r="A670" s="365"/>
      <c r="B670" s="366"/>
      <c r="C670" s="367"/>
      <c r="D670" s="368"/>
    </row>
    <row r="671" spans="1:4">
      <c r="A671" s="365"/>
      <c r="B671" s="366"/>
      <c r="C671" s="367"/>
      <c r="D671" s="368"/>
    </row>
    <row r="672" spans="1:4">
      <c r="A672" s="365"/>
      <c r="B672" s="366"/>
      <c r="C672" s="367"/>
      <c r="D672" s="368"/>
    </row>
    <row r="673" spans="1:4">
      <c r="A673" s="365"/>
      <c r="B673" s="366"/>
      <c r="C673" s="367"/>
      <c r="D673" s="368"/>
    </row>
    <row r="674" spans="1:4">
      <c r="A674" s="365"/>
      <c r="B674" s="366"/>
      <c r="C674" s="367"/>
      <c r="D674" s="368"/>
    </row>
    <row r="675" spans="1:4">
      <c r="A675" s="365"/>
      <c r="B675" s="366"/>
      <c r="C675" s="367"/>
      <c r="D675" s="368"/>
    </row>
    <row r="676" spans="1:4">
      <c r="A676" s="365"/>
      <c r="B676" s="366"/>
      <c r="C676" s="367"/>
      <c r="D676" s="368"/>
    </row>
    <row r="677" spans="1:4">
      <c r="A677" s="365"/>
      <c r="B677" s="366"/>
      <c r="C677" s="367"/>
      <c r="D677" s="368"/>
    </row>
    <row r="678" spans="1:4">
      <c r="A678" s="365"/>
      <c r="B678" s="366"/>
      <c r="C678" s="367"/>
      <c r="D678" s="368"/>
    </row>
    <row r="679" spans="1:4">
      <c r="A679" s="365"/>
      <c r="B679" s="366"/>
      <c r="C679" s="367"/>
      <c r="D679" s="368"/>
    </row>
    <row r="680" spans="1:4">
      <c r="A680" s="365"/>
      <c r="B680" s="366"/>
      <c r="C680" s="367"/>
      <c r="D680" s="368"/>
    </row>
    <row r="681" spans="1:4">
      <c r="A681" s="365"/>
      <c r="B681" s="366"/>
      <c r="C681" s="367"/>
      <c r="D681" s="368"/>
    </row>
    <row r="682" spans="1:4">
      <c r="A682" s="365"/>
      <c r="B682" s="366"/>
      <c r="C682" s="367"/>
      <c r="D682" s="368"/>
    </row>
    <row r="683" spans="1:4">
      <c r="A683" s="365"/>
      <c r="B683" s="366"/>
      <c r="C683" s="367"/>
      <c r="D683" s="368"/>
    </row>
    <row r="684" spans="1:4">
      <c r="A684" s="365"/>
      <c r="B684" s="366"/>
      <c r="C684" s="367"/>
      <c r="D684" s="368"/>
    </row>
    <row r="685" spans="1:4">
      <c r="A685" s="365"/>
      <c r="B685" s="366"/>
      <c r="C685" s="367"/>
      <c r="D685" s="368"/>
    </row>
    <row r="686" spans="1:4">
      <c r="A686" s="365"/>
      <c r="B686" s="366"/>
      <c r="C686" s="367"/>
      <c r="D686" s="368"/>
    </row>
    <row r="687" spans="1:4">
      <c r="A687" s="365"/>
      <c r="B687" s="366"/>
      <c r="C687" s="367"/>
      <c r="D687" s="368"/>
    </row>
    <row r="688" spans="1:4">
      <c r="A688" s="365"/>
      <c r="B688" s="366"/>
      <c r="C688" s="367"/>
      <c r="D688" s="368"/>
    </row>
    <row r="689" spans="1:4">
      <c r="A689" s="365"/>
      <c r="B689" s="366"/>
      <c r="C689" s="367"/>
      <c r="D689" s="368"/>
    </row>
    <row r="690" spans="1:4">
      <c r="A690" s="365"/>
      <c r="B690" s="366"/>
      <c r="C690" s="367"/>
      <c r="D690" s="368"/>
    </row>
    <row r="691" spans="1:4">
      <c r="A691" s="365"/>
      <c r="B691" s="366"/>
      <c r="C691" s="367"/>
      <c r="D691" s="368"/>
    </row>
    <row r="692" spans="1:4">
      <c r="A692" s="365"/>
      <c r="B692" s="366"/>
      <c r="C692" s="367"/>
      <c r="D692" s="368"/>
    </row>
    <row r="693" spans="1:4">
      <c r="A693" s="365"/>
      <c r="B693" s="366"/>
      <c r="C693" s="367"/>
      <c r="D693" s="368"/>
    </row>
    <row r="694" spans="1:4">
      <c r="A694" s="365"/>
      <c r="B694" s="366"/>
      <c r="C694" s="367"/>
      <c r="D694" s="368"/>
    </row>
    <row r="695" spans="1:4">
      <c r="A695" s="365"/>
      <c r="B695" s="366"/>
      <c r="C695" s="367"/>
      <c r="D695" s="368"/>
    </row>
    <row r="696" spans="1:4">
      <c r="A696" s="365"/>
      <c r="B696" s="366"/>
      <c r="C696" s="367"/>
      <c r="D696" s="368"/>
    </row>
    <row r="697" spans="1:4">
      <c r="A697" s="365"/>
      <c r="B697" s="366"/>
      <c r="C697" s="367"/>
      <c r="D697" s="368"/>
    </row>
    <row r="698" spans="1:4">
      <c r="A698" s="365"/>
      <c r="B698" s="366"/>
      <c r="C698" s="367"/>
      <c r="D698" s="368"/>
    </row>
    <row r="699" spans="1:4">
      <c r="A699" s="365"/>
      <c r="B699" s="366"/>
      <c r="C699" s="367"/>
      <c r="D699" s="368"/>
    </row>
    <row r="700" spans="1:4">
      <c r="A700" s="365"/>
      <c r="B700" s="366"/>
      <c r="C700" s="367"/>
      <c r="D700" s="368"/>
    </row>
    <row r="701" spans="1:4">
      <c r="A701" s="365"/>
      <c r="B701" s="366"/>
      <c r="C701" s="367"/>
      <c r="D701" s="368"/>
    </row>
    <row r="702" spans="1:4">
      <c r="A702" s="365"/>
      <c r="B702" s="366"/>
      <c r="C702" s="367"/>
      <c r="D702" s="368"/>
    </row>
    <row r="703" spans="1:4">
      <c r="A703" s="365"/>
      <c r="B703" s="366"/>
      <c r="C703" s="367"/>
      <c r="D703" s="368"/>
    </row>
    <row r="704" spans="1:4">
      <c r="A704" s="365"/>
      <c r="B704" s="366"/>
      <c r="C704" s="367"/>
      <c r="D704" s="368"/>
    </row>
    <row r="705" spans="1:4">
      <c r="A705" s="365"/>
      <c r="B705" s="366"/>
      <c r="C705" s="367"/>
      <c r="D705" s="368"/>
    </row>
    <row r="706" spans="1:4">
      <c r="A706" s="365"/>
      <c r="B706" s="366"/>
      <c r="C706" s="367"/>
      <c r="D706" s="368"/>
    </row>
    <row r="707" spans="1:4">
      <c r="A707" s="365"/>
      <c r="B707" s="366"/>
      <c r="C707" s="367"/>
      <c r="D707" s="368"/>
    </row>
    <row r="708" spans="1:4">
      <c r="A708" s="365"/>
      <c r="B708" s="366"/>
      <c r="C708" s="367"/>
      <c r="D708" s="368"/>
    </row>
    <row r="709" spans="1:4">
      <c r="A709" s="365"/>
      <c r="B709" s="366"/>
      <c r="C709" s="367"/>
      <c r="D709" s="368"/>
    </row>
    <row r="710" spans="1:4">
      <c r="A710" s="365"/>
      <c r="B710" s="366"/>
      <c r="C710" s="367"/>
      <c r="D710" s="368"/>
    </row>
    <row r="711" spans="1:4">
      <c r="A711" s="365"/>
      <c r="B711" s="366"/>
      <c r="C711" s="367"/>
      <c r="D711" s="368"/>
    </row>
    <row r="712" spans="1:4">
      <c r="A712" s="365"/>
      <c r="B712" s="366"/>
      <c r="C712" s="367"/>
      <c r="D712" s="368"/>
    </row>
  </sheetData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BDC5-4C24-4FFF-A39D-6021CF50D05C}">
  <dimension ref="A1:J835"/>
  <sheetViews>
    <sheetView topLeftCell="A816" workbookViewId="0">
      <selection activeCell="D813" sqref="D1:D1048576"/>
    </sheetView>
  </sheetViews>
  <sheetFormatPr defaultRowHeight="15"/>
  <cols>
    <col min="1" max="1" width="10.7109375" bestFit="1" customWidth="1"/>
    <col min="2" max="2" width="7.42578125" bestFit="1" customWidth="1"/>
    <col min="3" max="3" width="56.7109375" bestFit="1" customWidth="1"/>
    <col min="4" max="4" width="13.28515625" style="363" bestFit="1" customWidth="1"/>
    <col min="6" max="6" width="10.7109375" bestFit="1" customWidth="1"/>
    <col min="7" max="7" width="7" bestFit="1" customWidth="1"/>
    <col min="8" max="8" width="8.7109375" customWidth="1"/>
    <col min="9" max="9" width="12.140625" style="36" bestFit="1" customWidth="1"/>
    <col min="11" max="11" width="23.140625" bestFit="1" customWidth="1"/>
  </cols>
  <sheetData>
    <row r="1" spans="1:10" ht="26.25">
      <c r="A1" s="46" t="s">
        <v>184</v>
      </c>
      <c r="B1" s="47" t="s">
        <v>185</v>
      </c>
      <c r="C1" s="45" t="s">
        <v>186</v>
      </c>
      <c r="D1" s="360" t="s">
        <v>187</v>
      </c>
      <c r="E1" s="49"/>
      <c r="F1" s="41"/>
      <c r="G1" s="41"/>
      <c r="H1" s="41"/>
      <c r="I1" s="192"/>
    </row>
    <row r="2" spans="1:10">
      <c r="A2" s="38">
        <v>46028</v>
      </c>
      <c r="B2" s="39">
        <v>11916</v>
      </c>
      <c r="C2" s="40" t="s">
        <v>881</v>
      </c>
      <c r="D2" s="361">
        <v>5100</v>
      </c>
      <c r="E2" s="37"/>
      <c r="F2" s="55">
        <v>46030</v>
      </c>
      <c r="G2" s="56">
        <v>39</v>
      </c>
      <c r="H2" s="53" t="s">
        <v>882</v>
      </c>
      <c r="I2" s="193">
        <v>208.8</v>
      </c>
      <c r="J2" t="s">
        <v>267</v>
      </c>
    </row>
    <row r="3" spans="1:10">
      <c r="A3" s="38">
        <v>46028</v>
      </c>
      <c r="B3" s="39">
        <v>11917</v>
      </c>
      <c r="C3" s="40" t="s">
        <v>883</v>
      </c>
      <c r="D3" s="361">
        <v>1062.8499999999999</v>
      </c>
      <c r="E3" s="37"/>
      <c r="F3" s="55">
        <v>46035</v>
      </c>
      <c r="G3" s="56">
        <v>40</v>
      </c>
      <c r="H3" s="53" t="s">
        <v>884</v>
      </c>
      <c r="I3" s="193">
        <v>160</v>
      </c>
      <c r="J3" t="s">
        <v>267</v>
      </c>
    </row>
    <row r="4" spans="1:10">
      <c r="A4" s="38">
        <v>46028</v>
      </c>
      <c r="B4" s="39">
        <v>11918</v>
      </c>
      <c r="C4" s="40" t="s">
        <v>193</v>
      </c>
      <c r="D4" s="361">
        <v>16157.91</v>
      </c>
      <c r="E4" s="37"/>
      <c r="F4" s="55">
        <v>46035</v>
      </c>
      <c r="G4" s="56">
        <v>41</v>
      </c>
      <c r="H4" s="53" t="s">
        <v>884</v>
      </c>
      <c r="I4" s="193">
        <v>160</v>
      </c>
      <c r="J4" t="s">
        <v>267</v>
      </c>
    </row>
    <row r="5" spans="1:10">
      <c r="A5" s="38">
        <v>46030</v>
      </c>
      <c r="B5" s="39">
        <v>11919</v>
      </c>
      <c r="C5" s="40" t="s">
        <v>885</v>
      </c>
      <c r="D5" s="361">
        <v>232</v>
      </c>
      <c r="E5" s="37"/>
      <c r="F5" s="55">
        <v>46037</v>
      </c>
      <c r="G5" s="56">
        <v>42</v>
      </c>
      <c r="H5" s="53" t="s">
        <v>884</v>
      </c>
      <c r="I5" s="193">
        <v>489.5</v>
      </c>
      <c r="J5" t="s">
        <v>267</v>
      </c>
    </row>
    <row r="6" spans="1:10">
      <c r="A6" s="38">
        <v>46030</v>
      </c>
      <c r="B6" s="39">
        <v>11920</v>
      </c>
      <c r="C6" s="40" t="s">
        <v>208</v>
      </c>
      <c r="D6" s="361">
        <v>221.46</v>
      </c>
      <c r="E6" s="37"/>
      <c r="F6" s="55">
        <v>46042</v>
      </c>
      <c r="G6" s="56">
        <v>43</v>
      </c>
      <c r="H6" s="53" t="s">
        <v>886</v>
      </c>
      <c r="I6" s="193">
        <v>7817.2</v>
      </c>
      <c r="J6" t="s">
        <v>267</v>
      </c>
    </row>
    <row r="7" spans="1:10">
      <c r="A7" s="38">
        <v>46030</v>
      </c>
      <c r="B7" s="39">
        <v>11921</v>
      </c>
      <c r="C7" s="40" t="s">
        <v>887</v>
      </c>
      <c r="D7" s="361">
        <v>476.7</v>
      </c>
      <c r="E7" s="37"/>
      <c r="F7" s="55">
        <v>46044</v>
      </c>
      <c r="G7" s="56">
        <v>45</v>
      </c>
      <c r="H7" s="53" t="s">
        <v>884</v>
      </c>
      <c r="I7" s="193">
        <v>160</v>
      </c>
      <c r="J7" t="s">
        <v>267</v>
      </c>
    </row>
    <row r="8" spans="1:10">
      <c r="A8" s="38">
        <v>46030</v>
      </c>
      <c r="B8" s="39">
        <v>11922</v>
      </c>
      <c r="C8" s="40" t="s">
        <v>208</v>
      </c>
      <c r="D8" s="361">
        <v>542</v>
      </c>
      <c r="E8" s="37"/>
      <c r="F8" s="55">
        <v>46049</v>
      </c>
      <c r="G8" s="56">
        <v>46</v>
      </c>
      <c r="H8" s="53" t="s">
        <v>884</v>
      </c>
      <c r="I8" s="193">
        <v>169</v>
      </c>
      <c r="J8" t="s">
        <v>267</v>
      </c>
    </row>
    <row r="9" spans="1:10">
      <c r="A9" s="38">
        <v>46030</v>
      </c>
      <c r="B9" s="39">
        <v>11923</v>
      </c>
      <c r="C9" s="40" t="s">
        <v>888</v>
      </c>
      <c r="D9" s="361">
        <v>407</v>
      </c>
      <c r="E9" s="37"/>
      <c r="F9" s="55">
        <v>46051</v>
      </c>
      <c r="G9" s="56">
        <v>47</v>
      </c>
      <c r="H9" s="53" t="s">
        <v>884</v>
      </c>
      <c r="I9" s="193">
        <v>55.9</v>
      </c>
      <c r="J9" t="s">
        <v>267</v>
      </c>
    </row>
    <row r="10" spans="1:10">
      <c r="A10" s="38">
        <v>46030</v>
      </c>
      <c r="B10" s="39">
        <v>11924</v>
      </c>
      <c r="C10" s="40" t="s">
        <v>889</v>
      </c>
      <c r="D10" s="361">
        <v>400</v>
      </c>
      <c r="E10" s="37"/>
      <c r="F10" s="51">
        <v>46048</v>
      </c>
      <c r="G10" s="52">
        <v>3747</v>
      </c>
      <c r="H10" s="53" t="s">
        <v>880</v>
      </c>
      <c r="I10" s="193">
        <v>400</v>
      </c>
      <c r="J10" t="s">
        <v>890</v>
      </c>
    </row>
    <row r="11" spans="1:10">
      <c r="A11" s="38">
        <v>46030</v>
      </c>
      <c r="B11" s="39">
        <v>11925</v>
      </c>
      <c r="C11" s="40" t="s">
        <v>891</v>
      </c>
      <c r="D11" s="361">
        <v>2307.61</v>
      </c>
      <c r="E11" s="37"/>
      <c r="F11" s="54">
        <v>46043</v>
      </c>
      <c r="G11" s="3">
        <v>8250</v>
      </c>
      <c r="H11" s="3" t="s">
        <v>638</v>
      </c>
      <c r="I11" s="194">
        <v>452</v>
      </c>
      <c r="J11" t="s">
        <v>890</v>
      </c>
    </row>
    <row r="12" spans="1:10">
      <c r="A12" s="38">
        <v>46031</v>
      </c>
      <c r="B12" s="39">
        <v>11926</v>
      </c>
      <c r="C12" s="40" t="s">
        <v>892</v>
      </c>
      <c r="D12" s="361">
        <v>325</v>
      </c>
      <c r="E12" s="37"/>
      <c r="F12" s="54">
        <v>46041</v>
      </c>
      <c r="G12" s="3">
        <v>35076</v>
      </c>
      <c r="H12" s="3" t="s">
        <v>481</v>
      </c>
      <c r="I12" s="194">
        <v>28.2</v>
      </c>
      <c r="J12" t="s">
        <v>890</v>
      </c>
    </row>
    <row r="13" spans="1:10">
      <c r="A13" s="38">
        <v>46031</v>
      </c>
      <c r="B13" s="39">
        <v>11927</v>
      </c>
      <c r="C13" s="40" t="s">
        <v>892</v>
      </c>
      <c r="D13" s="361">
        <v>650</v>
      </c>
      <c r="E13" s="37"/>
      <c r="F13" s="100">
        <v>46065</v>
      </c>
      <c r="G13" s="101">
        <v>48</v>
      </c>
      <c r="H13" s="102" t="s">
        <v>886</v>
      </c>
      <c r="I13" s="195">
        <v>7000</v>
      </c>
      <c r="J13" s="103" t="s">
        <v>267</v>
      </c>
    </row>
    <row r="14" spans="1:10">
      <c r="A14" s="38">
        <v>46031</v>
      </c>
      <c r="B14" s="39">
        <v>11928</v>
      </c>
      <c r="C14" s="40" t="s">
        <v>893</v>
      </c>
      <c r="D14" s="361">
        <v>834</v>
      </c>
      <c r="E14" s="37"/>
      <c r="F14" s="100">
        <v>46066</v>
      </c>
      <c r="G14" s="101">
        <v>12058</v>
      </c>
      <c r="H14" s="102" t="s">
        <v>894</v>
      </c>
      <c r="I14" s="195">
        <v>668</v>
      </c>
      <c r="J14" s="103" t="s">
        <v>267</v>
      </c>
    </row>
    <row r="15" spans="1:10">
      <c r="A15" s="38">
        <v>46031</v>
      </c>
      <c r="B15" s="39">
        <v>11929</v>
      </c>
      <c r="C15" s="40" t="s">
        <v>895</v>
      </c>
      <c r="D15" s="361">
        <v>986.1</v>
      </c>
      <c r="E15" s="37"/>
      <c r="F15" s="100">
        <v>46094</v>
      </c>
      <c r="G15" s="101">
        <v>49</v>
      </c>
      <c r="H15" s="102" t="s">
        <v>894</v>
      </c>
      <c r="I15" s="195">
        <v>420</v>
      </c>
      <c r="J15" s="103" t="s">
        <v>267</v>
      </c>
    </row>
    <row r="16" spans="1:10">
      <c r="A16" s="38">
        <v>46031</v>
      </c>
      <c r="B16" s="39">
        <v>11930</v>
      </c>
      <c r="C16" s="40" t="s">
        <v>194</v>
      </c>
      <c r="D16" s="361">
        <v>442</v>
      </c>
      <c r="E16" s="37"/>
      <c r="F16" s="100">
        <v>46094</v>
      </c>
      <c r="G16" s="101">
        <v>50</v>
      </c>
      <c r="H16" s="102" t="s">
        <v>884</v>
      </c>
      <c r="I16" s="195">
        <v>221</v>
      </c>
      <c r="J16" s="103" t="s">
        <v>267</v>
      </c>
    </row>
    <row r="17" spans="1:10">
      <c r="A17" s="38">
        <v>46031</v>
      </c>
      <c r="B17" s="39">
        <v>11931</v>
      </c>
      <c r="C17" s="40" t="s">
        <v>200</v>
      </c>
      <c r="D17" s="361">
        <v>1104</v>
      </c>
      <c r="E17" s="37"/>
      <c r="F17" s="100">
        <v>46094</v>
      </c>
      <c r="G17" s="101">
        <v>51</v>
      </c>
      <c r="H17" s="102" t="s">
        <v>884</v>
      </c>
      <c r="I17" s="195">
        <v>170</v>
      </c>
      <c r="J17" s="103" t="s">
        <v>267</v>
      </c>
    </row>
    <row r="18" spans="1:10">
      <c r="A18" s="38">
        <v>46031</v>
      </c>
      <c r="B18" s="39">
        <v>11932</v>
      </c>
      <c r="C18" s="40" t="s">
        <v>208</v>
      </c>
      <c r="D18" s="361">
        <v>19.920000000000002</v>
      </c>
      <c r="E18" s="37"/>
      <c r="F18" s="100">
        <v>46094</v>
      </c>
      <c r="G18" s="101">
        <v>52</v>
      </c>
      <c r="H18" s="102" t="s">
        <v>884</v>
      </c>
      <c r="I18" s="195">
        <v>35</v>
      </c>
      <c r="J18" s="103" t="s">
        <v>267</v>
      </c>
    </row>
    <row r="19" spans="1:10">
      <c r="A19" s="38">
        <v>46034</v>
      </c>
      <c r="B19" s="39">
        <v>11934</v>
      </c>
      <c r="C19" s="40" t="s">
        <v>896</v>
      </c>
      <c r="D19" s="361">
        <v>109.68</v>
      </c>
      <c r="E19" s="37"/>
      <c r="F19" s="100">
        <v>46100</v>
      </c>
      <c r="G19" s="101">
        <v>53</v>
      </c>
      <c r="H19" s="102" t="s">
        <v>884</v>
      </c>
      <c r="I19" s="195">
        <v>60</v>
      </c>
      <c r="J19" s="103" t="s">
        <v>267</v>
      </c>
    </row>
    <row r="20" spans="1:10">
      <c r="A20" s="38">
        <v>46034</v>
      </c>
      <c r="B20" s="39">
        <v>11935</v>
      </c>
      <c r="C20" s="40" t="s">
        <v>196</v>
      </c>
      <c r="D20" s="361">
        <v>2978</v>
      </c>
      <c r="E20" s="37"/>
      <c r="F20" s="100">
        <v>46107</v>
      </c>
      <c r="G20" s="101" t="s">
        <v>589</v>
      </c>
      <c r="H20" s="102" t="s">
        <v>897</v>
      </c>
      <c r="I20" s="195">
        <v>296</v>
      </c>
      <c r="J20" s="103" t="s">
        <v>267</v>
      </c>
    </row>
    <row r="21" spans="1:10">
      <c r="A21" s="38">
        <v>46034</v>
      </c>
      <c r="B21" s="39">
        <v>11936</v>
      </c>
      <c r="C21" s="40" t="s">
        <v>207</v>
      </c>
      <c r="D21" s="361">
        <v>653.5</v>
      </c>
      <c r="E21" s="50"/>
      <c r="F21" s="88">
        <v>46113</v>
      </c>
      <c r="G21" s="89">
        <v>54</v>
      </c>
      <c r="H21" s="90" t="s">
        <v>884</v>
      </c>
      <c r="I21" s="91">
        <v>245</v>
      </c>
      <c r="J21" t="s">
        <v>267</v>
      </c>
    </row>
    <row r="22" spans="1:10">
      <c r="A22" s="38">
        <v>46034</v>
      </c>
      <c r="B22" s="39">
        <v>11937</v>
      </c>
      <c r="C22" s="40" t="s">
        <v>898</v>
      </c>
      <c r="D22" s="361">
        <v>570</v>
      </c>
      <c r="E22" s="50"/>
      <c r="F22" s="88">
        <v>46119</v>
      </c>
      <c r="G22" s="89">
        <v>7</v>
      </c>
      <c r="H22" s="90" t="s">
        <v>894</v>
      </c>
      <c r="I22" s="91">
        <v>806</v>
      </c>
      <c r="J22" t="s">
        <v>267</v>
      </c>
    </row>
    <row r="23" spans="1:10">
      <c r="A23" s="38">
        <v>46034</v>
      </c>
      <c r="B23" s="39">
        <v>11938</v>
      </c>
      <c r="C23" s="40" t="s">
        <v>899</v>
      </c>
      <c r="D23" s="361">
        <v>3083.36</v>
      </c>
      <c r="E23" s="37"/>
      <c r="F23" s="88">
        <v>46121</v>
      </c>
      <c r="G23" s="89">
        <v>55</v>
      </c>
      <c r="H23" s="90" t="s">
        <v>884</v>
      </c>
      <c r="I23" s="91">
        <v>160</v>
      </c>
      <c r="J23" t="s">
        <v>267</v>
      </c>
    </row>
    <row r="24" spans="1:10">
      <c r="A24" s="38">
        <v>46034</v>
      </c>
      <c r="B24" s="39">
        <v>11939</v>
      </c>
      <c r="C24" s="40" t="s">
        <v>900</v>
      </c>
      <c r="D24" s="361">
        <v>548.9</v>
      </c>
      <c r="E24" s="37"/>
      <c r="F24" s="88">
        <v>46122</v>
      </c>
      <c r="G24" s="89">
        <v>56</v>
      </c>
      <c r="H24" s="90" t="s">
        <v>884</v>
      </c>
      <c r="I24" s="91">
        <v>96.6</v>
      </c>
      <c r="J24" t="s">
        <v>267</v>
      </c>
    </row>
    <row r="25" spans="1:10">
      <c r="A25" s="38">
        <v>46034</v>
      </c>
      <c r="B25" s="39">
        <v>11940</v>
      </c>
      <c r="C25" s="40" t="s">
        <v>901</v>
      </c>
      <c r="D25" s="361">
        <v>1224</v>
      </c>
      <c r="E25" s="37"/>
      <c r="F25" s="88">
        <v>46125</v>
      </c>
      <c r="G25" s="89">
        <v>8</v>
      </c>
      <c r="H25" s="90" t="s">
        <v>894</v>
      </c>
      <c r="I25" s="91">
        <v>247.42</v>
      </c>
      <c r="J25" t="s">
        <v>267</v>
      </c>
    </row>
    <row r="26" spans="1:10">
      <c r="A26" s="38">
        <v>46034</v>
      </c>
      <c r="B26" s="39">
        <v>11941</v>
      </c>
      <c r="C26" s="40" t="s">
        <v>902</v>
      </c>
      <c r="D26" s="361">
        <v>654.20000000000005</v>
      </c>
      <c r="E26" s="37"/>
      <c r="F26" s="88">
        <v>46126</v>
      </c>
      <c r="G26" s="89">
        <v>9</v>
      </c>
      <c r="H26" s="90" t="s">
        <v>882</v>
      </c>
      <c r="I26" s="91">
        <v>2498.4</v>
      </c>
      <c r="J26" t="s">
        <v>267</v>
      </c>
    </row>
    <row r="27" spans="1:10">
      <c r="A27" s="38">
        <v>46035</v>
      </c>
      <c r="B27" s="39">
        <v>11942</v>
      </c>
      <c r="C27" s="40" t="s">
        <v>193</v>
      </c>
      <c r="D27" s="361">
        <v>1858.5</v>
      </c>
      <c r="E27" s="37"/>
      <c r="F27" s="88">
        <v>46126</v>
      </c>
      <c r="G27" s="89" t="s">
        <v>1260</v>
      </c>
      <c r="H27" s="90" t="s">
        <v>884</v>
      </c>
      <c r="I27" s="91">
        <v>165</v>
      </c>
      <c r="J27" t="s">
        <v>267</v>
      </c>
    </row>
    <row r="28" spans="1:10">
      <c r="A28" s="38">
        <v>46035</v>
      </c>
      <c r="B28" s="39">
        <v>11943</v>
      </c>
      <c r="C28" s="40" t="s">
        <v>197</v>
      </c>
      <c r="D28" s="361">
        <v>4432.1000000000004</v>
      </c>
      <c r="E28" s="37"/>
      <c r="F28" s="88">
        <v>46128</v>
      </c>
      <c r="G28" s="89">
        <v>1</v>
      </c>
      <c r="H28" s="90" t="s">
        <v>884</v>
      </c>
      <c r="I28" s="91">
        <v>180</v>
      </c>
      <c r="J28" t="s">
        <v>267</v>
      </c>
    </row>
    <row r="29" spans="1:10">
      <c r="A29" s="38">
        <v>46035</v>
      </c>
      <c r="B29" s="39">
        <v>11944</v>
      </c>
      <c r="C29" s="40" t="s">
        <v>899</v>
      </c>
      <c r="D29" s="361">
        <v>509.3</v>
      </c>
      <c r="E29" s="37"/>
      <c r="F29" s="88">
        <v>46135</v>
      </c>
      <c r="G29" s="89">
        <v>6</v>
      </c>
      <c r="H29" s="90" t="s">
        <v>884</v>
      </c>
      <c r="I29" s="91">
        <v>337.5</v>
      </c>
      <c r="J29" t="s">
        <v>267</v>
      </c>
    </row>
    <row r="30" spans="1:10">
      <c r="A30" s="38">
        <v>46035</v>
      </c>
      <c r="B30" s="39">
        <v>11945</v>
      </c>
      <c r="C30" s="40" t="s">
        <v>903</v>
      </c>
      <c r="D30" s="361">
        <v>56</v>
      </c>
      <c r="E30" s="37"/>
      <c r="F30" s="88">
        <v>46136</v>
      </c>
      <c r="G30" s="89">
        <v>7</v>
      </c>
      <c r="H30" s="90" t="s">
        <v>884</v>
      </c>
      <c r="I30" s="91">
        <v>160</v>
      </c>
      <c r="J30" t="s">
        <v>267</v>
      </c>
    </row>
    <row r="31" spans="1:10">
      <c r="A31" s="38">
        <v>46035</v>
      </c>
      <c r="B31" s="39">
        <v>11946</v>
      </c>
      <c r="C31" s="40" t="s">
        <v>904</v>
      </c>
      <c r="D31" s="361">
        <v>567.79999999999995</v>
      </c>
      <c r="F31" s="88">
        <v>46136</v>
      </c>
      <c r="G31" s="89">
        <v>8</v>
      </c>
      <c r="H31" s="90" t="s">
        <v>882</v>
      </c>
      <c r="I31" s="91">
        <v>88.2</v>
      </c>
      <c r="J31" t="s">
        <v>267</v>
      </c>
    </row>
    <row r="32" spans="1:10">
      <c r="A32" s="38">
        <v>46035</v>
      </c>
      <c r="B32" s="39">
        <v>11947</v>
      </c>
      <c r="C32" s="40" t="s">
        <v>905</v>
      </c>
      <c r="D32" s="361">
        <v>67.959999999999994</v>
      </c>
      <c r="F32" s="88">
        <v>46171</v>
      </c>
      <c r="G32" s="89">
        <v>58</v>
      </c>
      <c r="H32" s="90" t="s">
        <v>1483</v>
      </c>
      <c r="I32" s="91">
        <v>244</v>
      </c>
    </row>
    <row r="33" spans="1:9">
      <c r="A33" s="38">
        <v>46035</v>
      </c>
      <c r="B33" s="39">
        <v>11948</v>
      </c>
      <c r="C33" s="40" t="s">
        <v>906</v>
      </c>
      <c r="D33" s="361">
        <v>33.979999999999997</v>
      </c>
      <c r="F33" s="88">
        <v>46149</v>
      </c>
      <c r="G33" s="89">
        <v>12564</v>
      </c>
      <c r="H33" s="90" t="s">
        <v>884</v>
      </c>
      <c r="I33" s="91">
        <v>70</v>
      </c>
    </row>
    <row r="34" spans="1:9">
      <c r="A34" s="38">
        <v>46035</v>
      </c>
      <c r="B34" s="39">
        <v>11949</v>
      </c>
      <c r="C34" s="40" t="s">
        <v>199</v>
      </c>
      <c r="D34" s="361">
        <v>2039</v>
      </c>
      <c r="F34" s="88">
        <v>46149</v>
      </c>
      <c r="G34" s="89">
        <v>12565</v>
      </c>
      <c r="H34" s="90" t="s">
        <v>884</v>
      </c>
      <c r="I34" s="91">
        <v>160</v>
      </c>
    </row>
    <row r="35" spans="1:9">
      <c r="A35" s="38">
        <v>46035</v>
      </c>
      <c r="B35" s="39">
        <v>11950</v>
      </c>
      <c r="C35" s="40" t="s">
        <v>204</v>
      </c>
      <c r="D35" s="361">
        <v>1716</v>
      </c>
      <c r="F35" s="88">
        <v>46149</v>
      </c>
      <c r="G35" s="89">
        <v>12566</v>
      </c>
      <c r="H35" s="90" t="s">
        <v>1484</v>
      </c>
      <c r="I35" s="91">
        <v>66.7</v>
      </c>
    </row>
    <row r="36" spans="1:9">
      <c r="A36" s="38">
        <v>46035</v>
      </c>
      <c r="B36" s="39">
        <v>11951</v>
      </c>
      <c r="C36" s="40" t="s">
        <v>907</v>
      </c>
      <c r="D36" s="361">
        <v>13551</v>
      </c>
      <c r="F36" s="88">
        <v>46161</v>
      </c>
      <c r="G36" s="89">
        <v>12569</v>
      </c>
      <c r="H36" s="90" t="s">
        <v>884</v>
      </c>
      <c r="I36" s="91">
        <v>488</v>
      </c>
    </row>
    <row r="37" spans="1:9">
      <c r="A37" s="38">
        <v>46035</v>
      </c>
      <c r="B37" s="39">
        <v>11953</v>
      </c>
      <c r="C37" s="40" t="s">
        <v>196</v>
      </c>
      <c r="D37" s="361">
        <v>75</v>
      </c>
      <c r="F37" s="88">
        <v>46164</v>
      </c>
      <c r="G37" s="89">
        <v>12570</v>
      </c>
      <c r="H37" s="90" t="s">
        <v>884</v>
      </c>
      <c r="I37" s="91">
        <v>160</v>
      </c>
    </row>
    <row r="38" spans="1:9">
      <c r="A38" s="38">
        <v>46035</v>
      </c>
      <c r="B38" s="39">
        <v>11954</v>
      </c>
      <c r="C38" s="40" t="s">
        <v>198</v>
      </c>
      <c r="D38" s="361">
        <v>3039.5</v>
      </c>
      <c r="F38" s="88">
        <v>46164</v>
      </c>
      <c r="G38" s="89">
        <v>12571</v>
      </c>
      <c r="H38" s="90" t="s">
        <v>956</v>
      </c>
      <c r="I38" s="91">
        <v>12</v>
      </c>
    </row>
    <row r="39" spans="1:9">
      <c r="A39" s="38">
        <v>46035</v>
      </c>
      <c r="B39" s="39">
        <v>11955</v>
      </c>
      <c r="C39" s="40" t="s">
        <v>908</v>
      </c>
      <c r="D39" s="361">
        <v>338.5</v>
      </c>
    </row>
    <row r="40" spans="1:9">
      <c r="A40" s="38">
        <v>46036</v>
      </c>
      <c r="B40" s="39">
        <v>11956</v>
      </c>
      <c r="C40" s="40" t="s">
        <v>909</v>
      </c>
      <c r="D40" s="361">
        <v>5405</v>
      </c>
    </row>
    <row r="41" spans="1:9">
      <c r="A41" s="38">
        <v>46036</v>
      </c>
      <c r="B41" s="39">
        <v>11957</v>
      </c>
      <c r="C41" s="40" t="s">
        <v>910</v>
      </c>
      <c r="D41" s="361">
        <v>265</v>
      </c>
    </row>
    <row r="42" spans="1:9">
      <c r="A42" s="38">
        <v>46036</v>
      </c>
      <c r="B42" s="39">
        <v>11958</v>
      </c>
      <c r="C42" s="40" t="s">
        <v>911</v>
      </c>
      <c r="D42" s="361">
        <v>223.6</v>
      </c>
    </row>
    <row r="43" spans="1:9">
      <c r="A43" s="38">
        <v>46036</v>
      </c>
      <c r="B43" s="39">
        <v>11959</v>
      </c>
      <c r="C43" s="40" t="s">
        <v>912</v>
      </c>
      <c r="D43" s="361">
        <v>253.2</v>
      </c>
    </row>
    <row r="44" spans="1:9">
      <c r="A44" s="38">
        <v>46036</v>
      </c>
      <c r="B44" s="39">
        <v>11960</v>
      </c>
      <c r="C44" s="40" t="s">
        <v>913</v>
      </c>
      <c r="D44" s="361">
        <v>14513.29</v>
      </c>
    </row>
    <row r="45" spans="1:9">
      <c r="A45" s="38">
        <v>46036</v>
      </c>
      <c r="B45" s="39">
        <v>11961</v>
      </c>
      <c r="C45" s="40" t="s">
        <v>914</v>
      </c>
      <c r="D45" s="361">
        <v>1006.4</v>
      </c>
    </row>
    <row r="46" spans="1:9">
      <c r="A46" s="38">
        <v>46037</v>
      </c>
      <c r="B46" s="39">
        <v>11962</v>
      </c>
      <c r="C46" s="40" t="s">
        <v>915</v>
      </c>
      <c r="D46" s="361">
        <v>753.2</v>
      </c>
    </row>
    <row r="47" spans="1:9">
      <c r="A47" s="38">
        <v>46037</v>
      </c>
      <c r="B47" s="39">
        <v>11963</v>
      </c>
      <c r="C47" s="40" t="s">
        <v>916</v>
      </c>
      <c r="D47" s="361">
        <v>438</v>
      </c>
    </row>
    <row r="48" spans="1:9">
      <c r="A48" s="38">
        <v>46037</v>
      </c>
      <c r="B48" s="39">
        <v>11964</v>
      </c>
      <c r="C48" s="40" t="s">
        <v>914</v>
      </c>
      <c r="D48" s="361">
        <v>1737.9</v>
      </c>
    </row>
    <row r="49" spans="1:4">
      <c r="A49" s="38">
        <v>46037</v>
      </c>
      <c r="B49" s="39">
        <v>11965</v>
      </c>
      <c r="C49" s="40" t="s">
        <v>204</v>
      </c>
      <c r="D49" s="361">
        <v>569</v>
      </c>
    </row>
    <row r="50" spans="1:4">
      <c r="A50" s="38">
        <v>46037</v>
      </c>
      <c r="B50" s="39">
        <v>11966</v>
      </c>
      <c r="C50" s="40" t="s">
        <v>917</v>
      </c>
      <c r="D50" s="361">
        <v>2193</v>
      </c>
    </row>
    <row r="51" spans="1:4">
      <c r="A51" s="38">
        <v>46037</v>
      </c>
      <c r="B51" s="39">
        <v>11967</v>
      </c>
      <c r="C51" s="40" t="s">
        <v>208</v>
      </c>
      <c r="D51" s="361">
        <v>4332.2</v>
      </c>
    </row>
    <row r="52" spans="1:4">
      <c r="A52" s="38">
        <v>46037</v>
      </c>
      <c r="B52" s="39">
        <v>11968</v>
      </c>
      <c r="C52" s="40" t="s">
        <v>918</v>
      </c>
      <c r="D52" s="361">
        <v>93.2</v>
      </c>
    </row>
    <row r="53" spans="1:4">
      <c r="A53" s="38">
        <v>46037</v>
      </c>
      <c r="B53" s="39">
        <v>11969</v>
      </c>
      <c r="C53" s="40" t="s">
        <v>201</v>
      </c>
      <c r="D53" s="361">
        <v>651</v>
      </c>
    </row>
    <row r="54" spans="1:4">
      <c r="A54" s="38">
        <v>46038</v>
      </c>
      <c r="B54" s="39">
        <v>11970</v>
      </c>
      <c r="C54" s="40" t="s">
        <v>901</v>
      </c>
      <c r="D54" s="361">
        <v>1340</v>
      </c>
    </row>
    <row r="55" spans="1:4">
      <c r="A55" s="38">
        <v>46038</v>
      </c>
      <c r="B55" s="39">
        <v>11971</v>
      </c>
      <c r="C55" s="40" t="s">
        <v>919</v>
      </c>
      <c r="D55" s="361">
        <v>1053</v>
      </c>
    </row>
    <row r="56" spans="1:4">
      <c r="A56" s="38">
        <v>46038</v>
      </c>
      <c r="B56" s="39">
        <v>11972</v>
      </c>
      <c r="C56" s="40" t="s">
        <v>904</v>
      </c>
      <c r="D56" s="361">
        <v>1260</v>
      </c>
    </row>
    <row r="57" spans="1:4">
      <c r="A57" s="38">
        <v>46038</v>
      </c>
      <c r="B57" s="39">
        <v>11973</v>
      </c>
      <c r="C57" s="40" t="s">
        <v>920</v>
      </c>
      <c r="D57" s="361">
        <v>4023</v>
      </c>
    </row>
    <row r="58" spans="1:4">
      <c r="A58" s="38">
        <v>46038</v>
      </c>
      <c r="B58" s="39">
        <v>11974</v>
      </c>
      <c r="C58" s="40" t="s">
        <v>199</v>
      </c>
      <c r="D58" s="361">
        <v>420.75</v>
      </c>
    </row>
    <row r="59" spans="1:4">
      <c r="A59" s="38">
        <v>46041</v>
      </c>
      <c r="B59" s="39">
        <v>11975</v>
      </c>
      <c r="C59" s="40" t="s">
        <v>921</v>
      </c>
      <c r="D59" s="361">
        <v>29.98</v>
      </c>
    </row>
    <row r="60" spans="1:4">
      <c r="A60" s="38">
        <v>46041</v>
      </c>
      <c r="B60" s="39">
        <v>11976</v>
      </c>
      <c r="C60" s="40" t="s">
        <v>922</v>
      </c>
      <c r="D60" s="361">
        <v>44.99</v>
      </c>
    </row>
    <row r="61" spans="1:4">
      <c r="A61" s="38">
        <v>46041</v>
      </c>
      <c r="B61" s="39">
        <v>11977</v>
      </c>
      <c r="C61" s="40" t="s">
        <v>923</v>
      </c>
      <c r="D61" s="361">
        <v>19.989999999999998</v>
      </c>
    </row>
    <row r="62" spans="1:4">
      <c r="A62" s="38">
        <v>46041</v>
      </c>
      <c r="B62" s="39">
        <v>11978</v>
      </c>
      <c r="C62" s="40" t="s">
        <v>924</v>
      </c>
      <c r="D62" s="361">
        <v>19.989999999999998</v>
      </c>
    </row>
    <row r="63" spans="1:4">
      <c r="A63" s="38">
        <v>46041</v>
      </c>
      <c r="B63" s="39">
        <v>11979</v>
      </c>
      <c r="C63" s="40" t="s">
        <v>925</v>
      </c>
      <c r="D63" s="361">
        <v>44.99</v>
      </c>
    </row>
    <row r="64" spans="1:4">
      <c r="A64" s="38">
        <v>46041</v>
      </c>
      <c r="B64" s="39">
        <v>11980</v>
      </c>
      <c r="C64" s="40" t="s">
        <v>926</v>
      </c>
      <c r="D64" s="361">
        <v>24.99</v>
      </c>
    </row>
    <row r="65" spans="1:4">
      <c r="A65" s="38">
        <v>46041</v>
      </c>
      <c r="B65" s="39">
        <v>11981</v>
      </c>
      <c r="C65" s="40" t="s">
        <v>927</v>
      </c>
      <c r="D65" s="361">
        <v>33.979999999999997</v>
      </c>
    </row>
    <row r="66" spans="1:4">
      <c r="A66" s="38">
        <v>46042</v>
      </c>
      <c r="B66" s="39">
        <v>11982</v>
      </c>
      <c r="C66" s="40" t="s">
        <v>928</v>
      </c>
      <c r="D66" s="361">
        <v>19.989999999999998</v>
      </c>
    </row>
    <row r="67" spans="1:4">
      <c r="A67" s="38">
        <v>46042</v>
      </c>
      <c r="B67" s="39">
        <v>11983</v>
      </c>
      <c r="C67" s="40" t="s">
        <v>929</v>
      </c>
      <c r="D67" s="361">
        <v>34.5</v>
      </c>
    </row>
    <row r="68" spans="1:4">
      <c r="A68" s="38">
        <v>46042</v>
      </c>
      <c r="B68" s="39">
        <v>11984</v>
      </c>
      <c r="C68" s="40" t="s">
        <v>930</v>
      </c>
      <c r="D68" s="361">
        <v>13</v>
      </c>
    </row>
    <row r="69" spans="1:4">
      <c r="A69" s="38">
        <v>46042</v>
      </c>
      <c r="B69" s="39">
        <v>11985</v>
      </c>
      <c r="C69" s="40" t="s">
        <v>931</v>
      </c>
      <c r="D69" s="361">
        <v>12.99</v>
      </c>
    </row>
    <row r="70" spans="1:4">
      <c r="A70" s="38">
        <v>46043</v>
      </c>
      <c r="B70" s="39">
        <v>11986</v>
      </c>
      <c r="C70" s="40" t="s">
        <v>932</v>
      </c>
      <c r="D70" s="361">
        <v>42.99</v>
      </c>
    </row>
    <row r="71" spans="1:4">
      <c r="A71" s="38">
        <v>46043</v>
      </c>
      <c r="B71" s="39">
        <v>11987</v>
      </c>
      <c r="C71" s="40" t="s">
        <v>933</v>
      </c>
      <c r="D71" s="361">
        <v>9.99</v>
      </c>
    </row>
    <row r="72" spans="1:4">
      <c r="A72" s="38">
        <v>46043</v>
      </c>
      <c r="B72" s="39">
        <v>11988</v>
      </c>
      <c r="C72" s="40" t="s">
        <v>934</v>
      </c>
      <c r="D72" s="361">
        <v>25.98</v>
      </c>
    </row>
    <row r="73" spans="1:4">
      <c r="A73" s="38">
        <v>46043</v>
      </c>
      <c r="B73" s="39">
        <v>11989</v>
      </c>
      <c r="C73" s="40" t="s">
        <v>197</v>
      </c>
      <c r="D73" s="361">
        <v>242.62</v>
      </c>
    </row>
    <row r="74" spans="1:4">
      <c r="A74" s="38">
        <v>46043</v>
      </c>
      <c r="B74" s="39">
        <v>11990</v>
      </c>
      <c r="C74" s="40" t="s">
        <v>198</v>
      </c>
      <c r="D74" s="361">
        <v>2138.5</v>
      </c>
    </row>
    <row r="75" spans="1:4">
      <c r="A75" s="38">
        <v>46043</v>
      </c>
      <c r="B75" s="39">
        <v>11991</v>
      </c>
      <c r="C75" s="40" t="s">
        <v>935</v>
      </c>
      <c r="D75" s="361">
        <v>5024.1000000000004</v>
      </c>
    </row>
    <row r="76" spans="1:4">
      <c r="A76" s="38">
        <v>46043</v>
      </c>
      <c r="B76" s="39">
        <v>11992</v>
      </c>
      <c r="C76" s="40" t="s">
        <v>895</v>
      </c>
      <c r="D76" s="361">
        <v>3631.4</v>
      </c>
    </row>
    <row r="77" spans="1:4">
      <c r="A77" s="38">
        <v>46043</v>
      </c>
      <c r="B77" s="39">
        <v>11993</v>
      </c>
      <c r="C77" s="40" t="s">
        <v>919</v>
      </c>
      <c r="D77" s="361">
        <v>2002.2</v>
      </c>
    </row>
    <row r="78" spans="1:4">
      <c r="A78" s="38">
        <v>46043</v>
      </c>
      <c r="B78" s="39">
        <v>11994</v>
      </c>
      <c r="C78" s="40" t="s">
        <v>936</v>
      </c>
      <c r="D78" s="361">
        <v>2227</v>
      </c>
    </row>
    <row r="79" spans="1:4">
      <c r="A79" s="38">
        <v>46043</v>
      </c>
      <c r="B79" s="39">
        <v>11995</v>
      </c>
      <c r="C79" s="40" t="s">
        <v>937</v>
      </c>
      <c r="D79" s="361">
        <v>1500</v>
      </c>
    </row>
    <row r="80" spans="1:4">
      <c r="A80" s="38">
        <v>46043</v>
      </c>
      <c r="B80" s="39">
        <v>11996</v>
      </c>
      <c r="C80" s="40" t="s">
        <v>938</v>
      </c>
      <c r="D80" s="361">
        <v>288</v>
      </c>
    </row>
    <row r="81" spans="1:4">
      <c r="A81" s="38">
        <v>46043</v>
      </c>
      <c r="B81" s="39">
        <v>11997</v>
      </c>
      <c r="C81" s="40" t="s">
        <v>939</v>
      </c>
      <c r="D81" s="361">
        <v>990</v>
      </c>
    </row>
    <row r="82" spans="1:4">
      <c r="A82" s="38">
        <v>46044</v>
      </c>
      <c r="B82" s="39">
        <v>11998</v>
      </c>
      <c r="C82" s="40" t="s">
        <v>893</v>
      </c>
      <c r="D82" s="361">
        <v>600</v>
      </c>
    </row>
    <row r="83" spans="1:4">
      <c r="A83" s="38">
        <v>46044</v>
      </c>
      <c r="B83" s="39">
        <v>11999</v>
      </c>
      <c r="C83" s="40" t="s">
        <v>926</v>
      </c>
      <c r="D83" s="361">
        <v>24.99</v>
      </c>
    </row>
    <row r="84" spans="1:4">
      <c r="A84" s="38">
        <v>46044</v>
      </c>
      <c r="B84" s="39">
        <v>12000</v>
      </c>
      <c r="C84" s="40" t="s">
        <v>940</v>
      </c>
      <c r="D84" s="361">
        <v>129.99</v>
      </c>
    </row>
    <row r="85" spans="1:4">
      <c r="A85" s="38">
        <v>46044</v>
      </c>
      <c r="B85" s="39">
        <v>12001</v>
      </c>
      <c r="C85" s="40" t="s">
        <v>941</v>
      </c>
      <c r="D85" s="361">
        <v>24.99</v>
      </c>
    </row>
    <row r="86" spans="1:4">
      <c r="A86" s="38">
        <v>46044</v>
      </c>
      <c r="B86" s="39">
        <v>12005</v>
      </c>
      <c r="C86" s="40" t="s">
        <v>909</v>
      </c>
      <c r="D86" s="361">
        <v>2847.82</v>
      </c>
    </row>
    <row r="87" spans="1:4">
      <c r="A87" s="38">
        <v>46045</v>
      </c>
      <c r="B87" s="39">
        <v>12006</v>
      </c>
      <c r="C87" s="40" t="s">
        <v>196</v>
      </c>
      <c r="D87" s="361">
        <v>480</v>
      </c>
    </row>
    <row r="88" spans="1:4">
      <c r="A88" s="38">
        <v>46045</v>
      </c>
      <c r="B88" s="39">
        <v>12007</v>
      </c>
      <c r="C88" s="40" t="s">
        <v>942</v>
      </c>
      <c r="D88" s="361">
        <v>21.99</v>
      </c>
    </row>
    <row r="89" spans="1:4">
      <c r="A89" s="38">
        <v>46045</v>
      </c>
      <c r="B89" s="39">
        <v>12008</v>
      </c>
      <c r="C89" s="40" t="s">
        <v>943</v>
      </c>
      <c r="D89" s="361">
        <v>34.5</v>
      </c>
    </row>
    <row r="90" spans="1:4">
      <c r="A90" s="38">
        <v>46045</v>
      </c>
      <c r="B90" s="39">
        <v>12009</v>
      </c>
      <c r="C90" s="40" t="s">
        <v>944</v>
      </c>
      <c r="D90" s="361">
        <v>1441.6</v>
      </c>
    </row>
    <row r="91" spans="1:4">
      <c r="A91" s="38">
        <v>46045</v>
      </c>
      <c r="B91" s="39">
        <v>12010</v>
      </c>
      <c r="C91" s="40" t="s">
        <v>204</v>
      </c>
      <c r="D91" s="361">
        <v>623</v>
      </c>
    </row>
    <row r="92" spans="1:4">
      <c r="A92" s="38">
        <v>46045</v>
      </c>
      <c r="B92" s="39">
        <v>12011</v>
      </c>
      <c r="C92" s="40" t="s">
        <v>945</v>
      </c>
      <c r="D92" s="361">
        <v>1208</v>
      </c>
    </row>
    <row r="93" spans="1:4">
      <c r="A93" s="38">
        <v>46045</v>
      </c>
      <c r="B93" s="39">
        <v>12012</v>
      </c>
      <c r="C93" s="40" t="s">
        <v>903</v>
      </c>
      <c r="D93" s="361">
        <v>76</v>
      </c>
    </row>
    <row r="94" spans="1:4">
      <c r="A94" s="38">
        <v>46045</v>
      </c>
      <c r="B94" s="39">
        <v>12013</v>
      </c>
      <c r="C94" s="40" t="s">
        <v>937</v>
      </c>
      <c r="D94" s="361">
        <v>5039.6000000000004</v>
      </c>
    </row>
    <row r="95" spans="1:4">
      <c r="A95" s="38">
        <v>46048</v>
      </c>
      <c r="B95" s="39">
        <v>12014</v>
      </c>
      <c r="C95" s="40" t="s">
        <v>946</v>
      </c>
      <c r="D95" s="361">
        <v>39.97</v>
      </c>
    </row>
    <row r="96" spans="1:4">
      <c r="A96" s="38">
        <v>46048</v>
      </c>
      <c r="B96" s="39">
        <v>12015</v>
      </c>
      <c r="C96" s="40" t="s">
        <v>947</v>
      </c>
      <c r="D96" s="361">
        <v>24.99</v>
      </c>
    </row>
    <row r="97" spans="1:4">
      <c r="A97" s="38">
        <v>46048</v>
      </c>
      <c r="B97" s="39">
        <v>12017</v>
      </c>
      <c r="C97" s="40" t="s">
        <v>948</v>
      </c>
      <c r="D97" s="361">
        <v>9.99</v>
      </c>
    </row>
    <row r="98" spans="1:4">
      <c r="A98" s="38">
        <v>46048</v>
      </c>
      <c r="B98" s="39">
        <v>12018</v>
      </c>
      <c r="C98" s="40" t="s">
        <v>949</v>
      </c>
      <c r="D98" s="361">
        <v>9.99</v>
      </c>
    </row>
    <row r="99" spans="1:4">
      <c r="A99" s="38">
        <v>46048</v>
      </c>
      <c r="B99" s="39">
        <v>12019</v>
      </c>
      <c r="C99" s="40" t="s">
        <v>910</v>
      </c>
      <c r="D99" s="361">
        <v>725.1</v>
      </c>
    </row>
    <row r="100" spans="1:4">
      <c r="A100" s="38">
        <v>46048</v>
      </c>
      <c r="B100" s="39">
        <v>12020</v>
      </c>
      <c r="C100" s="40" t="s">
        <v>893</v>
      </c>
      <c r="D100" s="361">
        <v>390.5</v>
      </c>
    </row>
    <row r="101" spans="1:4">
      <c r="A101" s="38">
        <v>46049</v>
      </c>
      <c r="B101" s="39">
        <v>12021</v>
      </c>
      <c r="C101" s="40" t="s">
        <v>944</v>
      </c>
      <c r="D101" s="361">
        <v>528.85</v>
      </c>
    </row>
    <row r="102" spans="1:4">
      <c r="A102" s="38">
        <v>46049</v>
      </c>
      <c r="B102" s="39">
        <v>12022</v>
      </c>
      <c r="C102" s="40" t="s">
        <v>950</v>
      </c>
      <c r="D102" s="361">
        <v>1128.5</v>
      </c>
    </row>
    <row r="103" spans="1:4">
      <c r="A103" s="38">
        <v>46049</v>
      </c>
      <c r="B103" s="39">
        <v>12023</v>
      </c>
      <c r="C103" s="40" t="s">
        <v>951</v>
      </c>
      <c r="D103" s="361">
        <v>14.99</v>
      </c>
    </row>
    <row r="104" spans="1:4">
      <c r="A104" s="38">
        <v>46049</v>
      </c>
      <c r="B104" s="39">
        <v>12024</v>
      </c>
      <c r="C104" s="40" t="s">
        <v>952</v>
      </c>
      <c r="D104" s="361">
        <v>118</v>
      </c>
    </row>
    <row r="105" spans="1:4">
      <c r="A105" s="38">
        <v>46049</v>
      </c>
      <c r="B105" s="39">
        <v>12025</v>
      </c>
      <c r="C105" s="40" t="s">
        <v>208</v>
      </c>
      <c r="D105" s="361">
        <v>360</v>
      </c>
    </row>
    <row r="106" spans="1:4">
      <c r="A106" s="38">
        <v>46049</v>
      </c>
      <c r="B106" s="39">
        <v>12026</v>
      </c>
      <c r="C106" s="40" t="s">
        <v>953</v>
      </c>
      <c r="D106" s="361">
        <v>902</v>
      </c>
    </row>
    <row r="107" spans="1:4">
      <c r="A107" s="38">
        <v>46050</v>
      </c>
      <c r="B107" s="39">
        <v>12027</v>
      </c>
      <c r="C107" s="40" t="s">
        <v>954</v>
      </c>
      <c r="D107" s="361">
        <v>975</v>
      </c>
    </row>
    <row r="108" spans="1:4">
      <c r="A108" s="38">
        <v>46050</v>
      </c>
      <c r="B108" s="39">
        <v>12028</v>
      </c>
      <c r="C108" s="40" t="s">
        <v>955</v>
      </c>
      <c r="D108" s="361">
        <v>1032</v>
      </c>
    </row>
    <row r="109" spans="1:4">
      <c r="A109" s="38">
        <v>46050</v>
      </c>
      <c r="B109" s="39">
        <v>12029</v>
      </c>
      <c r="C109" s="40" t="s">
        <v>956</v>
      </c>
      <c r="D109" s="361">
        <v>624</v>
      </c>
    </row>
    <row r="110" spans="1:4">
      <c r="A110" s="38">
        <v>46050</v>
      </c>
      <c r="B110" s="39">
        <v>12030</v>
      </c>
      <c r="C110" s="40" t="s">
        <v>208</v>
      </c>
      <c r="D110" s="361">
        <v>2185.6</v>
      </c>
    </row>
    <row r="111" spans="1:4">
      <c r="A111" s="38">
        <v>46050</v>
      </c>
      <c r="B111" s="39">
        <v>12031</v>
      </c>
      <c r="C111" s="40" t="s">
        <v>193</v>
      </c>
      <c r="D111" s="361">
        <v>12838.32</v>
      </c>
    </row>
    <row r="112" spans="1:4">
      <c r="A112" s="38">
        <v>46050</v>
      </c>
      <c r="B112" s="39">
        <v>12032</v>
      </c>
      <c r="C112" s="40" t="s">
        <v>957</v>
      </c>
      <c r="D112" s="361">
        <v>350</v>
      </c>
    </row>
    <row r="113" spans="1:4">
      <c r="A113" s="38">
        <v>46051</v>
      </c>
      <c r="B113" s="39">
        <v>12033</v>
      </c>
      <c r="C113" s="40" t="s">
        <v>202</v>
      </c>
      <c r="D113" s="361">
        <v>89.5</v>
      </c>
    </row>
    <row r="114" spans="1:4">
      <c r="A114" s="38">
        <v>46051</v>
      </c>
      <c r="B114" s="39">
        <v>12034</v>
      </c>
      <c r="C114" s="40" t="s">
        <v>958</v>
      </c>
      <c r="D114" s="361">
        <v>44.97</v>
      </c>
    </row>
    <row r="115" spans="1:4">
      <c r="A115" s="38">
        <v>46051</v>
      </c>
      <c r="B115" s="39">
        <v>12035</v>
      </c>
      <c r="C115" s="40" t="s">
        <v>959</v>
      </c>
      <c r="D115" s="361">
        <v>19.989999999999998</v>
      </c>
    </row>
    <row r="116" spans="1:4">
      <c r="A116" s="38">
        <v>46051</v>
      </c>
      <c r="B116" s="39">
        <v>12036</v>
      </c>
      <c r="C116" s="40" t="s">
        <v>960</v>
      </c>
      <c r="D116" s="361">
        <v>44.97</v>
      </c>
    </row>
    <row r="117" spans="1:4">
      <c r="A117" s="38">
        <v>46051</v>
      </c>
      <c r="B117" s="39">
        <v>12037</v>
      </c>
      <c r="C117" s="40" t="s">
        <v>961</v>
      </c>
      <c r="D117" s="361">
        <v>4287.8999999999996</v>
      </c>
    </row>
    <row r="118" spans="1:4">
      <c r="A118" s="38">
        <v>46051</v>
      </c>
      <c r="B118" s="39">
        <v>12038</v>
      </c>
      <c r="C118" s="40" t="s">
        <v>885</v>
      </c>
      <c r="D118" s="361">
        <v>302</v>
      </c>
    </row>
    <row r="119" spans="1:4">
      <c r="A119" s="38">
        <v>46051</v>
      </c>
      <c r="B119" s="39">
        <v>12039</v>
      </c>
      <c r="C119" s="40" t="s">
        <v>208</v>
      </c>
      <c r="D119" s="361">
        <v>328.55</v>
      </c>
    </row>
    <row r="120" spans="1:4">
      <c r="A120" s="38">
        <v>46051</v>
      </c>
      <c r="B120" s="39">
        <v>12040</v>
      </c>
      <c r="C120" s="40" t="s">
        <v>962</v>
      </c>
      <c r="D120" s="361">
        <v>163.5</v>
      </c>
    </row>
    <row r="121" spans="1:4">
      <c r="A121" s="94">
        <v>46055</v>
      </c>
      <c r="B121" s="95">
        <v>12047</v>
      </c>
      <c r="C121" s="96" t="s">
        <v>963</v>
      </c>
      <c r="D121" s="362">
        <v>24.99</v>
      </c>
    </row>
    <row r="122" spans="1:4">
      <c r="A122" s="94">
        <v>46055</v>
      </c>
      <c r="B122" s="95">
        <v>12049</v>
      </c>
      <c r="C122" s="96" t="s">
        <v>964</v>
      </c>
      <c r="D122" s="362">
        <v>438.5</v>
      </c>
    </row>
    <row r="123" spans="1:4">
      <c r="A123" s="94">
        <v>46055</v>
      </c>
      <c r="B123" s="95">
        <v>12050</v>
      </c>
      <c r="C123" s="96" t="s">
        <v>900</v>
      </c>
      <c r="D123" s="362">
        <v>840.5</v>
      </c>
    </row>
    <row r="124" spans="1:4">
      <c r="A124" s="94">
        <v>46055</v>
      </c>
      <c r="B124" s="95">
        <v>12051</v>
      </c>
      <c r="C124" s="96" t="s">
        <v>965</v>
      </c>
      <c r="D124" s="362">
        <v>1865</v>
      </c>
    </row>
    <row r="125" spans="1:4">
      <c r="A125" s="94">
        <v>46056</v>
      </c>
      <c r="B125" s="95">
        <v>12052</v>
      </c>
      <c r="C125" s="96" t="s">
        <v>966</v>
      </c>
      <c r="D125" s="362">
        <v>265.5</v>
      </c>
    </row>
    <row r="126" spans="1:4">
      <c r="A126" s="94">
        <v>46056</v>
      </c>
      <c r="B126" s="95">
        <v>12053</v>
      </c>
      <c r="C126" s="96" t="s">
        <v>950</v>
      </c>
      <c r="D126" s="362">
        <v>673</v>
      </c>
    </row>
    <row r="127" spans="1:4">
      <c r="A127" s="94">
        <v>46056</v>
      </c>
      <c r="B127" s="95">
        <v>12054</v>
      </c>
      <c r="C127" s="96" t="s">
        <v>967</v>
      </c>
      <c r="D127" s="362">
        <v>39.99</v>
      </c>
    </row>
    <row r="128" spans="1:4">
      <c r="A128" s="94">
        <v>46057</v>
      </c>
      <c r="B128" s="95">
        <v>12055</v>
      </c>
      <c r="C128" s="96" t="s">
        <v>968</v>
      </c>
      <c r="D128" s="362">
        <v>53.98</v>
      </c>
    </row>
    <row r="129" spans="1:4">
      <c r="A129" s="94">
        <v>46057</v>
      </c>
      <c r="B129" s="95">
        <v>12056</v>
      </c>
      <c r="C129" s="96" t="s">
        <v>911</v>
      </c>
      <c r="D129" s="362">
        <v>252</v>
      </c>
    </row>
    <row r="130" spans="1:4">
      <c r="A130" s="94">
        <v>46057</v>
      </c>
      <c r="B130" s="95">
        <v>12057</v>
      </c>
      <c r="C130" s="96" t="s">
        <v>910</v>
      </c>
      <c r="D130" s="362">
        <v>261.89999999999998</v>
      </c>
    </row>
    <row r="131" spans="1:4">
      <c r="A131" s="94">
        <v>46057</v>
      </c>
      <c r="B131" s="95">
        <v>12058</v>
      </c>
      <c r="C131" s="96" t="s">
        <v>902</v>
      </c>
      <c r="D131" s="362">
        <v>486.8</v>
      </c>
    </row>
    <row r="132" spans="1:4">
      <c r="A132" s="94">
        <v>46057</v>
      </c>
      <c r="B132" s="95">
        <v>12059</v>
      </c>
      <c r="C132" s="96" t="s">
        <v>969</v>
      </c>
      <c r="D132" s="362">
        <v>276</v>
      </c>
    </row>
    <row r="133" spans="1:4">
      <c r="A133" s="94">
        <v>46058</v>
      </c>
      <c r="B133" s="95">
        <v>12060</v>
      </c>
      <c r="C133" s="96" t="s">
        <v>970</v>
      </c>
      <c r="D133" s="362">
        <v>6932</v>
      </c>
    </row>
    <row r="134" spans="1:4">
      <c r="A134" s="94">
        <v>46058</v>
      </c>
      <c r="B134" s="95">
        <v>12061</v>
      </c>
      <c r="C134" s="96" t="s">
        <v>971</v>
      </c>
      <c r="D134" s="362">
        <v>34.99</v>
      </c>
    </row>
    <row r="135" spans="1:4">
      <c r="A135" s="94">
        <v>46058</v>
      </c>
      <c r="B135" s="95">
        <v>12062</v>
      </c>
      <c r="C135" s="96" t="s">
        <v>972</v>
      </c>
      <c r="D135" s="362">
        <v>29.98</v>
      </c>
    </row>
    <row r="136" spans="1:4">
      <c r="A136" s="94">
        <v>46058</v>
      </c>
      <c r="B136" s="95">
        <v>12063</v>
      </c>
      <c r="C136" s="96" t="s">
        <v>903</v>
      </c>
      <c r="D136" s="362">
        <v>62</v>
      </c>
    </row>
    <row r="137" spans="1:4">
      <c r="A137" s="94">
        <v>46058</v>
      </c>
      <c r="B137" s="95">
        <v>12064</v>
      </c>
      <c r="C137" s="96" t="s">
        <v>208</v>
      </c>
      <c r="D137" s="362">
        <v>1249.46</v>
      </c>
    </row>
    <row r="138" spans="1:4">
      <c r="A138" s="94">
        <v>46059</v>
      </c>
      <c r="B138" s="95">
        <v>12065</v>
      </c>
      <c r="C138" s="96" t="s">
        <v>973</v>
      </c>
      <c r="D138" s="362">
        <v>22.99</v>
      </c>
    </row>
    <row r="139" spans="1:4">
      <c r="A139" s="94">
        <v>46059</v>
      </c>
      <c r="B139" s="95">
        <v>12066</v>
      </c>
      <c r="C139" s="96" t="s">
        <v>974</v>
      </c>
      <c r="D139" s="362">
        <v>33.979999999999997</v>
      </c>
    </row>
    <row r="140" spans="1:4">
      <c r="A140" s="94">
        <v>46059</v>
      </c>
      <c r="B140" s="95">
        <v>12067</v>
      </c>
      <c r="C140" s="96" t="s">
        <v>975</v>
      </c>
      <c r="D140" s="362">
        <v>191</v>
      </c>
    </row>
    <row r="141" spans="1:4">
      <c r="A141" s="94">
        <v>46059</v>
      </c>
      <c r="B141" s="95">
        <v>12068</v>
      </c>
      <c r="C141" s="96" t="s">
        <v>888</v>
      </c>
      <c r="D141" s="362">
        <v>1149</v>
      </c>
    </row>
    <row r="142" spans="1:4">
      <c r="A142" s="94">
        <v>46059</v>
      </c>
      <c r="B142" s="95">
        <v>12069</v>
      </c>
      <c r="C142" s="96" t="s">
        <v>976</v>
      </c>
      <c r="D142" s="362">
        <v>203</v>
      </c>
    </row>
    <row r="143" spans="1:4">
      <c r="A143" s="94">
        <v>46062</v>
      </c>
      <c r="B143" s="95">
        <v>12072</v>
      </c>
      <c r="C143" s="96" t="s">
        <v>977</v>
      </c>
      <c r="D143" s="362">
        <v>59.96</v>
      </c>
    </row>
    <row r="144" spans="1:4">
      <c r="A144" s="94">
        <v>46062</v>
      </c>
      <c r="B144" s="95">
        <v>12073</v>
      </c>
      <c r="C144" s="96" t="s">
        <v>978</v>
      </c>
      <c r="D144" s="362">
        <v>816</v>
      </c>
    </row>
    <row r="145" spans="1:4">
      <c r="A145" s="94">
        <v>46062</v>
      </c>
      <c r="B145" s="95">
        <v>12075</v>
      </c>
      <c r="C145" s="96" t="s">
        <v>206</v>
      </c>
      <c r="D145" s="362">
        <v>80</v>
      </c>
    </row>
    <row r="146" spans="1:4">
      <c r="A146" s="94">
        <v>46062</v>
      </c>
      <c r="B146" s="95">
        <v>12076</v>
      </c>
      <c r="C146" s="96" t="s">
        <v>206</v>
      </c>
      <c r="D146" s="362">
        <v>240</v>
      </c>
    </row>
    <row r="147" spans="1:4">
      <c r="A147" s="94">
        <v>46063</v>
      </c>
      <c r="B147" s="95">
        <v>12077</v>
      </c>
      <c r="C147" s="96" t="s">
        <v>918</v>
      </c>
      <c r="D147" s="362">
        <v>63</v>
      </c>
    </row>
    <row r="148" spans="1:4">
      <c r="A148" s="94">
        <v>46063</v>
      </c>
      <c r="B148" s="95">
        <v>12078</v>
      </c>
      <c r="C148" s="96" t="s">
        <v>979</v>
      </c>
      <c r="D148" s="362">
        <v>10.99</v>
      </c>
    </row>
    <row r="149" spans="1:4">
      <c r="A149" s="94">
        <v>46063</v>
      </c>
      <c r="B149" s="95">
        <v>12079</v>
      </c>
      <c r="C149" s="96" t="s">
        <v>980</v>
      </c>
      <c r="D149" s="362">
        <v>22.99</v>
      </c>
    </row>
    <row r="150" spans="1:4">
      <c r="A150" s="94">
        <v>46063</v>
      </c>
      <c r="B150" s="95">
        <v>12081</v>
      </c>
      <c r="C150" s="96" t="s">
        <v>981</v>
      </c>
      <c r="D150" s="362">
        <v>45.97</v>
      </c>
    </row>
    <row r="151" spans="1:4">
      <c r="A151" s="94">
        <v>46063</v>
      </c>
      <c r="B151" s="95">
        <v>12082</v>
      </c>
      <c r="C151" s="96" t="s">
        <v>982</v>
      </c>
      <c r="D151" s="362">
        <v>33.979999999999997</v>
      </c>
    </row>
    <row r="152" spans="1:4">
      <c r="A152" s="94">
        <v>46063</v>
      </c>
      <c r="B152" s="95">
        <v>12083</v>
      </c>
      <c r="C152" s="96" t="s">
        <v>983</v>
      </c>
      <c r="D152" s="362">
        <v>59.96</v>
      </c>
    </row>
    <row r="153" spans="1:4">
      <c r="A153" s="94">
        <v>46063</v>
      </c>
      <c r="B153" s="95">
        <v>12084</v>
      </c>
      <c r="C153" s="96" t="s">
        <v>984</v>
      </c>
      <c r="D153" s="362">
        <v>14.99</v>
      </c>
    </row>
    <row r="154" spans="1:4">
      <c r="A154" s="94">
        <v>46063</v>
      </c>
      <c r="B154" s="95">
        <v>12085</v>
      </c>
      <c r="C154" s="96" t="s">
        <v>985</v>
      </c>
      <c r="D154" s="362">
        <v>24.99</v>
      </c>
    </row>
    <row r="155" spans="1:4">
      <c r="A155" s="94">
        <v>46063</v>
      </c>
      <c r="B155" s="95">
        <v>12087</v>
      </c>
      <c r="C155" s="96" t="s">
        <v>887</v>
      </c>
      <c r="D155" s="362">
        <v>1177</v>
      </c>
    </row>
    <row r="156" spans="1:4">
      <c r="A156" s="94">
        <v>46063</v>
      </c>
      <c r="B156" s="95">
        <v>12089</v>
      </c>
      <c r="C156" s="96" t="s">
        <v>986</v>
      </c>
      <c r="D156" s="362">
        <v>614.74</v>
      </c>
    </row>
    <row r="157" spans="1:4">
      <c r="A157" s="94">
        <v>46064</v>
      </c>
      <c r="B157" s="95">
        <v>12091</v>
      </c>
      <c r="C157" s="96" t="s">
        <v>199</v>
      </c>
      <c r="D157" s="362">
        <v>3573</v>
      </c>
    </row>
    <row r="158" spans="1:4">
      <c r="A158" s="94">
        <v>46064</v>
      </c>
      <c r="B158" s="95">
        <v>12092</v>
      </c>
      <c r="C158" s="96" t="s">
        <v>935</v>
      </c>
      <c r="D158" s="362">
        <v>1907</v>
      </c>
    </row>
    <row r="159" spans="1:4">
      <c r="A159" s="94">
        <v>46064</v>
      </c>
      <c r="B159" s="95">
        <v>12093</v>
      </c>
      <c r="C159" s="96" t="s">
        <v>987</v>
      </c>
      <c r="D159" s="362">
        <v>24.99</v>
      </c>
    </row>
    <row r="160" spans="1:4">
      <c r="A160" s="94">
        <v>46064</v>
      </c>
      <c r="B160" s="95">
        <v>12094</v>
      </c>
      <c r="C160" s="96" t="s">
        <v>988</v>
      </c>
      <c r="D160" s="362">
        <v>74.95</v>
      </c>
    </row>
    <row r="161" spans="1:4">
      <c r="A161" s="94">
        <v>46064</v>
      </c>
      <c r="B161" s="95">
        <v>12095</v>
      </c>
      <c r="C161" s="96" t="s">
        <v>989</v>
      </c>
      <c r="D161" s="362">
        <v>29.98</v>
      </c>
    </row>
    <row r="162" spans="1:4">
      <c r="A162" s="94">
        <v>46064</v>
      </c>
      <c r="B162" s="95">
        <v>12096</v>
      </c>
      <c r="C162" s="96" t="s">
        <v>895</v>
      </c>
      <c r="D162" s="362">
        <v>5447.4</v>
      </c>
    </row>
    <row r="163" spans="1:4">
      <c r="A163" s="94">
        <v>46064</v>
      </c>
      <c r="B163" s="95">
        <v>12097</v>
      </c>
      <c r="C163" s="96" t="s">
        <v>990</v>
      </c>
      <c r="D163" s="362">
        <v>403.28</v>
      </c>
    </row>
    <row r="164" spans="1:4">
      <c r="A164" s="94">
        <v>46064</v>
      </c>
      <c r="B164" s="95">
        <v>12098</v>
      </c>
      <c r="C164" s="96" t="s">
        <v>991</v>
      </c>
      <c r="D164" s="362">
        <v>1119</v>
      </c>
    </row>
    <row r="165" spans="1:4">
      <c r="A165" s="94">
        <v>46064</v>
      </c>
      <c r="B165" s="95">
        <v>12099</v>
      </c>
      <c r="C165" s="96" t="s">
        <v>899</v>
      </c>
      <c r="D165" s="362">
        <v>4067.66</v>
      </c>
    </row>
    <row r="166" spans="1:4">
      <c r="A166" s="94">
        <v>46064</v>
      </c>
      <c r="B166" s="95">
        <v>12100</v>
      </c>
      <c r="C166" s="96" t="s">
        <v>953</v>
      </c>
      <c r="D166" s="362">
        <v>3705.3</v>
      </c>
    </row>
    <row r="167" spans="1:4">
      <c r="A167" s="94">
        <v>46064</v>
      </c>
      <c r="B167" s="95">
        <v>12101</v>
      </c>
      <c r="C167" s="96" t="s">
        <v>954</v>
      </c>
      <c r="D167" s="362">
        <v>550</v>
      </c>
    </row>
    <row r="168" spans="1:4">
      <c r="A168" s="94">
        <v>46065</v>
      </c>
      <c r="B168" s="95">
        <v>12102</v>
      </c>
      <c r="C168" s="96" t="s">
        <v>992</v>
      </c>
      <c r="D168" s="362">
        <v>652</v>
      </c>
    </row>
    <row r="169" spans="1:4">
      <c r="A169" s="94">
        <v>46065</v>
      </c>
      <c r="B169" s="95">
        <v>12103</v>
      </c>
      <c r="C169" s="96" t="s">
        <v>993</v>
      </c>
      <c r="D169" s="362">
        <v>1023</v>
      </c>
    </row>
    <row r="170" spans="1:4">
      <c r="A170" s="94">
        <v>46066</v>
      </c>
      <c r="B170" s="95">
        <v>12104</v>
      </c>
      <c r="C170" s="96" t="s">
        <v>964</v>
      </c>
      <c r="D170" s="362">
        <v>89</v>
      </c>
    </row>
    <row r="171" spans="1:4">
      <c r="A171" s="94">
        <v>46066</v>
      </c>
      <c r="B171" s="95">
        <v>12106</v>
      </c>
      <c r="C171" s="96" t="s">
        <v>198</v>
      </c>
      <c r="D171" s="362">
        <v>1518.56</v>
      </c>
    </row>
    <row r="172" spans="1:4">
      <c r="A172" s="94">
        <v>46066</v>
      </c>
      <c r="B172" s="95">
        <v>12107</v>
      </c>
      <c r="C172" s="96" t="s">
        <v>994</v>
      </c>
      <c r="D172" s="362">
        <v>199</v>
      </c>
    </row>
    <row r="173" spans="1:4">
      <c r="A173" s="94">
        <v>46066</v>
      </c>
      <c r="B173" s="95">
        <v>12108</v>
      </c>
      <c r="C173" s="96" t="s">
        <v>961</v>
      </c>
      <c r="D173" s="362">
        <v>175</v>
      </c>
    </row>
    <row r="174" spans="1:4">
      <c r="A174" s="94">
        <v>46066</v>
      </c>
      <c r="B174" s="95">
        <v>12109</v>
      </c>
      <c r="C174" s="96" t="s">
        <v>198</v>
      </c>
      <c r="D174" s="362">
        <v>180</v>
      </c>
    </row>
    <row r="175" spans="1:4">
      <c r="A175" s="94">
        <v>46066</v>
      </c>
      <c r="B175" s="95">
        <v>12110</v>
      </c>
      <c r="C175" s="96" t="s">
        <v>197</v>
      </c>
      <c r="D175" s="362">
        <v>1324.3</v>
      </c>
    </row>
    <row r="176" spans="1:4">
      <c r="A176" s="94">
        <v>46066</v>
      </c>
      <c r="B176" s="95">
        <v>12111</v>
      </c>
      <c r="C176" s="96" t="s">
        <v>995</v>
      </c>
      <c r="D176" s="362">
        <v>2946.2</v>
      </c>
    </row>
    <row r="177" spans="1:4">
      <c r="A177" s="94">
        <v>46071</v>
      </c>
      <c r="B177" s="95">
        <v>12112</v>
      </c>
      <c r="C177" s="96" t="s">
        <v>892</v>
      </c>
      <c r="D177" s="362">
        <v>100</v>
      </c>
    </row>
    <row r="178" spans="1:4">
      <c r="A178" s="94">
        <v>46071</v>
      </c>
      <c r="B178" s="95">
        <v>12113</v>
      </c>
      <c r="C178" s="96" t="s">
        <v>996</v>
      </c>
      <c r="D178" s="362">
        <v>19.989999999999998</v>
      </c>
    </row>
    <row r="179" spans="1:4">
      <c r="A179" s="94">
        <v>46071</v>
      </c>
      <c r="B179" s="95">
        <v>12115</v>
      </c>
      <c r="C179" s="96" t="s">
        <v>996</v>
      </c>
      <c r="D179" s="362">
        <v>24.99</v>
      </c>
    </row>
    <row r="180" spans="1:4">
      <c r="A180" s="94">
        <v>46071</v>
      </c>
      <c r="B180" s="95">
        <v>12117</v>
      </c>
      <c r="C180" s="96" t="s">
        <v>996</v>
      </c>
      <c r="D180" s="362">
        <v>25.98</v>
      </c>
    </row>
    <row r="181" spans="1:4">
      <c r="A181" s="94">
        <v>46071</v>
      </c>
      <c r="B181" s="95">
        <v>12118</v>
      </c>
      <c r="C181" s="96" t="s">
        <v>885</v>
      </c>
      <c r="D181" s="362">
        <v>1021</v>
      </c>
    </row>
    <row r="182" spans="1:4">
      <c r="A182" s="94">
        <v>46071</v>
      </c>
      <c r="B182" s="95">
        <v>12119</v>
      </c>
      <c r="C182" s="96" t="s">
        <v>208</v>
      </c>
      <c r="D182" s="362">
        <v>625.85</v>
      </c>
    </row>
    <row r="183" spans="1:4">
      <c r="A183" s="94">
        <v>46071</v>
      </c>
      <c r="B183" s="95">
        <v>12120</v>
      </c>
      <c r="C183" s="96" t="s">
        <v>997</v>
      </c>
      <c r="D183" s="362">
        <v>544.70000000000005</v>
      </c>
    </row>
    <row r="184" spans="1:4">
      <c r="A184" s="94">
        <v>46072</v>
      </c>
      <c r="B184" s="95">
        <v>12121</v>
      </c>
      <c r="C184" s="96" t="s">
        <v>998</v>
      </c>
      <c r="D184" s="362">
        <v>16.989999999999998</v>
      </c>
    </row>
    <row r="185" spans="1:4">
      <c r="A185" s="94">
        <v>46072</v>
      </c>
      <c r="B185" s="95">
        <v>12122</v>
      </c>
      <c r="C185" s="96" t="s">
        <v>999</v>
      </c>
      <c r="D185" s="362">
        <v>39.99</v>
      </c>
    </row>
    <row r="186" spans="1:4">
      <c r="A186" s="94">
        <v>46072</v>
      </c>
      <c r="B186" s="95">
        <v>12123</v>
      </c>
      <c r="C186" s="96" t="s">
        <v>999</v>
      </c>
      <c r="D186" s="362">
        <v>214.95</v>
      </c>
    </row>
    <row r="187" spans="1:4">
      <c r="A187" s="94">
        <v>46072</v>
      </c>
      <c r="B187" s="95">
        <v>12124</v>
      </c>
      <c r="C187" s="96" t="s">
        <v>1000</v>
      </c>
      <c r="D187" s="362">
        <v>9.99</v>
      </c>
    </row>
    <row r="188" spans="1:4">
      <c r="A188" s="94">
        <v>46072</v>
      </c>
      <c r="B188" s="95">
        <v>12125</v>
      </c>
      <c r="C188" s="96" t="s">
        <v>1001</v>
      </c>
      <c r="D188" s="362">
        <v>139.93</v>
      </c>
    </row>
    <row r="189" spans="1:4">
      <c r="A189" s="94">
        <v>46072</v>
      </c>
      <c r="B189" s="95">
        <v>12126</v>
      </c>
      <c r="C189" s="96" t="s">
        <v>1002</v>
      </c>
      <c r="D189" s="362">
        <v>19.989999999999998</v>
      </c>
    </row>
    <row r="190" spans="1:4">
      <c r="A190" s="94">
        <v>46072</v>
      </c>
      <c r="B190" s="95">
        <v>12127</v>
      </c>
      <c r="C190" s="96" t="s">
        <v>1003</v>
      </c>
      <c r="D190" s="362">
        <v>77.94</v>
      </c>
    </row>
    <row r="191" spans="1:4">
      <c r="A191" s="94">
        <v>46072</v>
      </c>
      <c r="B191" s="95">
        <v>12128</v>
      </c>
      <c r="C191" s="96" t="s">
        <v>1004</v>
      </c>
      <c r="D191" s="362">
        <v>29.98</v>
      </c>
    </row>
    <row r="192" spans="1:4">
      <c r="A192" s="94">
        <v>46072</v>
      </c>
      <c r="B192" s="95">
        <v>12129</v>
      </c>
      <c r="C192" s="96" t="s">
        <v>1005</v>
      </c>
      <c r="D192" s="362">
        <v>22.99</v>
      </c>
    </row>
    <row r="193" spans="1:4">
      <c r="A193" s="94">
        <v>46072</v>
      </c>
      <c r="B193" s="95">
        <v>12130</v>
      </c>
      <c r="C193" s="96" t="s">
        <v>1006</v>
      </c>
      <c r="D193" s="362">
        <v>26.99</v>
      </c>
    </row>
    <row r="194" spans="1:4">
      <c r="A194" s="94">
        <v>46072</v>
      </c>
      <c r="B194" s="95">
        <v>12131</v>
      </c>
      <c r="C194" s="96" t="s">
        <v>998</v>
      </c>
      <c r="D194" s="362">
        <v>16.989999999999998</v>
      </c>
    </row>
    <row r="195" spans="1:4">
      <c r="A195" s="94">
        <v>46072</v>
      </c>
      <c r="B195" s="95">
        <v>12132</v>
      </c>
      <c r="C195" s="96" t="s">
        <v>1007</v>
      </c>
      <c r="D195" s="362">
        <v>288</v>
      </c>
    </row>
    <row r="196" spans="1:4">
      <c r="A196" s="94">
        <v>46072</v>
      </c>
      <c r="B196" s="95">
        <v>12133</v>
      </c>
      <c r="C196" s="96" t="s">
        <v>893</v>
      </c>
      <c r="D196" s="362">
        <v>827</v>
      </c>
    </row>
    <row r="197" spans="1:4">
      <c r="A197" s="94">
        <v>46073</v>
      </c>
      <c r="B197" s="95">
        <v>12134</v>
      </c>
      <c r="C197" s="96" t="s">
        <v>1008</v>
      </c>
      <c r="D197" s="362">
        <v>6651.6</v>
      </c>
    </row>
    <row r="198" spans="1:4">
      <c r="A198" s="94">
        <v>46073</v>
      </c>
      <c r="B198" s="95">
        <v>12135</v>
      </c>
      <c r="C198" s="96" t="s">
        <v>208</v>
      </c>
      <c r="D198" s="362">
        <v>592.5</v>
      </c>
    </row>
    <row r="199" spans="1:4">
      <c r="A199" s="94">
        <v>46073</v>
      </c>
      <c r="B199" s="95">
        <v>12136</v>
      </c>
      <c r="C199" s="96" t="s">
        <v>208</v>
      </c>
      <c r="D199" s="362">
        <v>3285.32</v>
      </c>
    </row>
    <row r="200" spans="1:4">
      <c r="A200" s="94">
        <v>46073</v>
      </c>
      <c r="B200" s="95">
        <v>12137</v>
      </c>
      <c r="C200" s="96" t="s">
        <v>1009</v>
      </c>
      <c r="D200" s="362">
        <v>24.99</v>
      </c>
    </row>
    <row r="201" spans="1:4">
      <c r="A201" s="94">
        <v>46073</v>
      </c>
      <c r="B201" s="95">
        <v>12138</v>
      </c>
      <c r="C201" s="96" t="s">
        <v>1010</v>
      </c>
      <c r="D201" s="362">
        <v>54.99</v>
      </c>
    </row>
    <row r="202" spans="1:4">
      <c r="A202" s="94">
        <v>46073</v>
      </c>
      <c r="B202" s="95">
        <v>12139</v>
      </c>
      <c r="C202" s="96" t="s">
        <v>1011</v>
      </c>
      <c r="D202" s="362">
        <v>13</v>
      </c>
    </row>
    <row r="203" spans="1:4">
      <c r="A203" s="94">
        <v>46073</v>
      </c>
      <c r="B203" s="95">
        <v>12140</v>
      </c>
      <c r="C203" s="96" t="s">
        <v>1012</v>
      </c>
      <c r="D203" s="362">
        <v>19.989999999999998</v>
      </c>
    </row>
    <row r="204" spans="1:4">
      <c r="A204" s="94">
        <v>46073</v>
      </c>
      <c r="B204" s="95">
        <v>12141</v>
      </c>
      <c r="C204" s="96" t="s">
        <v>1013</v>
      </c>
      <c r="D204" s="362">
        <v>19.989999999999998</v>
      </c>
    </row>
    <row r="205" spans="1:4">
      <c r="A205" s="94">
        <v>46073</v>
      </c>
      <c r="B205" s="95">
        <v>12142</v>
      </c>
      <c r="C205" s="96" t="s">
        <v>919</v>
      </c>
      <c r="D205" s="362">
        <v>2069</v>
      </c>
    </row>
    <row r="206" spans="1:4">
      <c r="A206" s="94">
        <v>46073</v>
      </c>
      <c r="B206" s="95">
        <v>12143</v>
      </c>
      <c r="C206" s="96" t="s">
        <v>1014</v>
      </c>
      <c r="D206" s="362">
        <v>706</v>
      </c>
    </row>
    <row r="207" spans="1:4">
      <c r="A207" s="94">
        <v>46076</v>
      </c>
      <c r="B207" s="95">
        <v>12144</v>
      </c>
      <c r="C207" s="96" t="s">
        <v>1015</v>
      </c>
      <c r="D207" s="362">
        <v>1020</v>
      </c>
    </row>
    <row r="208" spans="1:4">
      <c r="A208" s="94">
        <v>46076</v>
      </c>
      <c r="B208" s="95">
        <v>12145</v>
      </c>
      <c r="C208" s="96" t="s">
        <v>1016</v>
      </c>
      <c r="D208" s="362">
        <v>29.98</v>
      </c>
    </row>
    <row r="209" spans="1:4">
      <c r="A209" s="94">
        <v>46076</v>
      </c>
      <c r="B209" s="95">
        <v>12146</v>
      </c>
      <c r="C209" s="96" t="s">
        <v>1017</v>
      </c>
      <c r="D209" s="362">
        <v>7700</v>
      </c>
    </row>
    <row r="210" spans="1:4">
      <c r="A210" s="94">
        <v>46076</v>
      </c>
      <c r="B210" s="95">
        <v>12147</v>
      </c>
      <c r="C210" s="96" t="s">
        <v>1018</v>
      </c>
      <c r="D210" s="362">
        <v>535.5</v>
      </c>
    </row>
    <row r="211" spans="1:4">
      <c r="A211" s="94">
        <v>46076</v>
      </c>
      <c r="B211" s="95">
        <v>12148</v>
      </c>
      <c r="C211" s="96" t="s">
        <v>885</v>
      </c>
      <c r="D211" s="362">
        <v>215</v>
      </c>
    </row>
    <row r="212" spans="1:4">
      <c r="A212" s="94">
        <v>46076</v>
      </c>
      <c r="B212" s="95">
        <v>12149</v>
      </c>
      <c r="C212" s="96" t="s">
        <v>885</v>
      </c>
      <c r="D212" s="362">
        <v>308.04000000000002</v>
      </c>
    </row>
    <row r="213" spans="1:4">
      <c r="A213" s="94">
        <v>46076</v>
      </c>
      <c r="B213" s="95">
        <v>12150</v>
      </c>
      <c r="C213" s="96" t="s">
        <v>907</v>
      </c>
      <c r="D213" s="362">
        <v>7290</v>
      </c>
    </row>
    <row r="214" spans="1:4">
      <c r="A214" s="94">
        <v>46076</v>
      </c>
      <c r="B214" s="95">
        <v>12151</v>
      </c>
      <c r="C214" s="96" t="s">
        <v>962</v>
      </c>
      <c r="D214" s="362">
        <v>208</v>
      </c>
    </row>
    <row r="215" spans="1:4">
      <c r="A215" s="94">
        <v>46076</v>
      </c>
      <c r="B215" s="95">
        <v>12152</v>
      </c>
      <c r="C215" s="96" t="s">
        <v>895</v>
      </c>
      <c r="D215" s="362">
        <v>166</v>
      </c>
    </row>
    <row r="216" spans="1:4">
      <c r="A216" s="94">
        <v>46077</v>
      </c>
      <c r="B216" s="95">
        <v>12153</v>
      </c>
      <c r="C216" s="96" t="s">
        <v>1019</v>
      </c>
      <c r="D216" s="362">
        <v>12.99</v>
      </c>
    </row>
    <row r="217" spans="1:4">
      <c r="A217" s="94">
        <v>46077</v>
      </c>
      <c r="B217" s="95">
        <v>12154</v>
      </c>
      <c r="C217" s="96" t="s">
        <v>1020</v>
      </c>
      <c r="D217" s="362">
        <v>19.989999999999998</v>
      </c>
    </row>
    <row r="218" spans="1:4">
      <c r="A218" s="94">
        <v>46077</v>
      </c>
      <c r="B218" s="95">
        <v>12155</v>
      </c>
      <c r="C218" s="96" t="s">
        <v>1021</v>
      </c>
      <c r="D218" s="362">
        <v>25.98</v>
      </c>
    </row>
    <row r="219" spans="1:4">
      <c r="A219" s="94">
        <v>46077</v>
      </c>
      <c r="B219" s="95">
        <v>12156</v>
      </c>
      <c r="C219" s="96" t="s">
        <v>1022</v>
      </c>
      <c r="D219" s="362">
        <v>26.99</v>
      </c>
    </row>
    <row r="220" spans="1:4">
      <c r="A220" s="94">
        <v>46077</v>
      </c>
      <c r="B220" s="95">
        <v>12157</v>
      </c>
      <c r="C220" s="96" t="s">
        <v>993</v>
      </c>
      <c r="D220" s="362">
        <v>629</v>
      </c>
    </row>
    <row r="221" spans="1:4">
      <c r="A221" s="94">
        <v>46077</v>
      </c>
      <c r="B221" s="95">
        <v>12158</v>
      </c>
      <c r="C221" s="96" t="s">
        <v>196</v>
      </c>
      <c r="D221" s="362">
        <v>1057.5</v>
      </c>
    </row>
    <row r="222" spans="1:4">
      <c r="A222" s="94">
        <v>46077</v>
      </c>
      <c r="B222" s="95">
        <v>12159</v>
      </c>
      <c r="C222" s="96" t="s">
        <v>1023</v>
      </c>
      <c r="D222" s="362">
        <v>74.540000000000006</v>
      </c>
    </row>
    <row r="223" spans="1:4">
      <c r="A223" s="94">
        <v>46077</v>
      </c>
      <c r="B223" s="95">
        <v>12160</v>
      </c>
      <c r="C223" s="96" t="s">
        <v>908</v>
      </c>
      <c r="D223" s="362">
        <v>142.9</v>
      </c>
    </row>
    <row r="224" spans="1:4">
      <c r="A224" s="94">
        <v>46077</v>
      </c>
      <c r="B224" s="95">
        <v>12161</v>
      </c>
      <c r="C224" s="96" t="s">
        <v>1024</v>
      </c>
      <c r="D224" s="362">
        <v>145.9</v>
      </c>
    </row>
    <row r="225" spans="1:4">
      <c r="A225" s="94">
        <v>46078</v>
      </c>
      <c r="B225" s="95">
        <v>12162</v>
      </c>
      <c r="C225" s="96" t="s">
        <v>966</v>
      </c>
      <c r="D225" s="362">
        <v>188.5</v>
      </c>
    </row>
    <row r="226" spans="1:4">
      <c r="A226" s="94">
        <v>46078</v>
      </c>
      <c r="B226" s="95">
        <v>12163</v>
      </c>
      <c r="C226" s="96" t="s">
        <v>1025</v>
      </c>
      <c r="D226" s="362">
        <v>26.99</v>
      </c>
    </row>
    <row r="227" spans="1:4">
      <c r="A227" s="94">
        <v>46078</v>
      </c>
      <c r="B227" s="95">
        <v>12164</v>
      </c>
      <c r="C227" s="96" t="s">
        <v>909</v>
      </c>
      <c r="D227" s="362">
        <v>300</v>
      </c>
    </row>
    <row r="228" spans="1:4">
      <c r="A228" s="94">
        <v>46078</v>
      </c>
      <c r="B228" s="95">
        <v>12165</v>
      </c>
      <c r="C228" s="96" t="s">
        <v>1026</v>
      </c>
      <c r="D228" s="362">
        <v>1111</v>
      </c>
    </row>
    <row r="229" spans="1:4">
      <c r="A229" s="94">
        <v>46078</v>
      </c>
      <c r="B229" s="95">
        <v>12166</v>
      </c>
      <c r="C229" s="96" t="s">
        <v>895</v>
      </c>
      <c r="D229" s="362">
        <v>13637.3</v>
      </c>
    </row>
    <row r="230" spans="1:4">
      <c r="A230" s="94">
        <v>46079</v>
      </c>
      <c r="B230" s="95">
        <v>12167</v>
      </c>
      <c r="C230" s="96" t="s">
        <v>208</v>
      </c>
      <c r="D230" s="362">
        <v>202</v>
      </c>
    </row>
    <row r="231" spans="1:4">
      <c r="A231" s="94">
        <v>46079</v>
      </c>
      <c r="B231" s="95">
        <v>12168</v>
      </c>
      <c r="C231" s="96" t="s">
        <v>1027</v>
      </c>
      <c r="D231" s="362">
        <v>57.6</v>
      </c>
    </row>
    <row r="232" spans="1:4">
      <c r="A232" s="94">
        <v>46079</v>
      </c>
      <c r="B232" s="95">
        <v>12169</v>
      </c>
      <c r="C232" s="96" t="s">
        <v>1028</v>
      </c>
      <c r="D232" s="362">
        <v>14.99</v>
      </c>
    </row>
    <row r="233" spans="1:4">
      <c r="A233" s="94">
        <v>46079</v>
      </c>
      <c r="B233" s="95">
        <v>12170</v>
      </c>
      <c r="C233" s="96" t="s">
        <v>1029</v>
      </c>
      <c r="D233" s="362">
        <v>33.979999999999997</v>
      </c>
    </row>
    <row r="234" spans="1:4">
      <c r="A234" s="94">
        <v>46079</v>
      </c>
      <c r="B234" s="95">
        <v>12171</v>
      </c>
      <c r="C234" s="96" t="s">
        <v>1030</v>
      </c>
      <c r="D234" s="362">
        <v>19.989999999999998</v>
      </c>
    </row>
    <row r="235" spans="1:4">
      <c r="A235" s="94">
        <v>46079</v>
      </c>
      <c r="B235" s="95">
        <v>12172</v>
      </c>
      <c r="C235" s="96" t="s">
        <v>1031</v>
      </c>
      <c r="D235" s="362">
        <v>33.979999999999997</v>
      </c>
    </row>
    <row r="236" spans="1:4">
      <c r="A236" s="94">
        <v>46079</v>
      </c>
      <c r="B236" s="95">
        <v>12173</v>
      </c>
      <c r="C236" s="96" t="s">
        <v>1032</v>
      </c>
      <c r="D236" s="362">
        <v>29.98</v>
      </c>
    </row>
    <row r="237" spans="1:4">
      <c r="A237" s="94">
        <v>46079</v>
      </c>
      <c r="B237" s="95">
        <v>12174</v>
      </c>
      <c r="C237" s="96" t="s">
        <v>208</v>
      </c>
      <c r="D237" s="362">
        <v>1300.96</v>
      </c>
    </row>
    <row r="238" spans="1:4">
      <c r="A238" s="94">
        <v>46079</v>
      </c>
      <c r="B238" s="95">
        <v>12175</v>
      </c>
      <c r="C238" s="96" t="s">
        <v>200</v>
      </c>
      <c r="D238" s="362">
        <v>306</v>
      </c>
    </row>
    <row r="239" spans="1:4">
      <c r="A239" s="94">
        <v>46079</v>
      </c>
      <c r="B239" s="95">
        <v>12176</v>
      </c>
      <c r="C239" s="96" t="s">
        <v>964</v>
      </c>
      <c r="D239" s="362">
        <v>951</v>
      </c>
    </row>
    <row r="240" spans="1:4">
      <c r="A240" s="94">
        <v>46079</v>
      </c>
      <c r="B240" s="95">
        <v>12177</v>
      </c>
      <c r="C240" s="96" t="s">
        <v>1033</v>
      </c>
      <c r="D240" s="362">
        <v>3760</v>
      </c>
    </row>
    <row r="241" spans="1:4">
      <c r="A241" s="94">
        <v>46079</v>
      </c>
      <c r="B241" s="95">
        <v>12178</v>
      </c>
      <c r="C241" s="96" t="s">
        <v>944</v>
      </c>
      <c r="D241" s="362">
        <v>1497</v>
      </c>
    </row>
    <row r="242" spans="1:4">
      <c r="A242" s="94">
        <v>46079</v>
      </c>
      <c r="B242" s="95">
        <v>12179</v>
      </c>
      <c r="C242" s="96" t="s">
        <v>204</v>
      </c>
      <c r="D242" s="362">
        <v>1188</v>
      </c>
    </row>
    <row r="243" spans="1:4">
      <c r="A243" s="94">
        <v>46080</v>
      </c>
      <c r="B243" s="95">
        <v>12180</v>
      </c>
      <c r="C243" s="96" t="s">
        <v>1034</v>
      </c>
      <c r="D243" s="362">
        <v>26.99</v>
      </c>
    </row>
    <row r="244" spans="1:4">
      <c r="A244" s="94">
        <v>46080</v>
      </c>
      <c r="B244" s="95">
        <v>12181</v>
      </c>
      <c r="C244" s="96" t="s">
        <v>1035</v>
      </c>
      <c r="D244" s="362">
        <v>14.99</v>
      </c>
    </row>
    <row r="245" spans="1:4">
      <c r="A245" s="94">
        <v>46080</v>
      </c>
      <c r="B245" s="95">
        <v>12182</v>
      </c>
      <c r="C245" s="96" t="s">
        <v>1036</v>
      </c>
      <c r="D245" s="362">
        <v>25.98</v>
      </c>
    </row>
    <row r="246" spans="1:4">
      <c r="A246" s="94">
        <v>46080</v>
      </c>
      <c r="B246" s="95">
        <v>12183</v>
      </c>
      <c r="C246" s="96" t="s">
        <v>1037</v>
      </c>
      <c r="D246" s="362">
        <v>21.99</v>
      </c>
    </row>
    <row r="247" spans="1:4">
      <c r="A247" s="94">
        <v>46080</v>
      </c>
      <c r="B247" s="95">
        <v>12184</v>
      </c>
      <c r="C247" s="96" t="s">
        <v>1026</v>
      </c>
      <c r="D247" s="362">
        <v>531.5</v>
      </c>
    </row>
    <row r="248" spans="1:4">
      <c r="A248" s="94">
        <v>46080</v>
      </c>
      <c r="B248" s="95">
        <v>12186</v>
      </c>
      <c r="C248" s="96" t="s">
        <v>208</v>
      </c>
      <c r="D248" s="362">
        <v>1343.34</v>
      </c>
    </row>
    <row r="249" spans="1:4">
      <c r="A249" s="94">
        <v>46080</v>
      </c>
      <c r="B249" s="95">
        <v>12187</v>
      </c>
      <c r="C249" s="96" t="s">
        <v>914</v>
      </c>
      <c r="D249" s="362">
        <v>674</v>
      </c>
    </row>
    <row r="250" spans="1:4">
      <c r="A250" s="94">
        <v>46080</v>
      </c>
      <c r="B250" s="95">
        <v>12188</v>
      </c>
      <c r="C250" s="96" t="s">
        <v>207</v>
      </c>
      <c r="D250" s="362">
        <v>156.9</v>
      </c>
    </row>
    <row r="251" spans="1:4">
      <c r="A251" s="94">
        <v>46080</v>
      </c>
      <c r="B251" s="95">
        <v>12189</v>
      </c>
      <c r="C251" s="96" t="s">
        <v>1038</v>
      </c>
      <c r="D251" s="362">
        <v>556</v>
      </c>
    </row>
    <row r="252" spans="1:4">
      <c r="A252" s="94">
        <v>46080</v>
      </c>
      <c r="B252" s="95">
        <v>12191</v>
      </c>
      <c r="C252" s="96" t="s">
        <v>883</v>
      </c>
      <c r="D252" s="362">
        <v>4949.5</v>
      </c>
    </row>
    <row r="253" spans="1:4">
      <c r="A253" s="94">
        <v>46080</v>
      </c>
      <c r="B253" s="95">
        <v>12192</v>
      </c>
      <c r="C253" s="96" t="s">
        <v>920</v>
      </c>
      <c r="D253" s="362">
        <v>3110.8</v>
      </c>
    </row>
    <row r="254" spans="1:4">
      <c r="A254" s="94">
        <v>46080</v>
      </c>
      <c r="B254" s="95">
        <v>12193</v>
      </c>
      <c r="C254" s="96" t="s">
        <v>197</v>
      </c>
      <c r="D254" s="362">
        <v>369.9</v>
      </c>
    </row>
    <row r="255" spans="1:4">
      <c r="A255" s="94">
        <v>46080</v>
      </c>
      <c r="B255" s="95">
        <v>12194</v>
      </c>
      <c r="C255" s="96" t="s">
        <v>1039</v>
      </c>
      <c r="D255" s="362">
        <v>2243.5</v>
      </c>
    </row>
    <row r="256" spans="1:4">
      <c r="A256" s="94">
        <v>46080</v>
      </c>
      <c r="B256" s="95">
        <v>12195</v>
      </c>
      <c r="C256" s="96" t="s">
        <v>911</v>
      </c>
      <c r="D256" s="362">
        <v>1630.89</v>
      </c>
    </row>
    <row r="257" spans="1:4">
      <c r="A257" s="94">
        <v>46083</v>
      </c>
      <c r="B257" s="95">
        <v>12196</v>
      </c>
      <c r="C257" s="96" t="s">
        <v>907</v>
      </c>
      <c r="D257" s="362">
        <v>150</v>
      </c>
    </row>
    <row r="258" spans="1:4">
      <c r="A258" s="94">
        <v>46083</v>
      </c>
      <c r="B258" s="95">
        <v>12197</v>
      </c>
      <c r="C258" s="96" t="s">
        <v>1040</v>
      </c>
      <c r="D258" s="362">
        <v>35</v>
      </c>
    </row>
    <row r="259" spans="1:4">
      <c r="A259" s="94">
        <v>46083</v>
      </c>
      <c r="B259" s="95">
        <v>12198</v>
      </c>
      <c r="C259" s="96" t="s">
        <v>966</v>
      </c>
      <c r="D259" s="362">
        <v>41</v>
      </c>
    </row>
    <row r="260" spans="1:4">
      <c r="A260" s="94">
        <v>46083</v>
      </c>
      <c r="B260" s="95">
        <v>12200</v>
      </c>
      <c r="C260" s="96" t="s">
        <v>1041</v>
      </c>
      <c r="D260" s="362">
        <v>39.99</v>
      </c>
    </row>
    <row r="261" spans="1:4">
      <c r="A261" s="94">
        <v>46083</v>
      </c>
      <c r="B261" s="95">
        <v>12201</v>
      </c>
      <c r="C261" s="96" t="s">
        <v>1042</v>
      </c>
      <c r="D261" s="362">
        <v>29.99</v>
      </c>
    </row>
    <row r="262" spans="1:4">
      <c r="A262" s="94">
        <v>46083</v>
      </c>
      <c r="B262" s="95">
        <v>12203</v>
      </c>
      <c r="C262" s="96" t="s">
        <v>1043</v>
      </c>
      <c r="D262" s="362">
        <v>129.99</v>
      </c>
    </row>
    <row r="263" spans="1:4">
      <c r="A263" s="94">
        <v>46083</v>
      </c>
      <c r="B263" s="95">
        <v>12204</v>
      </c>
      <c r="C263" s="96" t="s">
        <v>1044</v>
      </c>
      <c r="D263" s="362">
        <v>49.98</v>
      </c>
    </row>
    <row r="264" spans="1:4">
      <c r="A264" s="94">
        <v>46083</v>
      </c>
      <c r="B264" s="95">
        <v>12205</v>
      </c>
      <c r="C264" s="96" t="s">
        <v>1045</v>
      </c>
      <c r="D264" s="362">
        <v>19.98</v>
      </c>
    </row>
    <row r="265" spans="1:4">
      <c r="A265" s="94">
        <v>46083</v>
      </c>
      <c r="B265" s="95">
        <v>12206</v>
      </c>
      <c r="C265" s="96" t="s">
        <v>1046</v>
      </c>
      <c r="D265" s="362">
        <v>9.99</v>
      </c>
    </row>
    <row r="266" spans="1:4">
      <c r="A266" s="94">
        <v>46083</v>
      </c>
      <c r="B266" s="95">
        <v>12207</v>
      </c>
      <c r="C266" s="96" t="s">
        <v>1047</v>
      </c>
      <c r="D266" s="362">
        <v>174</v>
      </c>
    </row>
    <row r="267" spans="1:4">
      <c r="A267" s="94">
        <v>46083</v>
      </c>
      <c r="B267" s="95">
        <v>12208</v>
      </c>
      <c r="C267" s="96" t="s">
        <v>920</v>
      </c>
      <c r="D267" s="362">
        <v>12005</v>
      </c>
    </row>
    <row r="268" spans="1:4">
      <c r="A268" s="94">
        <v>46083</v>
      </c>
      <c r="B268" s="95">
        <v>12209</v>
      </c>
      <c r="C268" s="96" t="s">
        <v>995</v>
      </c>
      <c r="D268" s="362">
        <v>14.6</v>
      </c>
    </row>
    <row r="269" spans="1:4">
      <c r="A269" s="94">
        <v>46083</v>
      </c>
      <c r="B269" s="95">
        <v>12210</v>
      </c>
      <c r="C269" s="96" t="s">
        <v>893</v>
      </c>
      <c r="D269" s="362">
        <v>102</v>
      </c>
    </row>
    <row r="270" spans="1:4">
      <c r="A270" s="94">
        <v>46083</v>
      </c>
      <c r="B270" s="95">
        <v>12211</v>
      </c>
      <c r="C270" s="96" t="s">
        <v>919</v>
      </c>
      <c r="D270" s="362">
        <v>41.65</v>
      </c>
    </row>
    <row r="271" spans="1:4">
      <c r="A271" s="94">
        <v>46083</v>
      </c>
      <c r="B271" s="95">
        <v>12212</v>
      </c>
      <c r="C271" s="96" t="s">
        <v>919</v>
      </c>
      <c r="D271" s="362">
        <v>222</v>
      </c>
    </row>
    <row r="272" spans="1:4">
      <c r="A272" s="94">
        <v>46083</v>
      </c>
      <c r="B272" s="95">
        <v>12213</v>
      </c>
      <c r="C272" s="96" t="s">
        <v>919</v>
      </c>
      <c r="D272" s="362">
        <v>57.15</v>
      </c>
    </row>
    <row r="273" spans="1:4">
      <c r="A273" s="94">
        <v>46083</v>
      </c>
      <c r="B273" s="95">
        <v>12214</v>
      </c>
      <c r="C273" s="96" t="s">
        <v>1048</v>
      </c>
      <c r="D273" s="362">
        <v>1890</v>
      </c>
    </row>
    <row r="274" spans="1:4">
      <c r="A274" s="94">
        <v>46084</v>
      </c>
      <c r="B274" s="95">
        <v>12215</v>
      </c>
      <c r="C274" s="96" t="s">
        <v>201</v>
      </c>
      <c r="D274" s="362">
        <v>2888</v>
      </c>
    </row>
    <row r="275" spans="1:4">
      <c r="A275" s="94">
        <v>46084</v>
      </c>
      <c r="B275" s="95">
        <v>12216</v>
      </c>
      <c r="C275" s="96" t="s">
        <v>1049</v>
      </c>
      <c r="D275" s="362">
        <v>21.99</v>
      </c>
    </row>
    <row r="276" spans="1:4">
      <c r="A276" s="94">
        <v>46084</v>
      </c>
      <c r="B276" s="95">
        <v>12217</v>
      </c>
      <c r="C276" s="96" t="s">
        <v>1050</v>
      </c>
      <c r="D276" s="362">
        <v>19.989999999999998</v>
      </c>
    </row>
    <row r="277" spans="1:4">
      <c r="A277" s="94">
        <v>46084</v>
      </c>
      <c r="B277" s="95">
        <v>12218</v>
      </c>
      <c r="C277" s="96" t="s">
        <v>1044</v>
      </c>
      <c r="D277" s="362">
        <v>74.97</v>
      </c>
    </row>
    <row r="278" spans="1:4">
      <c r="A278" s="94">
        <v>46084</v>
      </c>
      <c r="B278" s="95">
        <v>12219</v>
      </c>
      <c r="C278" s="96" t="s">
        <v>194</v>
      </c>
      <c r="D278" s="362">
        <v>2353</v>
      </c>
    </row>
    <row r="279" spans="1:4">
      <c r="A279" s="94">
        <v>46084</v>
      </c>
      <c r="B279" s="95">
        <v>12220</v>
      </c>
      <c r="C279" s="96" t="s">
        <v>914</v>
      </c>
      <c r="D279" s="362">
        <v>1075.5999999999999</v>
      </c>
    </row>
    <row r="280" spans="1:4">
      <c r="A280" s="94">
        <v>46085</v>
      </c>
      <c r="B280" s="95">
        <v>12221</v>
      </c>
      <c r="C280" s="96" t="s">
        <v>1051</v>
      </c>
      <c r="D280" s="362">
        <v>450</v>
      </c>
    </row>
    <row r="281" spans="1:4">
      <c r="A281" s="94">
        <v>46085</v>
      </c>
      <c r="B281" s="95">
        <v>12222</v>
      </c>
      <c r="C281" s="96" t="s">
        <v>1052</v>
      </c>
      <c r="D281" s="362">
        <v>1360</v>
      </c>
    </row>
    <row r="282" spans="1:4">
      <c r="A282" s="94">
        <v>46085</v>
      </c>
      <c r="B282" s="95">
        <v>12223</v>
      </c>
      <c r="C282" s="96" t="s">
        <v>1053</v>
      </c>
      <c r="D282" s="362">
        <v>139.99</v>
      </c>
    </row>
    <row r="283" spans="1:4">
      <c r="A283" s="94">
        <v>46085</v>
      </c>
      <c r="B283" s="95">
        <v>12225</v>
      </c>
      <c r="C283" s="96" t="s">
        <v>1054</v>
      </c>
      <c r="D283" s="362">
        <v>25.8</v>
      </c>
    </row>
    <row r="284" spans="1:4">
      <c r="A284" s="94">
        <v>46085</v>
      </c>
      <c r="B284" s="95">
        <v>12226</v>
      </c>
      <c r="C284" s="96" t="s">
        <v>1052</v>
      </c>
      <c r="D284" s="362">
        <v>680</v>
      </c>
    </row>
    <row r="285" spans="1:4">
      <c r="A285" s="94">
        <v>46085</v>
      </c>
      <c r="B285" s="95">
        <v>12227</v>
      </c>
      <c r="C285" s="96" t="s">
        <v>953</v>
      </c>
      <c r="D285" s="362">
        <v>3053</v>
      </c>
    </row>
    <row r="286" spans="1:4">
      <c r="A286" s="94">
        <v>46085</v>
      </c>
      <c r="B286" s="95">
        <v>12228</v>
      </c>
      <c r="C286" s="96" t="s">
        <v>908</v>
      </c>
      <c r="D286" s="362">
        <v>206</v>
      </c>
    </row>
    <row r="287" spans="1:4">
      <c r="A287" s="94">
        <v>46085</v>
      </c>
      <c r="B287" s="95">
        <v>12229</v>
      </c>
      <c r="C287" s="96" t="s">
        <v>207</v>
      </c>
      <c r="D287" s="362">
        <v>155.5</v>
      </c>
    </row>
    <row r="288" spans="1:4">
      <c r="A288" s="94">
        <v>46085</v>
      </c>
      <c r="B288" s="95">
        <v>12231</v>
      </c>
      <c r="C288" s="96" t="s">
        <v>193</v>
      </c>
      <c r="D288" s="362">
        <v>7285.8</v>
      </c>
    </row>
    <row r="289" spans="1:4">
      <c r="A289" s="94">
        <v>46085</v>
      </c>
      <c r="B289" s="95">
        <v>12233</v>
      </c>
      <c r="C289" s="96" t="s">
        <v>1055</v>
      </c>
      <c r="D289" s="362">
        <v>29.98</v>
      </c>
    </row>
    <row r="290" spans="1:4">
      <c r="A290" s="94">
        <v>46085</v>
      </c>
      <c r="B290" s="95">
        <v>12234</v>
      </c>
      <c r="C290" s="96" t="s">
        <v>892</v>
      </c>
      <c r="D290" s="362">
        <v>325</v>
      </c>
    </row>
    <row r="291" spans="1:4">
      <c r="A291" s="94">
        <v>46086</v>
      </c>
      <c r="B291" s="95">
        <v>12235</v>
      </c>
      <c r="C291" s="96" t="s">
        <v>887</v>
      </c>
      <c r="D291" s="362">
        <v>2220</v>
      </c>
    </row>
    <row r="292" spans="1:4">
      <c r="A292" s="94">
        <v>46086</v>
      </c>
      <c r="B292" s="95">
        <v>12236</v>
      </c>
      <c r="C292" s="96" t="s">
        <v>1056</v>
      </c>
      <c r="D292" s="362">
        <v>22.99</v>
      </c>
    </row>
    <row r="293" spans="1:4">
      <c r="A293" s="94">
        <v>46086</v>
      </c>
      <c r="B293" s="95">
        <v>12237</v>
      </c>
      <c r="C293" s="96" t="s">
        <v>1057</v>
      </c>
      <c r="D293" s="362">
        <v>39.99</v>
      </c>
    </row>
    <row r="294" spans="1:4">
      <c r="A294" s="94">
        <v>46086</v>
      </c>
      <c r="B294" s="95">
        <v>12238</v>
      </c>
      <c r="C294" s="96" t="s">
        <v>1058</v>
      </c>
      <c r="D294" s="362">
        <v>21.99</v>
      </c>
    </row>
    <row r="295" spans="1:4">
      <c r="A295" s="94">
        <v>46086</v>
      </c>
      <c r="B295" s="95">
        <v>12239</v>
      </c>
      <c r="C295" s="96" t="s">
        <v>1059</v>
      </c>
      <c r="D295" s="362">
        <v>34.99</v>
      </c>
    </row>
    <row r="296" spans="1:4">
      <c r="A296" s="94">
        <v>46086</v>
      </c>
      <c r="B296" s="95">
        <v>12240</v>
      </c>
      <c r="C296" s="96" t="s">
        <v>1060</v>
      </c>
      <c r="D296" s="362">
        <v>19.989999999999998</v>
      </c>
    </row>
    <row r="297" spans="1:4">
      <c r="A297" s="94">
        <v>46086</v>
      </c>
      <c r="B297" s="95">
        <v>12241</v>
      </c>
      <c r="C297" s="96" t="s">
        <v>1061</v>
      </c>
      <c r="D297" s="362">
        <v>29.97</v>
      </c>
    </row>
    <row r="298" spans="1:4">
      <c r="A298" s="94">
        <v>46086</v>
      </c>
      <c r="B298" s="95">
        <v>12242</v>
      </c>
      <c r="C298" s="96" t="s">
        <v>953</v>
      </c>
      <c r="D298" s="362">
        <v>438.9</v>
      </c>
    </row>
    <row r="299" spans="1:4">
      <c r="A299" s="94">
        <v>46086</v>
      </c>
      <c r="B299" s="95">
        <v>12243</v>
      </c>
      <c r="C299" s="96" t="s">
        <v>1062</v>
      </c>
      <c r="D299" s="362">
        <v>285</v>
      </c>
    </row>
    <row r="300" spans="1:4">
      <c r="A300" s="94">
        <v>46086</v>
      </c>
      <c r="B300" s="95">
        <v>12244</v>
      </c>
      <c r="C300" s="96" t="s">
        <v>1063</v>
      </c>
      <c r="D300" s="362">
        <v>305</v>
      </c>
    </row>
    <row r="301" spans="1:4">
      <c r="A301" s="94">
        <v>46086</v>
      </c>
      <c r="B301" s="95">
        <v>12245</v>
      </c>
      <c r="C301" s="96" t="s">
        <v>950</v>
      </c>
      <c r="D301" s="362">
        <v>156</v>
      </c>
    </row>
    <row r="302" spans="1:4">
      <c r="A302" s="94">
        <v>46086</v>
      </c>
      <c r="B302" s="95">
        <v>12246</v>
      </c>
      <c r="C302" s="96" t="s">
        <v>1064</v>
      </c>
      <c r="D302" s="362">
        <v>34.979999999999997</v>
      </c>
    </row>
    <row r="303" spans="1:4">
      <c r="A303" s="94">
        <v>46086</v>
      </c>
      <c r="B303" s="95">
        <v>12247</v>
      </c>
      <c r="C303" s="96" t="s">
        <v>1065</v>
      </c>
      <c r="D303" s="362">
        <v>545</v>
      </c>
    </row>
    <row r="304" spans="1:4">
      <c r="A304" s="94">
        <v>46086</v>
      </c>
      <c r="B304" s="95">
        <v>12248</v>
      </c>
      <c r="C304" s="96" t="s">
        <v>208</v>
      </c>
      <c r="D304" s="362">
        <v>1286.25</v>
      </c>
    </row>
    <row r="305" spans="1:4">
      <c r="A305" s="94">
        <v>46086</v>
      </c>
      <c r="B305" s="95">
        <v>12249</v>
      </c>
      <c r="C305" s="96" t="s">
        <v>911</v>
      </c>
      <c r="D305" s="362">
        <v>45</v>
      </c>
    </row>
    <row r="306" spans="1:4">
      <c r="A306" s="94">
        <v>46086</v>
      </c>
      <c r="B306" s="95">
        <v>12250</v>
      </c>
      <c r="C306" s="96" t="s">
        <v>895</v>
      </c>
      <c r="D306" s="362">
        <v>1081</v>
      </c>
    </row>
    <row r="307" spans="1:4">
      <c r="A307" s="94">
        <v>46087</v>
      </c>
      <c r="B307" s="95">
        <v>12251</v>
      </c>
      <c r="C307" s="96" t="s">
        <v>891</v>
      </c>
      <c r="D307" s="362">
        <v>1350.32</v>
      </c>
    </row>
    <row r="308" spans="1:4">
      <c r="A308" s="94">
        <v>46087</v>
      </c>
      <c r="B308" s="95">
        <v>12252</v>
      </c>
      <c r="C308" s="96" t="s">
        <v>1015</v>
      </c>
      <c r="D308" s="362">
        <v>114</v>
      </c>
    </row>
    <row r="309" spans="1:4">
      <c r="A309" s="94">
        <v>46087</v>
      </c>
      <c r="B309" s="95">
        <v>12253</v>
      </c>
      <c r="C309" s="96" t="s">
        <v>1066</v>
      </c>
      <c r="D309" s="362">
        <v>19.989999999999998</v>
      </c>
    </row>
    <row r="310" spans="1:4">
      <c r="A310" s="94">
        <v>46087</v>
      </c>
      <c r="B310" s="95">
        <v>12254</v>
      </c>
      <c r="C310" s="96" t="s">
        <v>1067</v>
      </c>
      <c r="D310" s="362">
        <v>29.99</v>
      </c>
    </row>
    <row r="311" spans="1:4">
      <c r="A311" s="94">
        <v>46087</v>
      </c>
      <c r="B311" s="95">
        <v>12255</v>
      </c>
      <c r="C311" s="96" t="s">
        <v>1068</v>
      </c>
      <c r="D311" s="362">
        <v>49.99</v>
      </c>
    </row>
    <row r="312" spans="1:4">
      <c r="A312" s="94">
        <v>46087</v>
      </c>
      <c r="B312" s="95">
        <v>12256</v>
      </c>
      <c r="C312" s="96" t="s">
        <v>1069</v>
      </c>
      <c r="D312" s="362">
        <v>34.99</v>
      </c>
    </row>
    <row r="313" spans="1:4">
      <c r="A313" s="94">
        <v>46087</v>
      </c>
      <c r="B313" s="95">
        <v>12257</v>
      </c>
      <c r="C313" s="96" t="s">
        <v>1070</v>
      </c>
      <c r="D313" s="362">
        <v>179.99</v>
      </c>
    </row>
    <row r="314" spans="1:4">
      <c r="A314" s="94">
        <v>46087</v>
      </c>
      <c r="B314" s="95">
        <v>12258</v>
      </c>
      <c r="C314" s="96" t="s">
        <v>1071</v>
      </c>
      <c r="D314" s="362">
        <v>22.99</v>
      </c>
    </row>
    <row r="315" spans="1:4">
      <c r="A315" s="94">
        <v>46087</v>
      </c>
      <c r="B315" s="95">
        <v>12259</v>
      </c>
      <c r="C315" s="96" t="s">
        <v>1072</v>
      </c>
      <c r="D315" s="362">
        <v>14.99</v>
      </c>
    </row>
    <row r="316" spans="1:4">
      <c r="A316" s="94">
        <v>46087</v>
      </c>
      <c r="B316" s="95">
        <v>12260</v>
      </c>
      <c r="C316" s="96" t="s">
        <v>1073</v>
      </c>
      <c r="D316" s="362">
        <v>19.989999999999998</v>
      </c>
    </row>
    <row r="317" spans="1:4">
      <c r="A317" s="94">
        <v>46087</v>
      </c>
      <c r="B317" s="95">
        <v>12261</v>
      </c>
      <c r="C317" s="96" t="s">
        <v>1074</v>
      </c>
      <c r="D317" s="362">
        <v>34.53</v>
      </c>
    </row>
    <row r="318" spans="1:4">
      <c r="A318" s="94">
        <v>46087</v>
      </c>
      <c r="B318" s="95">
        <v>12262</v>
      </c>
      <c r="C318" s="96" t="s">
        <v>199</v>
      </c>
      <c r="D318" s="362">
        <v>2710</v>
      </c>
    </row>
    <row r="319" spans="1:4">
      <c r="A319" s="94">
        <v>46090</v>
      </c>
      <c r="B319" s="95">
        <v>12263</v>
      </c>
      <c r="C319" s="96" t="s">
        <v>1075</v>
      </c>
      <c r="D319" s="362">
        <v>14.99</v>
      </c>
    </row>
    <row r="320" spans="1:4">
      <c r="A320" s="94">
        <v>46090</v>
      </c>
      <c r="B320" s="95">
        <v>12264</v>
      </c>
      <c r="C320" s="96" t="s">
        <v>1076</v>
      </c>
      <c r="D320" s="362">
        <v>21.99</v>
      </c>
    </row>
    <row r="321" spans="1:4">
      <c r="A321" s="94">
        <v>46090</v>
      </c>
      <c r="B321" s="95">
        <v>12265</v>
      </c>
      <c r="C321" s="96" t="s">
        <v>913</v>
      </c>
      <c r="D321" s="362">
        <v>4643</v>
      </c>
    </row>
    <row r="322" spans="1:4">
      <c r="A322" s="94">
        <v>46090</v>
      </c>
      <c r="B322" s="95">
        <v>12266</v>
      </c>
      <c r="C322" s="96" t="s">
        <v>893</v>
      </c>
      <c r="D322" s="362">
        <v>267.5</v>
      </c>
    </row>
    <row r="323" spans="1:4">
      <c r="A323" s="94">
        <v>46090</v>
      </c>
      <c r="B323" s="95">
        <v>12267</v>
      </c>
      <c r="C323" s="96" t="s">
        <v>975</v>
      </c>
      <c r="D323" s="362">
        <v>584</v>
      </c>
    </row>
    <row r="324" spans="1:4">
      <c r="A324" s="94">
        <v>46090</v>
      </c>
      <c r="B324" s="95">
        <v>12268</v>
      </c>
      <c r="C324" s="96" t="s">
        <v>1077</v>
      </c>
      <c r="D324" s="362">
        <v>505.75</v>
      </c>
    </row>
    <row r="325" spans="1:4">
      <c r="A325" s="94">
        <v>46090</v>
      </c>
      <c r="B325" s="95">
        <v>12269</v>
      </c>
      <c r="C325" s="96" t="s">
        <v>907</v>
      </c>
      <c r="D325" s="362">
        <v>70</v>
      </c>
    </row>
    <row r="326" spans="1:4">
      <c r="A326" s="94">
        <v>46091</v>
      </c>
      <c r="B326" s="95">
        <v>12270</v>
      </c>
      <c r="C326" s="96" t="s">
        <v>1078</v>
      </c>
      <c r="D326" s="362">
        <v>1594</v>
      </c>
    </row>
    <row r="327" spans="1:4">
      <c r="A327" s="94">
        <v>46091</v>
      </c>
      <c r="B327" s="95">
        <v>12271</v>
      </c>
      <c r="C327" s="96" t="s">
        <v>1079</v>
      </c>
      <c r="D327" s="362">
        <v>14.99</v>
      </c>
    </row>
    <row r="328" spans="1:4">
      <c r="A328" s="94">
        <v>46091</v>
      </c>
      <c r="B328" s="95">
        <v>12272</v>
      </c>
      <c r="C328" s="96" t="s">
        <v>1080</v>
      </c>
      <c r="D328" s="362">
        <v>14.99</v>
      </c>
    </row>
    <row r="329" spans="1:4">
      <c r="A329" s="94">
        <v>46091</v>
      </c>
      <c r="B329" s="95">
        <v>12273</v>
      </c>
      <c r="C329" s="96" t="s">
        <v>1081</v>
      </c>
      <c r="D329" s="362">
        <v>33.979999999999997</v>
      </c>
    </row>
    <row r="330" spans="1:4">
      <c r="A330" s="94">
        <v>46091</v>
      </c>
      <c r="B330" s="95">
        <v>12274</v>
      </c>
      <c r="C330" s="96" t="s">
        <v>1082</v>
      </c>
      <c r="D330" s="362">
        <v>21.98</v>
      </c>
    </row>
    <row r="331" spans="1:4">
      <c r="A331" s="94">
        <v>46092</v>
      </c>
      <c r="B331" s="95">
        <v>12275</v>
      </c>
      <c r="C331" s="96" t="s">
        <v>1083</v>
      </c>
      <c r="D331" s="362">
        <v>923</v>
      </c>
    </row>
    <row r="332" spans="1:4">
      <c r="A332" s="94">
        <v>46092</v>
      </c>
      <c r="B332" s="95">
        <v>12276</v>
      </c>
      <c r="C332" s="96" t="s">
        <v>1084</v>
      </c>
      <c r="D332" s="362">
        <v>34.99</v>
      </c>
    </row>
    <row r="333" spans="1:4">
      <c r="A333" s="94">
        <v>46092</v>
      </c>
      <c r="B333" s="95">
        <v>12277</v>
      </c>
      <c r="C333" s="96" t="s">
        <v>1085</v>
      </c>
      <c r="D333" s="362">
        <v>16.989999999999998</v>
      </c>
    </row>
    <row r="334" spans="1:4">
      <c r="A334" s="94">
        <v>46092</v>
      </c>
      <c r="B334" s="95">
        <v>12278</v>
      </c>
      <c r="C334" s="96" t="s">
        <v>999</v>
      </c>
      <c r="D334" s="362">
        <v>59.98</v>
      </c>
    </row>
    <row r="335" spans="1:4">
      <c r="A335" s="94">
        <v>46092</v>
      </c>
      <c r="B335" s="95">
        <v>12279</v>
      </c>
      <c r="C335" s="96" t="s">
        <v>1086</v>
      </c>
      <c r="D335" s="362">
        <v>21.99</v>
      </c>
    </row>
    <row r="336" spans="1:4">
      <c r="A336" s="94">
        <v>46092</v>
      </c>
      <c r="B336" s="95">
        <v>12280</v>
      </c>
      <c r="C336" s="96" t="s">
        <v>1087</v>
      </c>
      <c r="D336" s="362">
        <v>21.99</v>
      </c>
    </row>
    <row r="337" spans="1:4">
      <c r="A337" s="94">
        <v>46092</v>
      </c>
      <c r="B337" s="95">
        <v>12281</v>
      </c>
      <c r="C337" s="96" t="s">
        <v>1088</v>
      </c>
      <c r="D337" s="362">
        <v>19.989999999999998</v>
      </c>
    </row>
    <row r="338" spans="1:4">
      <c r="A338" s="94">
        <v>46092</v>
      </c>
      <c r="B338" s="95">
        <v>12282</v>
      </c>
      <c r="C338" s="96" t="s">
        <v>1089</v>
      </c>
      <c r="D338" s="362">
        <v>19.989999999999998</v>
      </c>
    </row>
    <row r="339" spans="1:4">
      <c r="A339" s="94">
        <v>46092</v>
      </c>
      <c r="B339" s="95">
        <v>12283</v>
      </c>
      <c r="C339" s="96" t="s">
        <v>193</v>
      </c>
      <c r="D339" s="362">
        <v>425</v>
      </c>
    </row>
    <row r="340" spans="1:4">
      <c r="A340" s="94">
        <v>46092</v>
      </c>
      <c r="B340" s="95">
        <v>12284</v>
      </c>
      <c r="C340" s="96" t="s">
        <v>885</v>
      </c>
      <c r="D340" s="362">
        <v>680</v>
      </c>
    </row>
    <row r="341" spans="1:4">
      <c r="A341" s="94">
        <v>46092</v>
      </c>
      <c r="B341" s="95">
        <v>12285</v>
      </c>
      <c r="C341" s="96" t="s">
        <v>1047</v>
      </c>
      <c r="D341" s="362">
        <v>677.5</v>
      </c>
    </row>
    <row r="342" spans="1:4">
      <c r="A342" s="94">
        <v>46092</v>
      </c>
      <c r="B342" s="95">
        <v>12286</v>
      </c>
      <c r="C342" s="96" t="s">
        <v>193</v>
      </c>
      <c r="D342" s="362">
        <v>260</v>
      </c>
    </row>
    <row r="343" spans="1:4">
      <c r="A343" s="94">
        <v>46092</v>
      </c>
      <c r="B343" s="95">
        <v>12287</v>
      </c>
      <c r="C343" s="96" t="s">
        <v>1090</v>
      </c>
      <c r="D343" s="362">
        <v>1059.6600000000001</v>
      </c>
    </row>
    <row r="344" spans="1:4">
      <c r="A344" s="94">
        <v>46092</v>
      </c>
      <c r="B344" s="95">
        <v>12288</v>
      </c>
      <c r="C344" s="96" t="s">
        <v>1091</v>
      </c>
      <c r="D344" s="362">
        <v>240.5</v>
      </c>
    </row>
    <row r="345" spans="1:4">
      <c r="A345" s="94">
        <v>46092</v>
      </c>
      <c r="B345" s="95">
        <v>12289</v>
      </c>
      <c r="C345" s="96" t="s">
        <v>935</v>
      </c>
      <c r="D345" s="362">
        <v>5323.3</v>
      </c>
    </row>
    <row r="346" spans="1:4">
      <c r="A346" s="94">
        <v>46093</v>
      </c>
      <c r="B346" s="95">
        <v>12290</v>
      </c>
      <c r="C346" s="96" t="s">
        <v>196</v>
      </c>
      <c r="D346" s="362">
        <v>240</v>
      </c>
    </row>
    <row r="347" spans="1:4">
      <c r="A347" s="94">
        <v>46093</v>
      </c>
      <c r="B347" s="95">
        <v>12291</v>
      </c>
      <c r="C347" s="96" t="s">
        <v>999</v>
      </c>
      <c r="D347" s="362">
        <v>29.99</v>
      </c>
    </row>
    <row r="348" spans="1:4">
      <c r="A348" s="94">
        <v>46093</v>
      </c>
      <c r="B348" s="95">
        <v>12292</v>
      </c>
      <c r="C348" s="96" t="s">
        <v>1092</v>
      </c>
      <c r="D348" s="362">
        <v>44.99</v>
      </c>
    </row>
    <row r="349" spans="1:4">
      <c r="A349" s="94">
        <v>46093</v>
      </c>
      <c r="B349" s="95">
        <v>12293</v>
      </c>
      <c r="C349" s="96" t="s">
        <v>1093</v>
      </c>
      <c r="D349" s="362">
        <v>25.99</v>
      </c>
    </row>
    <row r="350" spans="1:4">
      <c r="A350" s="94">
        <v>46093</v>
      </c>
      <c r="B350" s="95">
        <v>12294</v>
      </c>
      <c r="C350" s="96" t="s">
        <v>1094</v>
      </c>
      <c r="D350" s="362">
        <v>19.989999999999998</v>
      </c>
    </row>
    <row r="351" spans="1:4">
      <c r="A351" s="94">
        <v>46093</v>
      </c>
      <c r="B351" s="95">
        <v>12295</v>
      </c>
      <c r="C351" s="96" t="s">
        <v>1095</v>
      </c>
      <c r="D351" s="362">
        <v>34.99</v>
      </c>
    </row>
    <row r="352" spans="1:4">
      <c r="A352" s="94">
        <v>46093</v>
      </c>
      <c r="B352" s="95">
        <v>12296</v>
      </c>
      <c r="C352" s="96" t="s">
        <v>1096</v>
      </c>
      <c r="D352" s="362">
        <v>29.99</v>
      </c>
    </row>
    <row r="353" spans="1:4">
      <c r="A353" s="94">
        <v>46093</v>
      </c>
      <c r="B353" s="95">
        <v>12297</v>
      </c>
      <c r="C353" s="96" t="s">
        <v>1097</v>
      </c>
      <c r="D353" s="362">
        <v>10.99</v>
      </c>
    </row>
    <row r="354" spans="1:4">
      <c r="A354" s="94">
        <v>46093</v>
      </c>
      <c r="B354" s="95">
        <v>12298</v>
      </c>
      <c r="C354" s="96" t="s">
        <v>1098</v>
      </c>
      <c r="D354" s="362">
        <v>139.99</v>
      </c>
    </row>
    <row r="355" spans="1:4">
      <c r="A355" s="94">
        <v>46093</v>
      </c>
      <c r="B355" s="95">
        <v>12299</v>
      </c>
      <c r="C355" s="96" t="s">
        <v>1014</v>
      </c>
      <c r="D355" s="362">
        <v>2976</v>
      </c>
    </row>
    <row r="356" spans="1:4">
      <c r="A356" s="94">
        <v>46093</v>
      </c>
      <c r="B356" s="95">
        <v>12300</v>
      </c>
      <c r="C356" s="96" t="s">
        <v>893</v>
      </c>
      <c r="D356" s="362">
        <v>628.24</v>
      </c>
    </row>
    <row r="357" spans="1:4">
      <c r="A357" s="94">
        <v>46093</v>
      </c>
      <c r="B357" s="95">
        <v>12301</v>
      </c>
      <c r="C357" s="96" t="s">
        <v>891</v>
      </c>
      <c r="D357" s="362">
        <v>1389.5</v>
      </c>
    </row>
    <row r="358" spans="1:4">
      <c r="A358" s="94">
        <v>46093</v>
      </c>
      <c r="B358" s="95">
        <v>12302</v>
      </c>
      <c r="C358" s="96" t="s">
        <v>910</v>
      </c>
      <c r="D358" s="362">
        <v>397.3</v>
      </c>
    </row>
    <row r="359" spans="1:4">
      <c r="A359" s="94">
        <v>46093</v>
      </c>
      <c r="B359" s="95">
        <v>12303</v>
      </c>
      <c r="C359" s="96" t="s">
        <v>207</v>
      </c>
      <c r="D359" s="362">
        <v>115.4</v>
      </c>
    </row>
    <row r="360" spans="1:4">
      <c r="A360" s="94">
        <v>46093</v>
      </c>
      <c r="B360" s="95">
        <v>12304</v>
      </c>
      <c r="C360" s="96" t="s">
        <v>207</v>
      </c>
      <c r="D360" s="362">
        <v>48.38</v>
      </c>
    </row>
    <row r="361" spans="1:4">
      <c r="A361" s="94">
        <v>46094</v>
      </c>
      <c r="B361" s="95">
        <v>12305</v>
      </c>
      <c r="C361" s="96" t="s">
        <v>911</v>
      </c>
      <c r="D361" s="362">
        <v>942.25</v>
      </c>
    </row>
    <row r="362" spans="1:4">
      <c r="A362" s="94">
        <v>46094</v>
      </c>
      <c r="B362" s="95">
        <v>12306</v>
      </c>
      <c r="C362" s="96" t="s">
        <v>1026</v>
      </c>
      <c r="D362" s="362">
        <v>385.04</v>
      </c>
    </row>
    <row r="363" spans="1:4">
      <c r="A363" s="94">
        <v>46094</v>
      </c>
      <c r="B363" s="95">
        <v>12307</v>
      </c>
      <c r="C363" s="96" t="s">
        <v>1099</v>
      </c>
      <c r="D363" s="362">
        <v>9.99</v>
      </c>
    </row>
    <row r="364" spans="1:4">
      <c r="A364" s="94">
        <v>46094</v>
      </c>
      <c r="B364" s="95">
        <v>12308</v>
      </c>
      <c r="C364" s="96" t="s">
        <v>1100</v>
      </c>
      <c r="D364" s="362">
        <v>19.989999999999998</v>
      </c>
    </row>
    <row r="365" spans="1:4">
      <c r="A365" s="94">
        <v>46094</v>
      </c>
      <c r="B365" s="95">
        <v>12309</v>
      </c>
      <c r="C365" s="96" t="s">
        <v>1101</v>
      </c>
      <c r="D365" s="362">
        <v>24.99</v>
      </c>
    </row>
    <row r="366" spans="1:4">
      <c r="A366" s="94">
        <v>46094</v>
      </c>
      <c r="B366" s="95">
        <v>12311</v>
      </c>
      <c r="C366" s="96" t="s">
        <v>1102</v>
      </c>
      <c r="D366" s="362">
        <v>29.98</v>
      </c>
    </row>
    <row r="367" spans="1:4">
      <c r="A367" s="94">
        <v>46094</v>
      </c>
      <c r="B367" s="95">
        <v>12312</v>
      </c>
      <c r="C367" s="96" t="s">
        <v>1103</v>
      </c>
      <c r="D367" s="362">
        <v>12.99</v>
      </c>
    </row>
    <row r="368" spans="1:4">
      <c r="A368" s="94">
        <v>46094</v>
      </c>
      <c r="B368" s="95">
        <v>12313</v>
      </c>
      <c r="C368" s="96" t="s">
        <v>194</v>
      </c>
      <c r="D368" s="362">
        <v>952</v>
      </c>
    </row>
    <row r="369" spans="1:4">
      <c r="A369" s="94">
        <v>46094</v>
      </c>
      <c r="B369" s="95">
        <v>12314</v>
      </c>
      <c r="C369" s="96" t="s">
        <v>944</v>
      </c>
      <c r="D369" s="362">
        <v>1670</v>
      </c>
    </row>
    <row r="370" spans="1:4">
      <c r="A370" s="94">
        <v>46094</v>
      </c>
      <c r="B370" s="95">
        <v>12315</v>
      </c>
      <c r="C370" s="96" t="s">
        <v>1008</v>
      </c>
      <c r="D370" s="362">
        <v>1348.5</v>
      </c>
    </row>
    <row r="371" spans="1:4">
      <c r="A371" s="94">
        <v>46094</v>
      </c>
      <c r="B371" s="95">
        <v>12316</v>
      </c>
      <c r="C371" s="96" t="s">
        <v>197</v>
      </c>
      <c r="D371" s="362">
        <v>1879.29</v>
      </c>
    </row>
    <row r="372" spans="1:4">
      <c r="A372" s="94">
        <v>46094</v>
      </c>
      <c r="B372" s="95">
        <v>12317</v>
      </c>
      <c r="C372" s="96" t="s">
        <v>957</v>
      </c>
      <c r="D372" s="362">
        <v>399.2</v>
      </c>
    </row>
    <row r="373" spans="1:4">
      <c r="A373" s="94">
        <v>46094</v>
      </c>
      <c r="B373" s="95">
        <v>12318</v>
      </c>
      <c r="C373" s="96" t="s">
        <v>196</v>
      </c>
      <c r="D373" s="362">
        <v>750</v>
      </c>
    </row>
    <row r="374" spans="1:4">
      <c r="A374" s="94">
        <v>46097</v>
      </c>
      <c r="B374" s="95">
        <v>12319</v>
      </c>
      <c r="C374" s="96" t="s">
        <v>1017</v>
      </c>
      <c r="D374" s="362">
        <v>7700</v>
      </c>
    </row>
    <row r="375" spans="1:4">
      <c r="A375" s="94">
        <v>46097</v>
      </c>
      <c r="B375" s="95">
        <v>12320</v>
      </c>
      <c r="C375" s="96" t="s">
        <v>885</v>
      </c>
      <c r="D375" s="362">
        <v>1033.7</v>
      </c>
    </row>
    <row r="376" spans="1:4">
      <c r="A376" s="94">
        <v>46097</v>
      </c>
      <c r="B376" s="95">
        <v>12321</v>
      </c>
      <c r="C376" s="96" t="s">
        <v>1104</v>
      </c>
      <c r="D376" s="362">
        <v>74.95</v>
      </c>
    </row>
    <row r="377" spans="1:4">
      <c r="A377" s="94">
        <v>46097</v>
      </c>
      <c r="B377" s="95">
        <v>12322</v>
      </c>
      <c r="C377" s="96" t="s">
        <v>1105</v>
      </c>
      <c r="D377" s="362">
        <v>14.99</v>
      </c>
    </row>
    <row r="378" spans="1:4">
      <c r="A378" s="94">
        <v>46097</v>
      </c>
      <c r="B378" s="95">
        <v>12323</v>
      </c>
      <c r="C378" s="96" t="s">
        <v>1106</v>
      </c>
      <c r="D378" s="362">
        <v>19.98</v>
      </c>
    </row>
    <row r="379" spans="1:4">
      <c r="A379" s="94">
        <v>46097</v>
      </c>
      <c r="B379" s="95">
        <v>12324</v>
      </c>
      <c r="C379" s="96" t="s">
        <v>1107</v>
      </c>
      <c r="D379" s="362">
        <v>114.99</v>
      </c>
    </row>
    <row r="380" spans="1:4">
      <c r="A380" s="94">
        <v>46097</v>
      </c>
      <c r="B380" s="95">
        <v>12325</v>
      </c>
      <c r="C380" s="96" t="s">
        <v>1108</v>
      </c>
      <c r="D380" s="362">
        <v>259.98</v>
      </c>
    </row>
    <row r="381" spans="1:4">
      <c r="A381" s="94">
        <v>46097</v>
      </c>
      <c r="B381" s="95">
        <v>12327</v>
      </c>
      <c r="C381" s="96" t="s">
        <v>1109</v>
      </c>
      <c r="D381" s="362">
        <v>19.98</v>
      </c>
    </row>
    <row r="382" spans="1:4">
      <c r="A382" s="94">
        <v>46097</v>
      </c>
      <c r="B382" s="95">
        <v>12328</v>
      </c>
      <c r="C382" s="96" t="s">
        <v>1110</v>
      </c>
      <c r="D382" s="362">
        <v>9.99</v>
      </c>
    </row>
    <row r="383" spans="1:4">
      <c r="A383" s="94">
        <v>46097</v>
      </c>
      <c r="B383" s="95">
        <v>12329</v>
      </c>
      <c r="C383" s="96" t="s">
        <v>1111</v>
      </c>
      <c r="D383" s="362">
        <v>24.99</v>
      </c>
    </row>
    <row r="384" spans="1:4">
      <c r="A384" s="94">
        <v>46097</v>
      </c>
      <c r="B384" s="95">
        <v>12330</v>
      </c>
      <c r="C384" s="96" t="s">
        <v>915</v>
      </c>
      <c r="D384" s="362">
        <v>1747.45</v>
      </c>
    </row>
    <row r="385" spans="1:4">
      <c r="A385" s="94">
        <v>46097</v>
      </c>
      <c r="B385" s="95">
        <v>12331</v>
      </c>
      <c r="C385" s="96" t="s">
        <v>1112</v>
      </c>
      <c r="D385" s="362">
        <v>1325</v>
      </c>
    </row>
    <row r="386" spans="1:4">
      <c r="A386" s="94">
        <v>46097</v>
      </c>
      <c r="B386" s="95">
        <v>12332</v>
      </c>
      <c r="C386" s="96" t="s">
        <v>891</v>
      </c>
      <c r="D386" s="362">
        <v>1865.5</v>
      </c>
    </row>
    <row r="387" spans="1:4">
      <c r="A387" s="94">
        <v>46097</v>
      </c>
      <c r="B387" s="95">
        <v>12333</v>
      </c>
      <c r="C387" s="96" t="s">
        <v>1113</v>
      </c>
      <c r="D387" s="362">
        <v>1584.9</v>
      </c>
    </row>
    <row r="388" spans="1:4">
      <c r="A388" s="94">
        <v>46097</v>
      </c>
      <c r="B388" s="95">
        <v>12334</v>
      </c>
      <c r="C388" s="96" t="s">
        <v>970</v>
      </c>
      <c r="D388" s="362">
        <v>5323.8</v>
      </c>
    </row>
    <row r="389" spans="1:4">
      <c r="A389" s="94">
        <v>46098</v>
      </c>
      <c r="B389" s="95">
        <v>12335</v>
      </c>
      <c r="C389" s="96" t="s">
        <v>1114</v>
      </c>
      <c r="D389" s="362">
        <v>9.99</v>
      </c>
    </row>
    <row r="390" spans="1:4">
      <c r="A390" s="94">
        <v>46098</v>
      </c>
      <c r="B390" s="95">
        <v>12336</v>
      </c>
      <c r="C390" s="96" t="s">
        <v>1115</v>
      </c>
      <c r="D390" s="362">
        <v>24.99</v>
      </c>
    </row>
    <row r="391" spans="1:4">
      <c r="A391" s="94">
        <v>46098</v>
      </c>
      <c r="B391" s="95">
        <v>12337</v>
      </c>
      <c r="C391" s="96" t="s">
        <v>1116</v>
      </c>
      <c r="D391" s="362">
        <v>343</v>
      </c>
    </row>
    <row r="392" spans="1:4">
      <c r="A392" s="94">
        <v>46099</v>
      </c>
      <c r="B392" s="95">
        <v>12338</v>
      </c>
      <c r="C392" s="96" t="s">
        <v>1117</v>
      </c>
      <c r="D392" s="362">
        <v>9.99</v>
      </c>
    </row>
    <row r="393" spans="1:4">
      <c r="A393" s="94">
        <v>46099</v>
      </c>
      <c r="B393" s="95">
        <v>12339</v>
      </c>
      <c r="C393" s="96" t="s">
        <v>1118</v>
      </c>
      <c r="D393" s="362">
        <v>67.959999999999994</v>
      </c>
    </row>
    <row r="394" spans="1:4">
      <c r="A394" s="94">
        <v>46099</v>
      </c>
      <c r="B394" s="95">
        <v>12340</v>
      </c>
      <c r="C394" s="96" t="s">
        <v>1119</v>
      </c>
      <c r="D394" s="362">
        <v>349.7</v>
      </c>
    </row>
    <row r="395" spans="1:4">
      <c r="A395" s="94">
        <v>46099</v>
      </c>
      <c r="B395" s="95">
        <v>12341</v>
      </c>
      <c r="C395" s="96" t="s">
        <v>1033</v>
      </c>
      <c r="D395" s="362">
        <v>2390.52</v>
      </c>
    </row>
    <row r="396" spans="1:4">
      <c r="A396" s="94">
        <v>46099</v>
      </c>
      <c r="B396" s="95">
        <v>12342</v>
      </c>
      <c r="C396" s="96" t="s">
        <v>961</v>
      </c>
      <c r="D396" s="362">
        <v>420</v>
      </c>
    </row>
    <row r="397" spans="1:4">
      <c r="A397" s="94">
        <v>46099</v>
      </c>
      <c r="B397" s="95">
        <v>12343</v>
      </c>
      <c r="C397" s="96" t="s">
        <v>950</v>
      </c>
      <c r="D397" s="362">
        <v>842</v>
      </c>
    </row>
    <row r="398" spans="1:4">
      <c r="A398" s="94">
        <v>46099</v>
      </c>
      <c r="B398" s="95">
        <v>12344</v>
      </c>
      <c r="C398" s="96" t="s">
        <v>902</v>
      </c>
      <c r="D398" s="362">
        <v>738.15</v>
      </c>
    </row>
    <row r="399" spans="1:4">
      <c r="A399" s="94">
        <v>46099</v>
      </c>
      <c r="B399" s="95">
        <v>12345</v>
      </c>
      <c r="C399" s="96" t="s">
        <v>196</v>
      </c>
      <c r="D399" s="362">
        <v>260</v>
      </c>
    </row>
    <row r="400" spans="1:4">
      <c r="A400" s="94">
        <v>46100</v>
      </c>
      <c r="B400" s="95">
        <v>12346</v>
      </c>
      <c r="C400" s="96" t="s">
        <v>1120</v>
      </c>
      <c r="D400" s="362">
        <v>16.989999999999998</v>
      </c>
    </row>
    <row r="401" spans="1:4">
      <c r="A401" s="94">
        <v>46100</v>
      </c>
      <c r="B401" s="95">
        <v>12347</v>
      </c>
      <c r="C401" s="96" t="s">
        <v>920</v>
      </c>
      <c r="D401" s="362">
        <v>1988</v>
      </c>
    </row>
    <row r="402" spans="1:4">
      <c r="A402" s="94">
        <v>46100</v>
      </c>
      <c r="B402" s="95">
        <v>12348</v>
      </c>
      <c r="C402" s="96" t="s">
        <v>909</v>
      </c>
      <c r="D402" s="362">
        <v>3615</v>
      </c>
    </row>
    <row r="403" spans="1:4">
      <c r="A403" s="94">
        <v>46100</v>
      </c>
      <c r="B403" s="95">
        <v>12349</v>
      </c>
      <c r="C403" s="96" t="s">
        <v>1121</v>
      </c>
      <c r="D403" s="362">
        <v>39.99</v>
      </c>
    </row>
    <row r="404" spans="1:4">
      <c r="A404" s="94">
        <v>46100</v>
      </c>
      <c r="B404" s="95">
        <v>12350</v>
      </c>
      <c r="C404" s="96" t="s">
        <v>1015</v>
      </c>
      <c r="D404" s="362">
        <v>877.5</v>
      </c>
    </row>
    <row r="405" spans="1:4">
      <c r="A405" s="94">
        <v>46100</v>
      </c>
      <c r="B405" s="95">
        <v>12351</v>
      </c>
      <c r="C405" s="96" t="s">
        <v>992</v>
      </c>
      <c r="D405" s="362">
        <v>121.9</v>
      </c>
    </row>
    <row r="406" spans="1:4">
      <c r="A406" s="94">
        <v>46101</v>
      </c>
      <c r="B406" s="95">
        <v>12352</v>
      </c>
      <c r="C406" s="96" t="s">
        <v>1077</v>
      </c>
      <c r="D406" s="362">
        <v>120.7</v>
      </c>
    </row>
    <row r="407" spans="1:4">
      <c r="A407" s="94">
        <v>46101</v>
      </c>
      <c r="B407" s="95">
        <v>12353</v>
      </c>
      <c r="C407" s="96" t="s">
        <v>207</v>
      </c>
      <c r="D407" s="362">
        <v>2246</v>
      </c>
    </row>
    <row r="408" spans="1:4">
      <c r="A408" s="94">
        <v>46101</v>
      </c>
      <c r="B408" s="95">
        <v>12354</v>
      </c>
      <c r="C408" s="96" t="s">
        <v>1122</v>
      </c>
      <c r="D408" s="362">
        <v>19.989999999999998</v>
      </c>
    </row>
    <row r="409" spans="1:4">
      <c r="A409" s="94">
        <v>46101</v>
      </c>
      <c r="B409" s="95">
        <v>12355</v>
      </c>
      <c r="C409" s="96" t="s">
        <v>962</v>
      </c>
      <c r="D409" s="362">
        <v>832</v>
      </c>
    </row>
    <row r="410" spans="1:4">
      <c r="A410" s="94">
        <v>46101</v>
      </c>
      <c r="B410" s="95">
        <v>12356</v>
      </c>
      <c r="C410" s="96" t="s">
        <v>1123</v>
      </c>
      <c r="D410" s="362">
        <v>16.95</v>
      </c>
    </row>
    <row r="411" spans="1:4">
      <c r="A411" s="94">
        <v>46101</v>
      </c>
      <c r="B411" s="95">
        <v>12357</v>
      </c>
      <c r="C411" s="96" t="s">
        <v>899</v>
      </c>
      <c r="D411" s="362">
        <v>2408.25</v>
      </c>
    </row>
    <row r="412" spans="1:4">
      <c r="A412" s="94">
        <v>46101</v>
      </c>
      <c r="B412" s="95">
        <v>12358</v>
      </c>
      <c r="C412" s="96" t="s">
        <v>895</v>
      </c>
      <c r="D412" s="362">
        <v>5585.5</v>
      </c>
    </row>
    <row r="413" spans="1:4">
      <c r="A413" s="94">
        <v>46101</v>
      </c>
      <c r="B413" s="95">
        <v>12359</v>
      </c>
      <c r="C413" s="96" t="s">
        <v>204</v>
      </c>
      <c r="D413" s="362">
        <v>1161</v>
      </c>
    </row>
    <row r="414" spans="1:4">
      <c r="A414" s="94">
        <v>46101</v>
      </c>
      <c r="B414" s="95">
        <v>12360</v>
      </c>
      <c r="C414" s="96" t="s">
        <v>208</v>
      </c>
      <c r="D414" s="362">
        <v>211.76</v>
      </c>
    </row>
    <row r="415" spans="1:4">
      <c r="A415" s="94">
        <v>46101</v>
      </c>
      <c r="B415" s="95">
        <v>12361</v>
      </c>
      <c r="C415" s="96" t="s">
        <v>208</v>
      </c>
      <c r="D415" s="362">
        <v>5.0999999999999996</v>
      </c>
    </row>
    <row r="416" spans="1:4">
      <c r="A416" s="94">
        <v>46101</v>
      </c>
      <c r="B416" s="95">
        <v>12362</v>
      </c>
      <c r="C416" s="96" t="s">
        <v>208</v>
      </c>
      <c r="D416" s="362">
        <v>247.6</v>
      </c>
    </row>
    <row r="417" spans="1:4">
      <c r="A417" s="94">
        <v>46101</v>
      </c>
      <c r="B417" s="95">
        <v>12363</v>
      </c>
      <c r="C417" s="96" t="s">
        <v>208</v>
      </c>
      <c r="D417" s="362">
        <v>953</v>
      </c>
    </row>
    <row r="418" spans="1:4">
      <c r="A418" s="94">
        <v>46104</v>
      </c>
      <c r="B418" s="95">
        <v>12364</v>
      </c>
      <c r="C418" s="96" t="s">
        <v>1124</v>
      </c>
      <c r="D418" s="362">
        <v>29.99</v>
      </c>
    </row>
    <row r="419" spans="1:4">
      <c r="A419" s="94">
        <v>46104</v>
      </c>
      <c r="B419" s="95">
        <v>12365</v>
      </c>
      <c r="C419" s="96" t="s">
        <v>1125</v>
      </c>
      <c r="D419" s="362">
        <v>21.99</v>
      </c>
    </row>
    <row r="420" spans="1:4">
      <c r="A420" s="94">
        <v>46104</v>
      </c>
      <c r="B420" s="95">
        <v>12366</v>
      </c>
      <c r="C420" s="96" t="s">
        <v>1126</v>
      </c>
      <c r="D420" s="362">
        <v>49.98</v>
      </c>
    </row>
    <row r="421" spans="1:4">
      <c r="A421" s="94">
        <v>46104</v>
      </c>
      <c r="B421" s="95">
        <v>12367</v>
      </c>
      <c r="C421" s="96" t="s">
        <v>207</v>
      </c>
      <c r="D421" s="362">
        <v>484</v>
      </c>
    </row>
    <row r="422" spans="1:4">
      <c r="A422" s="94">
        <v>46104</v>
      </c>
      <c r="B422" s="95">
        <v>12368</v>
      </c>
      <c r="C422" s="96" t="s">
        <v>995</v>
      </c>
      <c r="D422" s="362">
        <v>93.5</v>
      </c>
    </row>
    <row r="423" spans="1:4">
      <c r="A423" s="94">
        <v>46105</v>
      </c>
      <c r="B423" s="95">
        <v>12369</v>
      </c>
      <c r="C423" s="96" t="s">
        <v>889</v>
      </c>
      <c r="D423" s="362">
        <v>600</v>
      </c>
    </row>
    <row r="424" spans="1:4">
      <c r="A424" s="94">
        <v>46105</v>
      </c>
      <c r="B424" s="95">
        <v>12370</v>
      </c>
      <c r="C424" s="96" t="s">
        <v>206</v>
      </c>
      <c r="D424" s="362">
        <v>97</v>
      </c>
    </row>
    <row r="425" spans="1:4">
      <c r="A425" s="94">
        <v>46105</v>
      </c>
      <c r="B425" s="95">
        <v>12371</v>
      </c>
      <c r="C425" s="96" t="s">
        <v>1127</v>
      </c>
      <c r="D425" s="362">
        <v>34.99</v>
      </c>
    </row>
    <row r="426" spans="1:4">
      <c r="A426" s="94">
        <v>46105</v>
      </c>
      <c r="B426" s="95">
        <v>12373</v>
      </c>
      <c r="C426" s="96" t="s">
        <v>1128</v>
      </c>
      <c r="D426" s="362">
        <v>19.989999999999998</v>
      </c>
    </row>
    <row r="427" spans="1:4">
      <c r="A427" s="94">
        <v>46105</v>
      </c>
      <c r="B427" s="95">
        <v>12374</v>
      </c>
      <c r="C427" s="96" t="s">
        <v>1129</v>
      </c>
      <c r="D427" s="362">
        <v>29.98</v>
      </c>
    </row>
    <row r="428" spans="1:4">
      <c r="A428" s="94">
        <v>46105</v>
      </c>
      <c r="B428" s="95">
        <v>12375</v>
      </c>
      <c r="C428" s="96" t="s">
        <v>1130</v>
      </c>
      <c r="D428" s="362">
        <v>49.98</v>
      </c>
    </row>
    <row r="429" spans="1:4">
      <c r="A429" s="94">
        <v>46106</v>
      </c>
      <c r="B429" s="95">
        <v>12376</v>
      </c>
      <c r="C429" s="96" t="s">
        <v>1131</v>
      </c>
      <c r="D429" s="362">
        <v>13</v>
      </c>
    </row>
    <row r="430" spans="1:4">
      <c r="A430" s="94">
        <v>46106</v>
      </c>
      <c r="B430" s="95">
        <v>12377</v>
      </c>
      <c r="C430" s="96" t="s">
        <v>1132</v>
      </c>
      <c r="D430" s="362">
        <v>33.979999999999997</v>
      </c>
    </row>
    <row r="431" spans="1:4">
      <c r="A431" s="94">
        <v>46106</v>
      </c>
      <c r="B431" s="95">
        <v>12378</v>
      </c>
      <c r="C431" s="96" t="s">
        <v>895</v>
      </c>
      <c r="D431" s="362">
        <v>830</v>
      </c>
    </row>
    <row r="432" spans="1:4">
      <c r="A432" s="94">
        <v>46106</v>
      </c>
      <c r="B432" s="95">
        <v>12379</v>
      </c>
      <c r="C432" s="96" t="s">
        <v>1133</v>
      </c>
      <c r="D432" s="362">
        <v>648</v>
      </c>
    </row>
    <row r="433" spans="1:4">
      <c r="A433" s="94">
        <v>46106</v>
      </c>
      <c r="B433" s="95">
        <v>12380</v>
      </c>
      <c r="C433" s="96" t="s">
        <v>885</v>
      </c>
      <c r="D433" s="362">
        <v>524</v>
      </c>
    </row>
    <row r="434" spans="1:4">
      <c r="A434" s="94">
        <v>46106</v>
      </c>
      <c r="B434" s="95">
        <v>12381</v>
      </c>
      <c r="C434" s="96" t="s">
        <v>909</v>
      </c>
      <c r="D434" s="362">
        <v>540</v>
      </c>
    </row>
    <row r="435" spans="1:4">
      <c r="A435" s="94">
        <v>46106</v>
      </c>
      <c r="B435" s="95">
        <v>12382</v>
      </c>
      <c r="C435" s="96" t="s">
        <v>911</v>
      </c>
      <c r="D435" s="362">
        <v>188.35</v>
      </c>
    </row>
    <row r="436" spans="1:4">
      <c r="A436" s="94">
        <v>46106</v>
      </c>
      <c r="B436" s="95">
        <v>12383</v>
      </c>
      <c r="C436" s="96" t="s">
        <v>1134</v>
      </c>
      <c r="D436" s="362">
        <v>1273.8499999999999</v>
      </c>
    </row>
    <row r="437" spans="1:4">
      <c r="A437" s="94">
        <v>46106</v>
      </c>
      <c r="B437" s="95">
        <v>12384</v>
      </c>
      <c r="C437" s="96" t="s">
        <v>1135</v>
      </c>
      <c r="D437" s="362">
        <v>483</v>
      </c>
    </row>
    <row r="438" spans="1:4">
      <c r="A438" s="94">
        <v>46107</v>
      </c>
      <c r="B438" s="95">
        <v>12385</v>
      </c>
      <c r="C438" s="96" t="s">
        <v>944</v>
      </c>
      <c r="D438" s="362">
        <v>9215.98</v>
      </c>
    </row>
    <row r="439" spans="1:4">
      <c r="A439" s="94">
        <v>46107</v>
      </c>
      <c r="B439" s="95">
        <v>12386</v>
      </c>
      <c r="C439" s="96" t="s">
        <v>915</v>
      </c>
      <c r="D439" s="362">
        <v>647.4</v>
      </c>
    </row>
    <row r="440" spans="1:4">
      <c r="A440" s="94">
        <v>46107</v>
      </c>
      <c r="B440" s="95">
        <v>12387</v>
      </c>
      <c r="C440" s="96" t="s">
        <v>956</v>
      </c>
      <c r="D440" s="362">
        <v>1147</v>
      </c>
    </row>
    <row r="441" spans="1:4">
      <c r="A441" s="94">
        <v>46107</v>
      </c>
      <c r="B441" s="95">
        <v>12388</v>
      </c>
      <c r="C441" s="96" t="s">
        <v>1113</v>
      </c>
      <c r="D441" s="362">
        <v>1584.6</v>
      </c>
    </row>
    <row r="442" spans="1:4">
      <c r="A442" s="94">
        <v>46107</v>
      </c>
      <c r="B442" s="95">
        <v>12389</v>
      </c>
      <c r="C442" s="96" t="s">
        <v>966</v>
      </c>
      <c r="D442" s="362">
        <v>121.5</v>
      </c>
    </row>
    <row r="443" spans="1:4">
      <c r="A443" s="94">
        <v>46108</v>
      </c>
      <c r="B443" s="95">
        <v>12390</v>
      </c>
      <c r="C443" s="96" t="s">
        <v>913</v>
      </c>
      <c r="D443" s="362">
        <v>18931.09</v>
      </c>
    </row>
    <row r="444" spans="1:4">
      <c r="A444" s="94">
        <v>46108</v>
      </c>
      <c r="B444" s="95">
        <v>12391</v>
      </c>
      <c r="C444" s="96" t="s">
        <v>1136</v>
      </c>
      <c r="D444" s="362">
        <v>21.99</v>
      </c>
    </row>
    <row r="445" spans="1:4">
      <c r="A445" s="94">
        <v>46108</v>
      </c>
      <c r="B445" s="95">
        <v>12392</v>
      </c>
      <c r="C445" s="96" t="s">
        <v>1137</v>
      </c>
      <c r="D445" s="362">
        <v>9.99</v>
      </c>
    </row>
    <row r="446" spans="1:4">
      <c r="A446" s="94">
        <v>46108</v>
      </c>
      <c r="B446" s="95">
        <v>12393</v>
      </c>
      <c r="C446" s="96" t="s">
        <v>1138</v>
      </c>
      <c r="D446" s="362">
        <v>49.86</v>
      </c>
    </row>
    <row r="447" spans="1:4">
      <c r="A447" s="94">
        <v>46108</v>
      </c>
      <c r="B447" s="95">
        <v>12394</v>
      </c>
      <c r="C447" s="96" t="s">
        <v>899</v>
      </c>
      <c r="D447" s="362">
        <v>940.2</v>
      </c>
    </row>
    <row r="448" spans="1:4">
      <c r="A448" s="94">
        <v>46108</v>
      </c>
      <c r="B448" s="95">
        <v>12395</v>
      </c>
      <c r="C448" s="96" t="s">
        <v>899</v>
      </c>
      <c r="D448" s="362">
        <v>2142.21</v>
      </c>
    </row>
    <row r="449" spans="1:4">
      <c r="A449" s="94">
        <v>46108</v>
      </c>
      <c r="B449" s="95">
        <v>12396</v>
      </c>
      <c r="C449" s="96" t="s">
        <v>899</v>
      </c>
      <c r="D449" s="362">
        <v>225</v>
      </c>
    </row>
    <row r="450" spans="1:4">
      <c r="A450" s="94">
        <v>46108</v>
      </c>
      <c r="B450" s="95">
        <v>12397</v>
      </c>
      <c r="C450" s="96" t="s">
        <v>1014</v>
      </c>
      <c r="D450" s="362">
        <v>1091.5</v>
      </c>
    </row>
    <row r="451" spans="1:4">
      <c r="A451" s="94">
        <v>46108</v>
      </c>
      <c r="B451" s="95">
        <v>12398</v>
      </c>
      <c r="C451" s="96" t="s">
        <v>198</v>
      </c>
      <c r="D451" s="362">
        <v>2915.5</v>
      </c>
    </row>
    <row r="452" spans="1:4">
      <c r="A452" s="94">
        <v>46108</v>
      </c>
      <c r="B452" s="95">
        <v>12399</v>
      </c>
      <c r="C452" s="96" t="s">
        <v>194</v>
      </c>
      <c r="D452" s="362">
        <v>375</v>
      </c>
    </row>
    <row r="453" spans="1:4">
      <c r="A453" s="94">
        <v>46108</v>
      </c>
      <c r="B453" s="95">
        <v>12400</v>
      </c>
      <c r="C453" s="96" t="s">
        <v>1139</v>
      </c>
      <c r="D453" s="362">
        <v>69.97</v>
      </c>
    </row>
    <row r="454" spans="1:4">
      <c r="A454" s="94">
        <v>46108</v>
      </c>
      <c r="B454" s="95">
        <v>12401</v>
      </c>
      <c r="C454" s="96" t="s">
        <v>193</v>
      </c>
      <c r="D454" s="362">
        <v>2571.6999999999998</v>
      </c>
    </row>
    <row r="455" spans="1:4">
      <c r="A455" s="94">
        <v>46108</v>
      </c>
      <c r="B455" s="95">
        <v>12402</v>
      </c>
      <c r="C455" s="96" t="s">
        <v>1140</v>
      </c>
      <c r="D455" s="362">
        <v>3193</v>
      </c>
    </row>
    <row r="456" spans="1:4">
      <c r="A456" s="94">
        <v>46111</v>
      </c>
      <c r="B456" s="95">
        <v>12404</v>
      </c>
      <c r="C456" s="96" t="s">
        <v>208</v>
      </c>
      <c r="D456" s="362">
        <v>22183.919999999998</v>
      </c>
    </row>
    <row r="457" spans="1:4">
      <c r="A457" s="94">
        <v>46111</v>
      </c>
      <c r="B457" s="95">
        <v>12405</v>
      </c>
      <c r="C457" s="96" t="s">
        <v>197</v>
      </c>
      <c r="D457" s="362">
        <v>4419.8999999999996</v>
      </c>
    </row>
    <row r="458" spans="1:4">
      <c r="A458" s="94">
        <v>46111</v>
      </c>
      <c r="B458" s="95">
        <v>12406</v>
      </c>
      <c r="C458" s="96" t="s">
        <v>1141</v>
      </c>
      <c r="D458" s="362">
        <v>19.98</v>
      </c>
    </row>
    <row r="459" spans="1:4">
      <c r="A459" s="94">
        <v>46111</v>
      </c>
      <c r="B459" s="95">
        <v>12407</v>
      </c>
      <c r="C459" s="96" t="s">
        <v>1142</v>
      </c>
      <c r="D459" s="362">
        <v>1472</v>
      </c>
    </row>
    <row r="460" spans="1:4">
      <c r="A460" s="94">
        <v>46111</v>
      </c>
      <c r="B460" s="95">
        <v>12408</v>
      </c>
      <c r="C460" s="96" t="s">
        <v>920</v>
      </c>
      <c r="D460" s="362">
        <v>3411</v>
      </c>
    </row>
    <row r="461" spans="1:4">
      <c r="A461" s="94">
        <v>46112</v>
      </c>
      <c r="B461" s="95">
        <v>12409</v>
      </c>
      <c r="C461" s="96" t="s">
        <v>1143</v>
      </c>
      <c r="D461" s="362">
        <v>54.99</v>
      </c>
    </row>
    <row r="462" spans="1:4">
      <c r="A462" s="94">
        <v>46112</v>
      </c>
      <c r="B462" s="95">
        <v>12410</v>
      </c>
      <c r="C462" s="96" t="s">
        <v>1144</v>
      </c>
      <c r="D462" s="362">
        <v>13</v>
      </c>
    </row>
    <row r="463" spans="1:4">
      <c r="A463" s="94">
        <v>46112</v>
      </c>
      <c r="B463" s="95">
        <v>12411</v>
      </c>
      <c r="C463" s="96" t="s">
        <v>881</v>
      </c>
      <c r="D463" s="362">
        <v>254.7</v>
      </c>
    </row>
    <row r="464" spans="1:4">
      <c r="A464" s="94">
        <v>46112</v>
      </c>
      <c r="B464" s="95">
        <v>12412</v>
      </c>
      <c r="C464" s="96" t="s">
        <v>1008</v>
      </c>
      <c r="D464" s="362">
        <v>2755.8</v>
      </c>
    </row>
    <row r="465" spans="1:4">
      <c r="A465" s="94">
        <v>46112</v>
      </c>
      <c r="B465" s="95">
        <v>12413</v>
      </c>
      <c r="C465" s="96" t="s">
        <v>937</v>
      </c>
      <c r="D465" s="362">
        <v>440.4</v>
      </c>
    </row>
    <row r="466" spans="1:4">
      <c r="A466" s="94">
        <v>46112</v>
      </c>
      <c r="B466" s="95">
        <v>12414</v>
      </c>
      <c r="C466" s="96" t="s">
        <v>965</v>
      </c>
      <c r="D466" s="362">
        <v>3922.9</v>
      </c>
    </row>
    <row r="467" spans="1:4">
      <c r="A467" s="88">
        <v>46113</v>
      </c>
      <c r="B467" s="89">
        <v>12416</v>
      </c>
      <c r="C467" s="90" t="s">
        <v>1406</v>
      </c>
      <c r="D467" s="271">
        <v>129.6</v>
      </c>
    </row>
    <row r="468" spans="1:4">
      <c r="A468" s="88">
        <v>46113</v>
      </c>
      <c r="B468" s="89">
        <v>12417</v>
      </c>
      <c r="C468" s="90" t="s">
        <v>1407</v>
      </c>
      <c r="D468" s="271">
        <v>986.1</v>
      </c>
    </row>
    <row r="469" spans="1:4">
      <c r="A469" s="88">
        <v>46113</v>
      </c>
      <c r="B469" s="89">
        <v>12418</v>
      </c>
      <c r="C469" s="90" t="s">
        <v>1408</v>
      </c>
      <c r="D469" s="271">
        <v>363.8</v>
      </c>
    </row>
    <row r="470" spans="1:4">
      <c r="A470" s="88">
        <v>46113</v>
      </c>
      <c r="B470" s="89">
        <v>12419</v>
      </c>
      <c r="C470" s="90" t="s">
        <v>1409</v>
      </c>
      <c r="D470" s="271">
        <v>10.99</v>
      </c>
    </row>
    <row r="471" spans="1:4">
      <c r="A471" s="88">
        <v>46113</v>
      </c>
      <c r="B471" s="89">
        <v>12420</v>
      </c>
      <c r="C471" s="90" t="s">
        <v>1410</v>
      </c>
      <c r="D471" s="271">
        <v>9.99</v>
      </c>
    </row>
    <row r="472" spans="1:4">
      <c r="A472" s="88">
        <v>46113</v>
      </c>
      <c r="B472" s="89">
        <v>12421</v>
      </c>
      <c r="C472" s="90" t="s">
        <v>1411</v>
      </c>
      <c r="D472" s="271">
        <v>26.99</v>
      </c>
    </row>
    <row r="473" spans="1:4">
      <c r="A473" s="88">
        <v>46113</v>
      </c>
      <c r="B473" s="89">
        <v>12422</v>
      </c>
      <c r="C473" s="90" t="s">
        <v>208</v>
      </c>
      <c r="D473" s="271">
        <v>1021.65</v>
      </c>
    </row>
    <row r="474" spans="1:4">
      <c r="A474" s="88">
        <v>46113</v>
      </c>
      <c r="B474" s="89">
        <v>12423</v>
      </c>
      <c r="C474" s="90" t="s">
        <v>954</v>
      </c>
      <c r="D474" s="271">
        <v>650</v>
      </c>
    </row>
    <row r="475" spans="1:4">
      <c r="A475" s="88">
        <v>46113</v>
      </c>
      <c r="B475" s="89">
        <v>12424</v>
      </c>
      <c r="C475" s="90" t="s">
        <v>1140</v>
      </c>
      <c r="D475" s="271">
        <v>6575</v>
      </c>
    </row>
    <row r="476" spans="1:4">
      <c r="A476" s="88">
        <v>46114</v>
      </c>
      <c r="B476" s="89">
        <v>12425</v>
      </c>
      <c r="C476" s="90" t="s">
        <v>1412</v>
      </c>
      <c r="D476" s="271">
        <v>74.95</v>
      </c>
    </row>
    <row r="477" spans="1:4">
      <c r="A477" s="88">
        <v>46114</v>
      </c>
      <c r="B477" s="89">
        <v>12426</v>
      </c>
      <c r="C477" s="90" t="s">
        <v>208</v>
      </c>
      <c r="D477" s="271">
        <v>628.5</v>
      </c>
    </row>
    <row r="478" spans="1:4">
      <c r="A478" s="88">
        <v>46114</v>
      </c>
      <c r="B478" s="89">
        <v>12427</v>
      </c>
      <c r="C478" s="90" t="s">
        <v>944</v>
      </c>
      <c r="D478" s="271">
        <v>933.4</v>
      </c>
    </row>
    <row r="479" spans="1:4">
      <c r="A479" s="88">
        <v>46114</v>
      </c>
      <c r="B479" s="89">
        <v>12428</v>
      </c>
      <c r="C479" s="90" t="s">
        <v>1112</v>
      </c>
      <c r="D479" s="271">
        <v>2088.5</v>
      </c>
    </row>
    <row r="480" spans="1:4">
      <c r="A480" s="88">
        <v>46114</v>
      </c>
      <c r="B480" s="89">
        <v>12429</v>
      </c>
      <c r="C480" s="90" t="s">
        <v>1413</v>
      </c>
      <c r="D480" s="271">
        <v>937.25</v>
      </c>
    </row>
    <row r="481" spans="1:4">
      <c r="A481" s="88">
        <v>46114</v>
      </c>
      <c r="B481" s="89">
        <v>12430</v>
      </c>
      <c r="C481" s="90" t="s">
        <v>909</v>
      </c>
      <c r="D481" s="271">
        <v>1043.2</v>
      </c>
    </row>
    <row r="482" spans="1:4">
      <c r="A482" s="88">
        <v>46118</v>
      </c>
      <c r="B482" s="89">
        <v>12431</v>
      </c>
      <c r="C482" s="90" t="s">
        <v>920</v>
      </c>
      <c r="D482" s="271">
        <v>3750</v>
      </c>
    </row>
    <row r="483" spans="1:4">
      <c r="A483" s="88">
        <v>46118</v>
      </c>
      <c r="B483" s="89">
        <v>12432</v>
      </c>
      <c r="C483" s="90" t="s">
        <v>1414</v>
      </c>
      <c r="D483" s="271">
        <v>1515.2</v>
      </c>
    </row>
    <row r="484" spans="1:4">
      <c r="A484" s="88">
        <v>46118</v>
      </c>
      <c r="B484" s="89">
        <v>12433</v>
      </c>
      <c r="C484" s="90" t="s">
        <v>1415</v>
      </c>
      <c r="D484" s="271">
        <v>24.99</v>
      </c>
    </row>
    <row r="485" spans="1:4">
      <c r="A485" s="88">
        <v>46118</v>
      </c>
      <c r="B485" s="89">
        <v>12434</v>
      </c>
      <c r="C485" s="90" t="s">
        <v>1416</v>
      </c>
      <c r="D485" s="271">
        <v>16.989999999999998</v>
      </c>
    </row>
    <row r="486" spans="1:4">
      <c r="A486" s="88">
        <v>46118</v>
      </c>
      <c r="B486" s="89">
        <v>12435</v>
      </c>
      <c r="C486" s="90" t="s">
        <v>893</v>
      </c>
      <c r="D486" s="271">
        <v>216</v>
      </c>
    </row>
    <row r="487" spans="1:4">
      <c r="A487" s="88">
        <v>46118</v>
      </c>
      <c r="B487" s="89">
        <v>12436</v>
      </c>
      <c r="C487" s="90" t="s">
        <v>911</v>
      </c>
      <c r="D487" s="271">
        <v>253.5</v>
      </c>
    </row>
    <row r="488" spans="1:4">
      <c r="A488" s="88">
        <v>46119</v>
      </c>
      <c r="B488" s="89">
        <v>12437</v>
      </c>
      <c r="C488" s="90" t="s">
        <v>1417</v>
      </c>
      <c r="D488" s="271">
        <v>272.5</v>
      </c>
    </row>
    <row r="489" spans="1:4">
      <c r="A489" s="88">
        <v>46119</v>
      </c>
      <c r="B489" s="89">
        <v>12438</v>
      </c>
      <c r="C489" s="90" t="s">
        <v>1418</v>
      </c>
      <c r="D489" s="271">
        <v>26.99</v>
      </c>
    </row>
    <row r="490" spans="1:4">
      <c r="A490" s="88">
        <v>46119</v>
      </c>
      <c r="B490" s="89">
        <v>12439</v>
      </c>
      <c r="C490" s="90" t="s">
        <v>1419</v>
      </c>
      <c r="D490" s="271">
        <v>13</v>
      </c>
    </row>
    <row r="491" spans="1:4">
      <c r="A491" s="88">
        <v>46119</v>
      </c>
      <c r="B491" s="89">
        <v>12440</v>
      </c>
      <c r="C491" s="90" t="s">
        <v>1420</v>
      </c>
      <c r="D491" s="271">
        <v>19.989999999999998</v>
      </c>
    </row>
    <row r="492" spans="1:4">
      <c r="A492" s="88">
        <v>46119</v>
      </c>
      <c r="B492" s="89">
        <v>12441</v>
      </c>
      <c r="C492" s="90" t="s">
        <v>1421</v>
      </c>
      <c r="D492" s="271">
        <v>44.99</v>
      </c>
    </row>
    <row r="493" spans="1:4">
      <c r="A493" s="88">
        <v>46119</v>
      </c>
      <c r="B493" s="89">
        <v>12443</v>
      </c>
      <c r="C493" s="90" t="s">
        <v>990</v>
      </c>
      <c r="D493" s="271">
        <v>215</v>
      </c>
    </row>
    <row r="494" spans="1:4">
      <c r="A494" s="88">
        <v>46119</v>
      </c>
      <c r="B494" s="89">
        <v>12444</v>
      </c>
      <c r="C494" s="90" t="s">
        <v>990</v>
      </c>
      <c r="D494" s="271">
        <v>179.2</v>
      </c>
    </row>
    <row r="495" spans="1:4">
      <c r="A495" s="88">
        <v>46119</v>
      </c>
      <c r="B495" s="89">
        <v>12445</v>
      </c>
      <c r="C495" s="90" t="s">
        <v>991</v>
      </c>
      <c r="D495" s="271">
        <v>1547</v>
      </c>
    </row>
    <row r="496" spans="1:4">
      <c r="A496" s="88">
        <v>46119</v>
      </c>
      <c r="B496" s="89">
        <v>12446</v>
      </c>
      <c r="C496" s="90" t="s">
        <v>912</v>
      </c>
      <c r="D496" s="271">
        <v>977.98</v>
      </c>
    </row>
    <row r="497" spans="1:4">
      <c r="A497" s="88">
        <v>46119</v>
      </c>
      <c r="B497" s="89">
        <v>12448</v>
      </c>
      <c r="C497" s="90" t="s">
        <v>919</v>
      </c>
      <c r="D497" s="271">
        <v>1639.25</v>
      </c>
    </row>
    <row r="498" spans="1:4">
      <c r="A498" s="88">
        <v>46119</v>
      </c>
      <c r="B498" s="89">
        <v>12449</v>
      </c>
      <c r="C498" s="90" t="s">
        <v>1048</v>
      </c>
      <c r="D498" s="271">
        <v>2886</v>
      </c>
    </row>
    <row r="499" spans="1:4">
      <c r="A499" s="88">
        <v>46119</v>
      </c>
      <c r="B499" s="89">
        <v>12450</v>
      </c>
      <c r="C499" s="90" t="s">
        <v>196</v>
      </c>
      <c r="D499" s="271">
        <v>1040</v>
      </c>
    </row>
    <row r="500" spans="1:4">
      <c r="A500" s="88">
        <v>46119</v>
      </c>
      <c r="B500" s="89">
        <v>12451</v>
      </c>
      <c r="C500" s="90" t="s">
        <v>196</v>
      </c>
      <c r="D500" s="271">
        <v>1500</v>
      </c>
    </row>
    <row r="501" spans="1:4">
      <c r="A501" s="88">
        <v>46120</v>
      </c>
      <c r="B501" s="89">
        <v>12452</v>
      </c>
      <c r="C501" s="90" t="s">
        <v>1422</v>
      </c>
      <c r="D501" s="271">
        <v>3515.33</v>
      </c>
    </row>
    <row r="502" spans="1:4">
      <c r="A502" s="88">
        <v>46120</v>
      </c>
      <c r="B502" s="89">
        <v>12453</v>
      </c>
      <c r="C502" s="90" t="s">
        <v>1422</v>
      </c>
      <c r="D502" s="271">
        <v>4758</v>
      </c>
    </row>
    <row r="503" spans="1:4">
      <c r="A503" s="88">
        <v>46120</v>
      </c>
      <c r="B503" s="89">
        <v>12454</v>
      </c>
      <c r="C503" s="90" t="s">
        <v>208</v>
      </c>
      <c r="D503" s="271">
        <v>755.2</v>
      </c>
    </row>
    <row r="504" spans="1:4">
      <c r="A504" s="88">
        <v>46120</v>
      </c>
      <c r="B504" s="89">
        <v>12455</v>
      </c>
      <c r="C504" s="90" t="s">
        <v>1423</v>
      </c>
      <c r="D504" s="271">
        <v>89.98</v>
      </c>
    </row>
    <row r="505" spans="1:4">
      <c r="A505" s="88">
        <v>46120</v>
      </c>
      <c r="B505" s="89">
        <v>12457</v>
      </c>
      <c r="C505" s="90" t="s">
        <v>193</v>
      </c>
      <c r="D505" s="271">
        <v>11729.36</v>
      </c>
    </row>
    <row r="506" spans="1:4">
      <c r="A506" s="88">
        <v>46120</v>
      </c>
      <c r="B506" s="89">
        <v>12458</v>
      </c>
      <c r="C506" s="90" t="s">
        <v>957</v>
      </c>
      <c r="D506" s="271">
        <v>728</v>
      </c>
    </row>
    <row r="507" spans="1:4">
      <c r="A507" s="88">
        <v>46120</v>
      </c>
      <c r="B507" s="89">
        <v>12459</v>
      </c>
      <c r="C507" s="90" t="s">
        <v>207</v>
      </c>
      <c r="D507" s="271">
        <v>651</v>
      </c>
    </row>
    <row r="508" spans="1:4">
      <c r="A508" s="88">
        <v>46120</v>
      </c>
      <c r="B508" s="89">
        <v>12460</v>
      </c>
      <c r="C508" s="90" t="s">
        <v>885</v>
      </c>
      <c r="D508" s="271">
        <v>1290.4000000000001</v>
      </c>
    </row>
    <row r="509" spans="1:4">
      <c r="A509" s="88">
        <v>46121</v>
      </c>
      <c r="B509" s="89">
        <v>12461</v>
      </c>
      <c r="C509" s="90" t="s">
        <v>888</v>
      </c>
      <c r="D509" s="271">
        <v>1058</v>
      </c>
    </row>
    <row r="510" spans="1:4">
      <c r="A510" s="88">
        <v>46121</v>
      </c>
      <c r="B510" s="89">
        <v>12462</v>
      </c>
      <c r="C510" s="90" t="s">
        <v>208</v>
      </c>
      <c r="D510" s="271">
        <v>285.39999999999998</v>
      </c>
    </row>
    <row r="511" spans="1:4">
      <c r="A511" s="88">
        <v>46122</v>
      </c>
      <c r="B511" s="89">
        <v>12463</v>
      </c>
      <c r="C511" s="90" t="s">
        <v>1424</v>
      </c>
      <c r="D511" s="271">
        <v>1400</v>
      </c>
    </row>
    <row r="512" spans="1:4">
      <c r="A512" s="88">
        <v>46122</v>
      </c>
      <c r="B512" s="89">
        <v>12464</v>
      </c>
      <c r="C512" s="90" t="s">
        <v>1425</v>
      </c>
      <c r="D512" s="271">
        <v>1343.35</v>
      </c>
    </row>
    <row r="513" spans="1:4">
      <c r="A513" s="88">
        <v>46122</v>
      </c>
      <c r="B513" s="89">
        <v>12465</v>
      </c>
      <c r="C513" s="90" t="s">
        <v>895</v>
      </c>
      <c r="D513" s="271">
        <v>4655</v>
      </c>
    </row>
    <row r="514" spans="1:4">
      <c r="A514" s="88">
        <v>46122</v>
      </c>
      <c r="B514" s="89">
        <v>12466</v>
      </c>
      <c r="C514" s="90" t="s">
        <v>193</v>
      </c>
      <c r="D514" s="271">
        <v>408</v>
      </c>
    </row>
    <row r="515" spans="1:4">
      <c r="A515" s="88">
        <v>46122</v>
      </c>
      <c r="B515" s="89">
        <v>12467</v>
      </c>
      <c r="C515" s="90" t="s">
        <v>1426</v>
      </c>
      <c r="D515" s="271">
        <v>13</v>
      </c>
    </row>
    <row r="516" spans="1:4">
      <c r="A516" s="88">
        <v>46122</v>
      </c>
      <c r="B516" s="89">
        <v>12468</v>
      </c>
      <c r="C516" s="90" t="s">
        <v>903</v>
      </c>
      <c r="D516" s="271">
        <v>928.5</v>
      </c>
    </row>
    <row r="517" spans="1:4">
      <c r="A517" s="88">
        <v>46122</v>
      </c>
      <c r="B517" s="89">
        <v>12469</v>
      </c>
      <c r="C517" s="90" t="s">
        <v>900</v>
      </c>
      <c r="D517" s="271">
        <v>210</v>
      </c>
    </row>
    <row r="518" spans="1:4">
      <c r="A518" s="88">
        <v>46122</v>
      </c>
      <c r="B518" s="89">
        <v>12470</v>
      </c>
      <c r="C518" s="90" t="s">
        <v>208</v>
      </c>
      <c r="D518" s="271">
        <v>237</v>
      </c>
    </row>
    <row r="519" spans="1:4">
      <c r="A519" s="88">
        <v>46125</v>
      </c>
      <c r="B519" s="89">
        <v>12477</v>
      </c>
      <c r="C519" s="90" t="s">
        <v>895</v>
      </c>
      <c r="D519" s="271">
        <v>10500</v>
      </c>
    </row>
    <row r="520" spans="1:4">
      <c r="A520" s="88">
        <v>46125</v>
      </c>
      <c r="B520" s="89">
        <v>12478</v>
      </c>
      <c r="C520" s="90" t="s">
        <v>1427</v>
      </c>
      <c r="D520" s="271">
        <v>187.99</v>
      </c>
    </row>
    <row r="521" spans="1:4">
      <c r="A521" s="88">
        <v>46125</v>
      </c>
      <c r="B521" s="89">
        <v>12479</v>
      </c>
      <c r="C521" s="90" t="s">
        <v>1428</v>
      </c>
      <c r="D521" s="271">
        <v>14.99</v>
      </c>
    </row>
    <row r="522" spans="1:4">
      <c r="A522" s="88">
        <v>46125</v>
      </c>
      <c r="B522" s="89">
        <v>12480</v>
      </c>
      <c r="C522" s="90" t="s">
        <v>1429</v>
      </c>
      <c r="D522" s="271">
        <v>20.96</v>
      </c>
    </row>
    <row r="523" spans="1:4">
      <c r="A523" s="88">
        <v>46125</v>
      </c>
      <c r="B523" s="89">
        <v>12482</v>
      </c>
      <c r="C523" s="90" t="s">
        <v>919</v>
      </c>
      <c r="D523" s="271">
        <v>939.9</v>
      </c>
    </row>
    <row r="524" spans="1:4">
      <c r="A524" s="88">
        <v>46126</v>
      </c>
      <c r="B524" s="89">
        <v>12483</v>
      </c>
      <c r="C524" s="90" t="s">
        <v>1430</v>
      </c>
      <c r="D524" s="271">
        <v>29.98</v>
      </c>
    </row>
    <row r="525" spans="1:4">
      <c r="A525" s="88">
        <v>46126</v>
      </c>
      <c r="B525" s="89">
        <v>12484</v>
      </c>
      <c r="C525" s="90" t="s">
        <v>892</v>
      </c>
      <c r="D525" s="271">
        <v>390</v>
      </c>
    </row>
    <row r="526" spans="1:4">
      <c r="A526" s="88">
        <v>46126</v>
      </c>
      <c r="B526" s="89">
        <v>12485</v>
      </c>
      <c r="C526" s="90" t="s">
        <v>964</v>
      </c>
      <c r="D526" s="271">
        <v>270</v>
      </c>
    </row>
    <row r="527" spans="1:4">
      <c r="A527" s="88">
        <v>46126</v>
      </c>
      <c r="B527" s="89">
        <v>12486</v>
      </c>
      <c r="C527" s="90" t="s">
        <v>1083</v>
      </c>
      <c r="D527" s="271">
        <v>296.5</v>
      </c>
    </row>
    <row r="528" spans="1:4">
      <c r="A528" s="88">
        <v>46126</v>
      </c>
      <c r="B528" s="89">
        <v>12487</v>
      </c>
      <c r="C528" s="90" t="s">
        <v>997</v>
      </c>
      <c r="D528" s="271">
        <v>324.2</v>
      </c>
    </row>
    <row r="529" spans="1:4">
      <c r="A529" s="88">
        <v>46126</v>
      </c>
      <c r="B529" s="89">
        <v>12488</v>
      </c>
      <c r="C529" s="90" t="s">
        <v>913</v>
      </c>
      <c r="D529" s="271">
        <v>4662</v>
      </c>
    </row>
    <row r="530" spans="1:4">
      <c r="A530" s="88">
        <v>46127</v>
      </c>
      <c r="B530" s="89">
        <v>12489</v>
      </c>
      <c r="C530" s="90" t="s">
        <v>1047</v>
      </c>
      <c r="D530" s="271">
        <v>360</v>
      </c>
    </row>
    <row r="531" spans="1:4">
      <c r="A531" s="88">
        <v>46127</v>
      </c>
      <c r="B531" s="89">
        <v>12490</v>
      </c>
      <c r="C531" s="90" t="s">
        <v>909</v>
      </c>
      <c r="D531" s="271">
        <v>255.4</v>
      </c>
    </row>
    <row r="532" spans="1:4">
      <c r="A532" s="88">
        <v>46127</v>
      </c>
      <c r="B532" s="89">
        <v>12491</v>
      </c>
      <c r="C532" s="90" t="s">
        <v>920</v>
      </c>
      <c r="D532" s="271">
        <v>1090</v>
      </c>
    </row>
    <row r="533" spans="1:4">
      <c r="A533" s="88">
        <v>46127</v>
      </c>
      <c r="B533" s="89">
        <v>12492</v>
      </c>
      <c r="C533" s="90" t="s">
        <v>891</v>
      </c>
      <c r="D533" s="271">
        <v>1795.72</v>
      </c>
    </row>
    <row r="534" spans="1:4">
      <c r="A534" s="88">
        <v>46127</v>
      </c>
      <c r="B534" s="89">
        <v>12493</v>
      </c>
      <c r="C534" s="90" t="s">
        <v>895</v>
      </c>
      <c r="D534" s="271">
        <v>1655.3</v>
      </c>
    </row>
    <row r="535" spans="1:4">
      <c r="A535" s="88">
        <v>46127</v>
      </c>
      <c r="B535" s="89">
        <v>12494</v>
      </c>
      <c r="C535" s="90" t="s">
        <v>895</v>
      </c>
      <c r="D535" s="271">
        <v>2200</v>
      </c>
    </row>
    <row r="536" spans="1:4">
      <c r="A536" s="88">
        <v>46127</v>
      </c>
      <c r="B536" s="89">
        <v>12495</v>
      </c>
      <c r="C536" s="90" t="s">
        <v>908</v>
      </c>
      <c r="D536" s="271">
        <v>145.66999999999999</v>
      </c>
    </row>
    <row r="537" spans="1:4">
      <c r="A537" s="88">
        <v>46127</v>
      </c>
      <c r="B537" s="89">
        <v>12496</v>
      </c>
      <c r="C537" s="90" t="s">
        <v>207</v>
      </c>
      <c r="D537" s="271">
        <v>660</v>
      </c>
    </row>
    <row r="538" spans="1:4">
      <c r="A538" s="88">
        <v>46127</v>
      </c>
      <c r="B538" s="89">
        <v>12497</v>
      </c>
      <c r="C538" s="90" t="s">
        <v>1431</v>
      </c>
      <c r="D538" s="271">
        <v>24.99</v>
      </c>
    </row>
    <row r="539" spans="1:4">
      <c r="A539" s="88">
        <v>46127</v>
      </c>
      <c r="B539" s="89">
        <v>12498</v>
      </c>
      <c r="C539" s="90" t="s">
        <v>1430</v>
      </c>
      <c r="D539" s="271">
        <v>29.98</v>
      </c>
    </row>
    <row r="540" spans="1:4">
      <c r="A540" s="88">
        <v>46127</v>
      </c>
      <c r="B540" s="89">
        <v>12499</v>
      </c>
      <c r="C540" s="90" t="s">
        <v>1432</v>
      </c>
      <c r="D540" s="271">
        <v>496</v>
      </c>
    </row>
    <row r="541" spans="1:4">
      <c r="A541" s="88">
        <v>46127</v>
      </c>
      <c r="B541" s="89">
        <v>12500</v>
      </c>
      <c r="C541" s="90" t="s">
        <v>962</v>
      </c>
      <c r="D541" s="271">
        <v>260</v>
      </c>
    </row>
    <row r="542" spans="1:4">
      <c r="A542" s="88">
        <v>46128</v>
      </c>
      <c r="B542" s="89">
        <v>12501</v>
      </c>
      <c r="C542" s="90" t="s">
        <v>1140</v>
      </c>
      <c r="D542" s="271">
        <v>7458</v>
      </c>
    </row>
    <row r="543" spans="1:4">
      <c r="A543" s="88">
        <v>46128</v>
      </c>
      <c r="B543" s="89">
        <v>12502</v>
      </c>
      <c r="C543" s="90" t="s">
        <v>1433</v>
      </c>
      <c r="D543" s="271">
        <v>528.20000000000005</v>
      </c>
    </row>
    <row r="544" spans="1:4">
      <c r="A544" s="88">
        <v>46128</v>
      </c>
      <c r="B544" s="89">
        <v>12503</v>
      </c>
      <c r="C544" s="90" t="s">
        <v>1047</v>
      </c>
      <c r="D544" s="271">
        <v>1417.5</v>
      </c>
    </row>
    <row r="545" spans="1:4">
      <c r="A545" s="88">
        <v>46128</v>
      </c>
      <c r="B545" s="89">
        <v>12504</v>
      </c>
      <c r="C545" s="90" t="s">
        <v>1434</v>
      </c>
      <c r="D545" s="271">
        <v>44.99</v>
      </c>
    </row>
    <row r="546" spans="1:4">
      <c r="A546" s="88">
        <v>46128</v>
      </c>
      <c r="B546" s="89">
        <v>12505</v>
      </c>
      <c r="C546" s="90" t="s">
        <v>1435</v>
      </c>
      <c r="D546" s="271">
        <v>13</v>
      </c>
    </row>
    <row r="547" spans="1:4">
      <c r="A547" s="88">
        <v>46128</v>
      </c>
      <c r="B547" s="89">
        <v>12506</v>
      </c>
      <c r="C547" s="90" t="s">
        <v>914</v>
      </c>
      <c r="D547" s="271">
        <v>2532.8000000000002</v>
      </c>
    </row>
    <row r="548" spans="1:4">
      <c r="A548" s="88">
        <v>46128</v>
      </c>
      <c r="B548" s="89">
        <v>12507</v>
      </c>
      <c r="C548" s="90" t="s">
        <v>207</v>
      </c>
      <c r="D548" s="271">
        <v>1583.7</v>
      </c>
    </row>
    <row r="549" spans="1:4">
      <c r="A549" s="88">
        <v>46129</v>
      </c>
      <c r="B549" s="89">
        <v>12508</v>
      </c>
      <c r="C549" s="90" t="s">
        <v>1007</v>
      </c>
      <c r="D549" s="271">
        <v>144</v>
      </c>
    </row>
    <row r="550" spans="1:4">
      <c r="A550" s="88">
        <v>46129</v>
      </c>
      <c r="B550" s="89">
        <v>12509</v>
      </c>
      <c r="C550" s="90" t="s">
        <v>1408</v>
      </c>
      <c r="D550" s="271">
        <v>370</v>
      </c>
    </row>
    <row r="551" spans="1:4">
      <c r="A551" s="88">
        <v>46129</v>
      </c>
      <c r="B551" s="89">
        <v>12510</v>
      </c>
      <c r="C551" s="90" t="s">
        <v>1436</v>
      </c>
      <c r="D551" s="271">
        <v>725</v>
      </c>
    </row>
    <row r="552" spans="1:4">
      <c r="A552" s="88">
        <v>46129</v>
      </c>
      <c r="B552" s="89">
        <v>12512</v>
      </c>
      <c r="C552" s="90" t="s">
        <v>1437</v>
      </c>
      <c r="D552" s="271">
        <v>375</v>
      </c>
    </row>
    <row r="553" spans="1:4">
      <c r="A553" s="88">
        <v>46129</v>
      </c>
      <c r="B553" s="89">
        <v>12513</v>
      </c>
      <c r="C553" s="90" t="s">
        <v>197</v>
      </c>
      <c r="D553" s="271">
        <v>1017</v>
      </c>
    </row>
    <row r="554" spans="1:4">
      <c r="A554" s="88">
        <v>46129</v>
      </c>
      <c r="B554" s="89">
        <v>12514</v>
      </c>
      <c r="C554" s="90" t="s">
        <v>903</v>
      </c>
      <c r="D554" s="271">
        <v>586</v>
      </c>
    </row>
    <row r="555" spans="1:4">
      <c r="A555" s="88">
        <v>46132</v>
      </c>
      <c r="B555" s="89">
        <v>12515</v>
      </c>
      <c r="C555" s="90" t="s">
        <v>885</v>
      </c>
      <c r="D555" s="271">
        <v>1080.02</v>
      </c>
    </row>
    <row r="556" spans="1:4">
      <c r="A556" s="88">
        <v>46134</v>
      </c>
      <c r="B556" s="89">
        <v>12516</v>
      </c>
      <c r="C556" s="90" t="s">
        <v>1438</v>
      </c>
      <c r="D556" s="271">
        <v>14.99</v>
      </c>
    </row>
    <row r="557" spans="1:4">
      <c r="A557" s="88">
        <v>46134</v>
      </c>
      <c r="B557" s="89">
        <v>12517</v>
      </c>
      <c r="C557" s="90" t="s">
        <v>1439</v>
      </c>
      <c r="D557" s="271">
        <v>59.98</v>
      </c>
    </row>
    <row r="558" spans="1:4">
      <c r="A558" s="88">
        <v>46134</v>
      </c>
      <c r="B558" s="89">
        <v>12518</v>
      </c>
      <c r="C558" s="90" t="s">
        <v>1440</v>
      </c>
      <c r="D558" s="271">
        <v>34.99</v>
      </c>
    </row>
    <row r="559" spans="1:4">
      <c r="A559" s="88">
        <v>46134</v>
      </c>
      <c r="B559" s="89">
        <v>12519</v>
      </c>
      <c r="C559" s="90" t="s">
        <v>1441</v>
      </c>
      <c r="D559" s="271">
        <v>29.98</v>
      </c>
    </row>
    <row r="560" spans="1:4">
      <c r="A560" s="88">
        <v>46134</v>
      </c>
      <c r="B560" s="89">
        <v>12520</v>
      </c>
      <c r="C560" s="90" t="s">
        <v>961</v>
      </c>
      <c r="D560" s="271">
        <v>354.5</v>
      </c>
    </row>
    <row r="561" spans="1:4">
      <c r="A561" s="88">
        <v>46135</v>
      </c>
      <c r="B561" s="89">
        <v>12521</v>
      </c>
      <c r="C561" s="90" t="s">
        <v>1442</v>
      </c>
      <c r="D561" s="271">
        <v>443</v>
      </c>
    </row>
    <row r="562" spans="1:4">
      <c r="A562" s="88">
        <v>46135</v>
      </c>
      <c r="B562" s="89">
        <v>12522</v>
      </c>
      <c r="C562" s="90" t="s">
        <v>1443</v>
      </c>
      <c r="D562" s="271">
        <v>94.89</v>
      </c>
    </row>
    <row r="563" spans="1:4">
      <c r="A563" s="88">
        <v>46135</v>
      </c>
      <c r="B563" s="89">
        <v>12523</v>
      </c>
      <c r="C563" s="90" t="s">
        <v>957</v>
      </c>
      <c r="D563" s="271">
        <v>742</v>
      </c>
    </row>
    <row r="564" spans="1:4">
      <c r="A564" s="88">
        <v>46135</v>
      </c>
      <c r="B564" s="89">
        <v>12524</v>
      </c>
      <c r="C564" s="90" t="s">
        <v>1444</v>
      </c>
      <c r="D564" s="271">
        <v>164.91</v>
      </c>
    </row>
    <row r="565" spans="1:4">
      <c r="A565" s="88">
        <v>46135</v>
      </c>
      <c r="B565" s="89">
        <v>12525</v>
      </c>
      <c r="C565" s="90" t="s">
        <v>1445</v>
      </c>
      <c r="D565" s="271">
        <v>80</v>
      </c>
    </row>
    <row r="566" spans="1:4">
      <c r="A566" s="88">
        <v>46135</v>
      </c>
      <c r="B566" s="89">
        <v>12526</v>
      </c>
      <c r="C566" s="90" t="s">
        <v>908</v>
      </c>
      <c r="D566" s="271">
        <v>95</v>
      </c>
    </row>
    <row r="567" spans="1:4">
      <c r="A567" s="88">
        <v>46136</v>
      </c>
      <c r="B567" s="89">
        <v>12527</v>
      </c>
      <c r="C567" s="90" t="s">
        <v>944</v>
      </c>
      <c r="D567" s="271">
        <v>3379.68</v>
      </c>
    </row>
    <row r="568" spans="1:4">
      <c r="A568" s="88">
        <v>46136</v>
      </c>
      <c r="B568" s="89">
        <v>12528</v>
      </c>
      <c r="C568" s="90" t="s">
        <v>1446</v>
      </c>
      <c r="D568" s="271">
        <v>39.979999999999997</v>
      </c>
    </row>
    <row r="569" spans="1:4">
      <c r="A569" s="88">
        <v>46136</v>
      </c>
      <c r="B569" s="89">
        <v>12529</v>
      </c>
      <c r="C569" s="90" t="s">
        <v>895</v>
      </c>
      <c r="D569" s="271">
        <v>584</v>
      </c>
    </row>
    <row r="570" spans="1:4">
      <c r="A570" s="88">
        <v>46136</v>
      </c>
      <c r="B570" s="89">
        <v>12530</v>
      </c>
      <c r="C570" s="90" t="s">
        <v>888</v>
      </c>
      <c r="D570" s="271">
        <v>295.60000000000002</v>
      </c>
    </row>
    <row r="571" spans="1:4">
      <c r="A571" s="88">
        <v>46136</v>
      </c>
      <c r="B571" s="89">
        <v>12531</v>
      </c>
      <c r="C571" s="90" t="s">
        <v>1033</v>
      </c>
      <c r="D571" s="271">
        <v>1114</v>
      </c>
    </row>
    <row r="572" spans="1:4">
      <c r="A572" s="88">
        <v>46136</v>
      </c>
      <c r="B572" s="89">
        <v>12532</v>
      </c>
      <c r="C572" s="90" t="s">
        <v>950</v>
      </c>
      <c r="D572" s="271">
        <v>1249</v>
      </c>
    </row>
    <row r="573" spans="1:4">
      <c r="A573" s="88">
        <v>46136</v>
      </c>
      <c r="B573" s="89">
        <v>12533</v>
      </c>
      <c r="C573" s="90" t="s">
        <v>1447</v>
      </c>
      <c r="D573" s="271">
        <v>1607</v>
      </c>
    </row>
    <row r="574" spans="1:4">
      <c r="A574" s="88">
        <v>46136</v>
      </c>
      <c r="B574" s="89">
        <v>12534</v>
      </c>
      <c r="C574" s="90" t="s">
        <v>197</v>
      </c>
      <c r="D574" s="271">
        <v>190</v>
      </c>
    </row>
    <row r="575" spans="1:4">
      <c r="A575" s="88">
        <v>46139</v>
      </c>
      <c r="B575" s="89">
        <v>12535</v>
      </c>
      <c r="C575" s="90" t="s">
        <v>1448</v>
      </c>
      <c r="D575" s="271">
        <v>26.99</v>
      </c>
    </row>
    <row r="576" spans="1:4">
      <c r="A576" s="88">
        <v>46139</v>
      </c>
      <c r="B576" s="89">
        <v>12536</v>
      </c>
      <c r="C576" s="90" t="s">
        <v>1440</v>
      </c>
      <c r="D576" s="271">
        <v>34.99</v>
      </c>
    </row>
    <row r="577" spans="1:4">
      <c r="A577" s="88">
        <v>46139</v>
      </c>
      <c r="B577" s="89">
        <v>12537</v>
      </c>
      <c r="C577" s="90" t="s">
        <v>1449</v>
      </c>
      <c r="D577" s="271">
        <v>477.72</v>
      </c>
    </row>
    <row r="578" spans="1:4">
      <c r="A578" s="88">
        <v>46139</v>
      </c>
      <c r="B578" s="89">
        <v>12538</v>
      </c>
      <c r="C578" s="90" t="s">
        <v>208</v>
      </c>
      <c r="D578" s="271">
        <v>502</v>
      </c>
    </row>
    <row r="579" spans="1:4">
      <c r="A579" s="88">
        <v>46139</v>
      </c>
      <c r="B579" s="89">
        <v>12539</v>
      </c>
      <c r="C579" s="90" t="s">
        <v>208</v>
      </c>
      <c r="D579" s="271">
        <v>316.43</v>
      </c>
    </row>
    <row r="580" spans="1:4">
      <c r="A580" s="88">
        <v>46139</v>
      </c>
      <c r="B580" s="89">
        <v>12540</v>
      </c>
      <c r="C580" s="90" t="s">
        <v>208</v>
      </c>
      <c r="D580" s="271">
        <v>3593.52</v>
      </c>
    </row>
    <row r="581" spans="1:4">
      <c r="A581" s="88">
        <v>46140</v>
      </c>
      <c r="B581" s="89">
        <v>12541</v>
      </c>
      <c r="C581" s="90" t="s">
        <v>891</v>
      </c>
      <c r="D581" s="271">
        <v>1703.6</v>
      </c>
    </row>
    <row r="582" spans="1:4">
      <c r="A582" s="88">
        <v>46140</v>
      </c>
      <c r="B582" s="89">
        <v>12542</v>
      </c>
      <c r="C582" s="90" t="s">
        <v>956</v>
      </c>
      <c r="D582" s="271">
        <v>393.2</v>
      </c>
    </row>
    <row r="583" spans="1:4">
      <c r="A583" s="88">
        <v>46140</v>
      </c>
      <c r="B583" s="89">
        <v>12544</v>
      </c>
      <c r="C583" s="90" t="s">
        <v>1450</v>
      </c>
      <c r="D583" s="271">
        <v>160</v>
      </c>
    </row>
    <row r="584" spans="1:4">
      <c r="A584" s="88">
        <v>46140</v>
      </c>
      <c r="B584" s="89">
        <v>12546</v>
      </c>
      <c r="C584" s="90" t="s">
        <v>207</v>
      </c>
      <c r="D584" s="271">
        <v>294.25</v>
      </c>
    </row>
    <row r="585" spans="1:4">
      <c r="A585" s="88">
        <v>46140</v>
      </c>
      <c r="B585" s="89">
        <v>12547</v>
      </c>
      <c r="C585" s="90" t="s">
        <v>1451</v>
      </c>
      <c r="D585" s="271">
        <v>22.99</v>
      </c>
    </row>
    <row r="586" spans="1:4">
      <c r="A586" s="88">
        <v>46140</v>
      </c>
      <c r="B586" s="89">
        <v>12549</v>
      </c>
      <c r="C586" s="90" t="s">
        <v>1171</v>
      </c>
      <c r="D586" s="271">
        <v>306</v>
      </c>
    </row>
    <row r="587" spans="1:4">
      <c r="A587" s="88">
        <v>46140</v>
      </c>
      <c r="B587" s="89">
        <v>12550</v>
      </c>
      <c r="C587" s="90" t="s">
        <v>1014</v>
      </c>
      <c r="D587" s="271">
        <v>1152</v>
      </c>
    </row>
    <row r="588" spans="1:4">
      <c r="A588" s="88">
        <v>46140</v>
      </c>
      <c r="B588" s="89">
        <v>12551</v>
      </c>
      <c r="C588" s="90" t="s">
        <v>204</v>
      </c>
      <c r="D588" s="271">
        <v>336</v>
      </c>
    </row>
    <row r="589" spans="1:4">
      <c r="A589" s="88">
        <v>46140</v>
      </c>
      <c r="B589" s="89">
        <v>12552</v>
      </c>
      <c r="C589" s="90" t="s">
        <v>204</v>
      </c>
      <c r="D589" s="271">
        <v>9.2100000000000009</v>
      </c>
    </row>
    <row r="590" spans="1:4">
      <c r="A590" s="88">
        <v>46140</v>
      </c>
      <c r="B590" s="89">
        <v>12553</v>
      </c>
      <c r="C590" s="90" t="s">
        <v>194</v>
      </c>
      <c r="D590" s="271">
        <v>1140</v>
      </c>
    </row>
    <row r="591" spans="1:4">
      <c r="A591" s="88">
        <v>46140</v>
      </c>
      <c r="B591" s="89">
        <v>12554</v>
      </c>
      <c r="C591" s="90" t="s">
        <v>208</v>
      </c>
      <c r="D591" s="271">
        <v>2186.4</v>
      </c>
    </row>
    <row r="592" spans="1:4">
      <c r="A592" s="88">
        <v>46140</v>
      </c>
      <c r="B592" s="89">
        <v>12555</v>
      </c>
      <c r="C592" s="90" t="s">
        <v>1140</v>
      </c>
      <c r="D592" s="271">
        <v>280</v>
      </c>
    </row>
    <row r="593" spans="1:4">
      <c r="A593" s="88">
        <v>46140</v>
      </c>
      <c r="B593" s="89">
        <v>12556</v>
      </c>
      <c r="C593" s="90" t="s">
        <v>201</v>
      </c>
      <c r="D593" s="271">
        <v>1554.5</v>
      </c>
    </row>
    <row r="594" spans="1:4">
      <c r="A594" s="88">
        <v>46141</v>
      </c>
      <c r="B594" s="89">
        <v>12557</v>
      </c>
      <c r="C594" s="90" t="s">
        <v>911</v>
      </c>
      <c r="D594" s="271">
        <v>943.6</v>
      </c>
    </row>
    <row r="595" spans="1:4">
      <c r="A595" s="88">
        <v>46141</v>
      </c>
      <c r="B595" s="89">
        <v>12558</v>
      </c>
      <c r="C595" s="90" t="s">
        <v>208</v>
      </c>
      <c r="D595" s="271">
        <v>1032.8</v>
      </c>
    </row>
    <row r="596" spans="1:4">
      <c r="A596" s="88">
        <v>46141</v>
      </c>
      <c r="B596" s="89">
        <v>12559</v>
      </c>
      <c r="C596" s="90" t="s">
        <v>991</v>
      </c>
      <c r="D596" s="271">
        <v>797</v>
      </c>
    </row>
    <row r="597" spans="1:4">
      <c r="A597" s="88">
        <v>46142</v>
      </c>
      <c r="B597" s="89">
        <v>12560</v>
      </c>
      <c r="C597" s="90" t="s">
        <v>916</v>
      </c>
      <c r="D597" s="271">
        <v>655.5</v>
      </c>
    </row>
    <row r="598" spans="1:4">
      <c r="A598" s="88">
        <v>46142</v>
      </c>
      <c r="B598" s="89">
        <v>12561</v>
      </c>
      <c r="C598" s="90" t="s">
        <v>197</v>
      </c>
      <c r="D598" s="271">
        <v>2911.3</v>
      </c>
    </row>
    <row r="599" spans="1:4">
      <c r="A599" s="88">
        <v>46142</v>
      </c>
      <c r="B599" s="89">
        <v>12563</v>
      </c>
      <c r="C599" s="90" t="s">
        <v>899</v>
      </c>
      <c r="D599" s="271">
        <v>4699.87</v>
      </c>
    </row>
    <row r="600" spans="1:4">
      <c r="A600" s="88">
        <v>46142</v>
      </c>
      <c r="B600" s="89">
        <v>12564</v>
      </c>
      <c r="C600" s="90" t="s">
        <v>1112</v>
      </c>
      <c r="D600" s="271">
        <v>1390.5</v>
      </c>
    </row>
    <row r="601" spans="1:4">
      <c r="A601" s="88">
        <v>46142</v>
      </c>
      <c r="B601" s="89">
        <v>12566</v>
      </c>
      <c r="C601" s="90" t="s">
        <v>208</v>
      </c>
      <c r="D601" s="271">
        <v>95</v>
      </c>
    </row>
    <row r="602" spans="1:4">
      <c r="A602" s="88">
        <v>46142</v>
      </c>
      <c r="B602" s="89">
        <v>12567</v>
      </c>
      <c r="C602" s="90" t="s">
        <v>895</v>
      </c>
      <c r="D602" s="271">
        <v>2831.32</v>
      </c>
    </row>
    <row r="603" spans="1:4">
      <c r="A603" s="88">
        <v>46146</v>
      </c>
      <c r="B603" s="89">
        <v>12568</v>
      </c>
      <c r="C603" s="90" t="s">
        <v>194</v>
      </c>
      <c r="D603" s="271">
        <v>2638</v>
      </c>
    </row>
    <row r="604" spans="1:4">
      <c r="A604" s="88">
        <v>46146</v>
      </c>
      <c r="B604" s="89">
        <v>12569</v>
      </c>
      <c r="C604" s="90" t="s">
        <v>895</v>
      </c>
      <c r="D604" s="271">
        <v>316</v>
      </c>
    </row>
    <row r="605" spans="1:4">
      <c r="A605" s="88">
        <v>46146</v>
      </c>
      <c r="B605" s="89">
        <v>12570</v>
      </c>
      <c r="C605" s="90" t="s">
        <v>207</v>
      </c>
      <c r="D605" s="271">
        <v>705</v>
      </c>
    </row>
    <row r="606" spans="1:4">
      <c r="A606" s="88">
        <v>46147</v>
      </c>
      <c r="B606" s="89">
        <v>12571</v>
      </c>
      <c r="C606" s="90" t="s">
        <v>888</v>
      </c>
      <c r="D606" s="271">
        <v>338</v>
      </c>
    </row>
    <row r="607" spans="1:4">
      <c r="A607" s="88">
        <v>46148</v>
      </c>
      <c r="B607" s="89">
        <v>12572</v>
      </c>
      <c r="C607" s="90" t="s">
        <v>193</v>
      </c>
      <c r="D607" s="271">
        <v>11650.6</v>
      </c>
    </row>
    <row r="608" spans="1:4">
      <c r="A608" s="88">
        <v>46148</v>
      </c>
      <c r="B608" s="89">
        <v>12573</v>
      </c>
      <c r="C608" s="90" t="s">
        <v>1485</v>
      </c>
      <c r="D608" s="271">
        <v>1378</v>
      </c>
    </row>
    <row r="609" spans="1:4">
      <c r="A609" s="88">
        <v>46148</v>
      </c>
      <c r="B609" s="89">
        <v>12574</v>
      </c>
      <c r="C609" s="90" t="s">
        <v>956</v>
      </c>
      <c r="D609" s="271">
        <v>750</v>
      </c>
    </row>
    <row r="610" spans="1:4">
      <c r="A610" s="88">
        <v>46148</v>
      </c>
      <c r="B610" s="89">
        <v>12576</v>
      </c>
      <c r="C610" s="90" t="s">
        <v>887</v>
      </c>
      <c r="D610" s="271">
        <v>818.2</v>
      </c>
    </row>
    <row r="611" spans="1:4">
      <c r="A611" s="88">
        <v>46148</v>
      </c>
      <c r="B611" s="89">
        <v>12577</v>
      </c>
      <c r="C611" s="90" t="s">
        <v>1065</v>
      </c>
      <c r="D611" s="271">
        <v>570.05999999999995</v>
      </c>
    </row>
    <row r="612" spans="1:4">
      <c r="A612" s="88">
        <v>46148</v>
      </c>
      <c r="B612" s="89">
        <v>12580</v>
      </c>
      <c r="C612" s="90" t="s">
        <v>1486</v>
      </c>
      <c r="D612" s="271">
        <v>98.5</v>
      </c>
    </row>
    <row r="613" spans="1:4">
      <c r="A613" s="88">
        <v>46148</v>
      </c>
      <c r="B613" s="89">
        <v>12581</v>
      </c>
      <c r="C613" s="90" t="s">
        <v>1487</v>
      </c>
      <c r="D613" s="271">
        <v>19.989999999999998</v>
      </c>
    </row>
    <row r="614" spans="1:4">
      <c r="A614" s="88">
        <v>46148</v>
      </c>
      <c r="B614" s="89">
        <v>12582</v>
      </c>
      <c r="C614" s="90" t="s">
        <v>965</v>
      </c>
      <c r="D614" s="271">
        <v>3954</v>
      </c>
    </row>
    <row r="615" spans="1:4">
      <c r="A615" s="88">
        <v>46149</v>
      </c>
      <c r="B615" s="89">
        <v>12583</v>
      </c>
      <c r="C615" s="90" t="s">
        <v>909</v>
      </c>
      <c r="D615" s="271">
        <v>700</v>
      </c>
    </row>
    <row r="616" spans="1:4">
      <c r="A616" s="88">
        <v>46149</v>
      </c>
      <c r="B616" s="89">
        <v>12584</v>
      </c>
      <c r="C616" s="90" t="s">
        <v>962</v>
      </c>
      <c r="D616" s="271">
        <v>180</v>
      </c>
    </row>
    <row r="617" spans="1:4">
      <c r="A617" s="88">
        <v>46149</v>
      </c>
      <c r="B617" s="89">
        <v>12585</v>
      </c>
      <c r="C617" s="90" t="s">
        <v>1488</v>
      </c>
      <c r="D617" s="271">
        <v>24.99</v>
      </c>
    </row>
    <row r="618" spans="1:4">
      <c r="A618" s="88">
        <v>46149</v>
      </c>
      <c r="B618" s="89">
        <v>12586</v>
      </c>
      <c r="C618" s="90" t="s">
        <v>953</v>
      </c>
      <c r="D618" s="271">
        <v>7196.5</v>
      </c>
    </row>
    <row r="619" spans="1:4">
      <c r="A619" s="88">
        <v>46149</v>
      </c>
      <c r="B619" s="89">
        <v>12587</v>
      </c>
      <c r="C619" s="90" t="s">
        <v>1112</v>
      </c>
      <c r="D619" s="271">
        <v>326</v>
      </c>
    </row>
    <row r="620" spans="1:4">
      <c r="A620" s="88">
        <v>46149</v>
      </c>
      <c r="B620" s="89">
        <v>12590</v>
      </c>
      <c r="C620" s="90" t="s">
        <v>207</v>
      </c>
      <c r="D620" s="271">
        <v>301.27</v>
      </c>
    </row>
    <row r="621" spans="1:4">
      <c r="A621" s="88">
        <v>46150</v>
      </c>
      <c r="B621" s="89">
        <v>12591</v>
      </c>
      <c r="C621" s="90" t="s">
        <v>895</v>
      </c>
      <c r="D621" s="271">
        <v>1013</v>
      </c>
    </row>
    <row r="622" spans="1:4">
      <c r="A622" s="88">
        <v>46150</v>
      </c>
      <c r="B622" s="89">
        <v>12592</v>
      </c>
      <c r="C622" s="90" t="s">
        <v>902</v>
      </c>
      <c r="D622" s="271">
        <v>1167.7</v>
      </c>
    </row>
    <row r="623" spans="1:4">
      <c r="A623" s="88">
        <v>46150</v>
      </c>
      <c r="B623" s="89">
        <v>12593</v>
      </c>
      <c r="C623" s="90" t="s">
        <v>1489</v>
      </c>
      <c r="D623" s="271">
        <v>908</v>
      </c>
    </row>
    <row r="624" spans="1:4">
      <c r="A624" s="88">
        <v>46150</v>
      </c>
      <c r="B624" s="89">
        <v>12595</v>
      </c>
      <c r="C624" s="90" t="s">
        <v>208</v>
      </c>
      <c r="D624" s="271">
        <v>540.70000000000005</v>
      </c>
    </row>
    <row r="625" spans="1:4">
      <c r="A625" s="88">
        <v>46153</v>
      </c>
      <c r="B625" s="89">
        <v>12596</v>
      </c>
      <c r="C625" s="90" t="s">
        <v>1490</v>
      </c>
      <c r="D625" s="271">
        <v>13.99</v>
      </c>
    </row>
    <row r="626" spans="1:4">
      <c r="A626" s="88">
        <v>46153</v>
      </c>
      <c r="B626" s="89">
        <v>12597</v>
      </c>
      <c r="C626" s="90" t="s">
        <v>1015</v>
      </c>
      <c r="D626" s="271">
        <v>173.75</v>
      </c>
    </row>
    <row r="627" spans="1:4">
      <c r="A627" s="88">
        <v>46153</v>
      </c>
      <c r="B627" s="89">
        <v>12598</v>
      </c>
      <c r="C627" s="90" t="s">
        <v>966</v>
      </c>
      <c r="D627" s="271">
        <v>267.14999999999998</v>
      </c>
    </row>
    <row r="628" spans="1:4">
      <c r="A628" s="88">
        <v>46153</v>
      </c>
      <c r="B628" s="89">
        <v>12599</v>
      </c>
      <c r="C628" s="90" t="s">
        <v>1491</v>
      </c>
      <c r="D628" s="271">
        <v>2047.12</v>
      </c>
    </row>
    <row r="629" spans="1:4">
      <c r="A629" s="88">
        <v>46153</v>
      </c>
      <c r="B629" s="89">
        <v>12600</v>
      </c>
      <c r="C629" s="90" t="s">
        <v>208</v>
      </c>
      <c r="D629" s="271">
        <v>428.5</v>
      </c>
    </row>
    <row r="630" spans="1:4">
      <c r="A630" s="88">
        <v>46153</v>
      </c>
      <c r="B630" s="89">
        <v>12602</v>
      </c>
      <c r="C630" s="90" t="s">
        <v>1492</v>
      </c>
      <c r="D630" s="271">
        <v>306</v>
      </c>
    </row>
    <row r="631" spans="1:4">
      <c r="A631" s="88">
        <v>46154</v>
      </c>
      <c r="B631" s="89">
        <v>12603</v>
      </c>
      <c r="C631" s="90" t="s">
        <v>193</v>
      </c>
      <c r="D631" s="271">
        <v>638.62</v>
      </c>
    </row>
    <row r="632" spans="1:4">
      <c r="A632" s="88">
        <v>46154</v>
      </c>
      <c r="B632" s="89">
        <v>12604</v>
      </c>
      <c r="C632" s="90" t="s">
        <v>207</v>
      </c>
      <c r="D632" s="271">
        <v>261</v>
      </c>
    </row>
    <row r="633" spans="1:4">
      <c r="A633" s="88">
        <v>46154</v>
      </c>
      <c r="B633" s="89">
        <v>12605</v>
      </c>
      <c r="C633" s="90" t="s">
        <v>204</v>
      </c>
      <c r="D633" s="271">
        <v>478</v>
      </c>
    </row>
    <row r="634" spans="1:4">
      <c r="A634" s="88">
        <v>46154</v>
      </c>
      <c r="B634" s="89">
        <v>12606</v>
      </c>
      <c r="C634" s="90" t="s">
        <v>197</v>
      </c>
      <c r="D634" s="271">
        <v>1279</v>
      </c>
    </row>
    <row r="635" spans="1:4">
      <c r="A635" s="88">
        <v>46154</v>
      </c>
      <c r="B635" s="89">
        <v>12607</v>
      </c>
      <c r="C635" s="90" t="s">
        <v>907</v>
      </c>
      <c r="D635" s="271">
        <v>610</v>
      </c>
    </row>
    <row r="636" spans="1:4">
      <c r="A636" s="88">
        <v>46154</v>
      </c>
      <c r="B636" s="89">
        <v>12608</v>
      </c>
      <c r="C636" s="90" t="s">
        <v>1065</v>
      </c>
      <c r="D636" s="271">
        <v>170</v>
      </c>
    </row>
    <row r="637" spans="1:4">
      <c r="A637" s="88">
        <v>46154</v>
      </c>
      <c r="B637" s="89">
        <v>12609</v>
      </c>
      <c r="C637" s="90" t="s">
        <v>208</v>
      </c>
      <c r="D637" s="271">
        <v>166</v>
      </c>
    </row>
    <row r="638" spans="1:4">
      <c r="A638" s="88">
        <v>46154</v>
      </c>
      <c r="B638" s="89">
        <v>12610</v>
      </c>
      <c r="C638" s="90" t="s">
        <v>893</v>
      </c>
      <c r="D638" s="271">
        <v>2784.4</v>
      </c>
    </row>
    <row r="639" spans="1:4">
      <c r="A639" s="88">
        <v>46154</v>
      </c>
      <c r="B639" s="89">
        <v>12611</v>
      </c>
      <c r="C639" s="90" t="s">
        <v>198</v>
      </c>
      <c r="D639" s="271">
        <v>4659</v>
      </c>
    </row>
    <row r="640" spans="1:4">
      <c r="A640" s="88">
        <v>46154</v>
      </c>
      <c r="B640" s="89">
        <v>12612</v>
      </c>
      <c r="C640" s="90" t="s">
        <v>194</v>
      </c>
      <c r="D640" s="271">
        <v>3600</v>
      </c>
    </row>
    <row r="641" spans="1:4">
      <c r="A641" s="88">
        <v>46155</v>
      </c>
      <c r="B641" s="89">
        <v>12613</v>
      </c>
      <c r="C641" s="90" t="s">
        <v>1493</v>
      </c>
      <c r="D641" s="271">
        <v>26.99</v>
      </c>
    </row>
    <row r="642" spans="1:4">
      <c r="A642" s="88">
        <v>46155</v>
      </c>
      <c r="B642" s="89">
        <v>12615</v>
      </c>
      <c r="C642" s="90" t="s">
        <v>1494</v>
      </c>
      <c r="D642" s="271">
        <v>23.98</v>
      </c>
    </row>
    <row r="643" spans="1:4">
      <c r="A643" s="88">
        <v>46155</v>
      </c>
      <c r="B643" s="89">
        <v>12616</v>
      </c>
      <c r="C643" s="90" t="s">
        <v>208</v>
      </c>
      <c r="D643" s="271">
        <v>2548.6999999999998</v>
      </c>
    </row>
    <row r="644" spans="1:4">
      <c r="A644" s="88">
        <v>46155</v>
      </c>
      <c r="B644" s="89">
        <v>12618</v>
      </c>
      <c r="C644" s="90" t="s">
        <v>1140</v>
      </c>
      <c r="D644" s="271">
        <v>979.5</v>
      </c>
    </row>
    <row r="645" spans="1:4">
      <c r="A645" s="88">
        <v>46155</v>
      </c>
      <c r="B645" s="89">
        <v>12619</v>
      </c>
      <c r="C645" s="90" t="s">
        <v>885</v>
      </c>
      <c r="D645" s="271">
        <v>1869.75</v>
      </c>
    </row>
    <row r="646" spans="1:4">
      <c r="A646" s="88">
        <v>46155</v>
      </c>
      <c r="B646" s="89">
        <v>12620</v>
      </c>
      <c r="C646" s="90" t="s">
        <v>887</v>
      </c>
      <c r="D646" s="271">
        <v>207</v>
      </c>
    </row>
    <row r="647" spans="1:4">
      <c r="A647" s="88">
        <v>46156</v>
      </c>
      <c r="B647" s="89">
        <v>12621</v>
      </c>
      <c r="C647" s="90" t="s">
        <v>1495</v>
      </c>
      <c r="D647" s="271">
        <v>22.99</v>
      </c>
    </row>
    <row r="648" spans="1:4">
      <c r="A648" s="88">
        <v>46156</v>
      </c>
      <c r="B648" s="89">
        <v>12622</v>
      </c>
      <c r="C648" s="90" t="s">
        <v>913</v>
      </c>
      <c r="D648" s="271">
        <v>12132.27</v>
      </c>
    </row>
    <row r="649" spans="1:4">
      <c r="A649" s="88">
        <v>46156</v>
      </c>
      <c r="B649" s="89">
        <v>12623</v>
      </c>
      <c r="C649" s="90" t="s">
        <v>1496</v>
      </c>
      <c r="D649" s="271">
        <v>2250</v>
      </c>
    </row>
    <row r="650" spans="1:4">
      <c r="A650" s="88">
        <v>46157</v>
      </c>
      <c r="B650" s="89">
        <v>12624</v>
      </c>
      <c r="C650" s="90" t="s">
        <v>1142</v>
      </c>
      <c r="D650" s="271">
        <v>771</v>
      </c>
    </row>
    <row r="651" spans="1:4">
      <c r="A651" s="88">
        <v>46157</v>
      </c>
      <c r="B651" s="89">
        <v>12625</v>
      </c>
      <c r="C651" s="90" t="s">
        <v>919</v>
      </c>
      <c r="D651" s="271">
        <v>975.5</v>
      </c>
    </row>
    <row r="652" spans="1:4">
      <c r="A652" s="88">
        <v>46157</v>
      </c>
      <c r="B652" s="89">
        <v>12626</v>
      </c>
      <c r="C652" s="90" t="s">
        <v>1497</v>
      </c>
      <c r="D652" s="271">
        <v>129.5</v>
      </c>
    </row>
    <row r="653" spans="1:4">
      <c r="A653" s="88">
        <v>46157</v>
      </c>
      <c r="B653" s="89">
        <v>12627</v>
      </c>
      <c r="C653" s="90" t="s">
        <v>935</v>
      </c>
      <c r="D653" s="271">
        <v>6244.5</v>
      </c>
    </row>
    <row r="654" spans="1:4">
      <c r="A654" s="88">
        <v>46160</v>
      </c>
      <c r="B654" s="89">
        <v>12628</v>
      </c>
      <c r="C654" s="90" t="s">
        <v>1498</v>
      </c>
      <c r="D654" s="271">
        <v>417</v>
      </c>
    </row>
    <row r="655" spans="1:4">
      <c r="A655" s="88">
        <v>46160</v>
      </c>
      <c r="B655" s="89">
        <v>12629</v>
      </c>
      <c r="C655" s="90" t="s">
        <v>994</v>
      </c>
      <c r="D655" s="271">
        <v>2135.8200000000002</v>
      </c>
    </row>
    <row r="656" spans="1:4">
      <c r="A656" s="88">
        <v>46160</v>
      </c>
      <c r="B656" s="89">
        <v>12630</v>
      </c>
      <c r="C656" s="90" t="s">
        <v>1499</v>
      </c>
      <c r="D656" s="271">
        <v>452.46</v>
      </c>
    </row>
    <row r="657" spans="1:4">
      <c r="A657" s="88">
        <v>46160</v>
      </c>
      <c r="B657" s="89">
        <v>12631</v>
      </c>
      <c r="C657" s="90" t="s">
        <v>1414</v>
      </c>
      <c r="D657" s="271">
        <v>2520</v>
      </c>
    </row>
    <row r="658" spans="1:4">
      <c r="A658" s="88">
        <v>46161</v>
      </c>
      <c r="B658" s="89">
        <v>12632</v>
      </c>
      <c r="C658" s="90" t="s">
        <v>975</v>
      </c>
      <c r="D658" s="271">
        <v>118.5</v>
      </c>
    </row>
    <row r="659" spans="1:4">
      <c r="A659" s="88">
        <v>46161</v>
      </c>
      <c r="B659" s="89">
        <v>12633</v>
      </c>
      <c r="C659" s="90" t="s">
        <v>1500</v>
      </c>
      <c r="D659" s="271">
        <v>29.99</v>
      </c>
    </row>
    <row r="660" spans="1:4">
      <c r="A660" s="88">
        <v>46161</v>
      </c>
      <c r="B660" s="89">
        <v>12634</v>
      </c>
      <c r="C660" s="90" t="s">
        <v>1501</v>
      </c>
      <c r="D660" s="271">
        <v>54.99</v>
      </c>
    </row>
    <row r="661" spans="1:4">
      <c r="A661" s="88">
        <v>46161</v>
      </c>
      <c r="B661" s="89">
        <v>12635</v>
      </c>
      <c r="C661" s="90" t="s">
        <v>1502</v>
      </c>
      <c r="D661" s="271">
        <v>14.99</v>
      </c>
    </row>
    <row r="662" spans="1:4">
      <c r="A662" s="88">
        <v>46161</v>
      </c>
      <c r="B662" s="89">
        <v>12636</v>
      </c>
      <c r="C662" s="90" t="s">
        <v>920</v>
      </c>
      <c r="D662" s="271">
        <v>8639.5</v>
      </c>
    </row>
    <row r="663" spans="1:4">
      <c r="A663" s="88">
        <v>46161</v>
      </c>
      <c r="B663" s="89">
        <v>12637</v>
      </c>
      <c r="C663" s="90" t="s">
        <v>207</v>
      </c>
      <c r="D663" s="271">
        <v>1633</v>
      </c>
    </row>
    <row r="664" spans="1:4">
      <c r="A664" s="88">
        <v>46161</v>
      </c>
      <c r="B664" s="89">
        <v>12638</v>
      </c>
      <c r="C664" s="90" t="s">
        <v>197</v>
      </c>
      <c r="D664" s="271">
        <v>1569.3</v>
      </c>
    </row>
    <row r="665" spans="1:4">
      <c r="A665" s="88">
        <v>46161</v>
      </c>
      <c r="B665" s="89">
        <v>12639</v>
      </c>
      <c r="C665" s="90" t="s">
        <v>206</v>
      </c>
      <c r="D665" s="271">
        <v>475.05</v>
      </c>
    </row>
    <row r="666" spans="1:4">
      <c r="A666" s="88">
        <v>46162</v>
      </c>
      <c r="B666" s="89">
        <v>12640</v>
      </c>
      <c r="C666" s="90" t="s">
        <v>1503</v>
      </c>
      <c r="D666" s="271">
        <v>79.98</v>
      </c>
    </row>
    <row r="667" spans="1:4">
      <c r="A667" s="88">
        <v>46162</v>
      </c>
      <c r="B667" s="89">
        <v>12641</v>
      </c>
      <c r="C667" s="90" t="s">
        <v>1503</v>
      </c>
      <c r="D667" s="271">
        <v>85.98</v>
      </c>
    </row>
    <row r="668" spans="1:4">
      <c r="A668" s="88">
        <v>46162</v>
      </c>
      <c r="B668" s="89">
        <v>12642</v>
      </c>
      <c r="C668" s="90" t="s">
        <v>1504</v>
      </c>
      <c r="D668" s="271">
        <v>26.99</v>
      </c>
    </row>
    <row r="669" spans="1:4">
      <c r="A669" s="88">
        <v>46162</v>
      </c>
      <c r="B669" s="89">
        <v>12643</v>
      </c>
      <c r="C669" s="90" t="s">
        <v>899</v>
      </c>
      <c r="D669" s="271">
        <v>2021</v>
      </c>
    </row>
    <row r="670" spans="1:4">
      <c r="A670" s="88">
        <v>46162</v>
      </c>
      <c r="B670" s="89">
        <v>12644</v>
      </c>
      <c r="C670" s="90" t="s">
        <v>208</v>
      </c>
      <c r="D670" s="271">
        <v>282</v>
      </c>
    </row>
    <row r="671" spans="1:4">
      <c r="A671" s="88">
        <v>46162</v>
      </c>
      <c r="B671" s="89">
        <v>12645</v>
      </c>
      <c r="C671" s="90" t="s">
        <v>1014</v>
      </c>
      <c r="D671" s="271">
        <v>77.2</v>
      </c>
    </row>
    <row r="672" spans="1:4">
      <c r="A672" s="88">
        <v>46162</v>
      </c>
      <c r="B672" s="89">
        <v>12646</v>
      </c>
      <c r="C672" s="90" t="s">
        <v>911</v>
      </c>
      <c r="D672" s="271">
        <v>1861.2</v>
      </c>
    </row>
    <row r="673" spans="1:4">
      <c r="A673" s="88">
        <v>46163</v>
      </c>
      <c r="B673" s="89">
        <v>12647</v>
      </c>
      <c r="C673" s="90" t="s">
        <v>915</v>
      </c>
      <c r="D673" s="271">
        <v>2069.3000000000002</v>
      </c>
    </row>
    <row r="674" spans="1:4">
      <c r="A674" s="88">
        <v>46163</v>
      </c>
      <c r="B674" s="89">
        <v>12648</v>
      </c>
      <c r="C674" s="90" t="s">
        <v>919</v>
      </c>
      <c r="D674" s="271">
        <v>806.52</v>
      </c>
    </row>
    <row r="675" spans="1:4">
      <c r="A675" s="88">
        <v>46163</v>
      </c>
      <c r="B675" s="89">
        <v>12649</v>
      </c>
      <c r="C675" s="90" t="s">
        <v>196</v>
      </c>
      <c r="D675" s="271">
        <v>1152.5</v>
      </c>
    </row>
    <row r="676" spans="1:4">
      <c r="A676" s="88">
        <v>46163</v>
      </c>
      <c r="B676" s="89">
        <v>12650</v>
      </c>
      <c r="C676" s="90" t="s">
        <v>1505</v>
      </c>
      <c r="D676" s="271">
        <v>87.72</v>
      </c>
    </row>
    <row r="677" spans="1:4">
      <c r="A677" s="88">
        <v>46163</v>
      </c>
      <c r="B677" s="89">
        <v>12651</v>
      </c>
      <c r="C677" s="90" t="s">
        <v>944</v>
      </c>
      <c r="D677" s="271">
        <v>8940</v>
      </c>
    </row>
    <row r="678" spans="1:4">
      <c r="A678" s="88">
        <v>46163</v>
      </c>
      <c r="B678" s="89">
        <v>12652</v>
      </c>
      <c r="C678" s="90" t="s">
        <v>207</v>
      </c>
      <c r="D678" s="271">
        <v>316.89999999999998</v>
      </c>
    </row>
    <row r="679" spans="1:4">
      <c r="A679" s="88">
        <v>46164</v>
      </c>
      <c r="B679" s="89">
        <v>12653</v>
      </c>
      <c r="C679" s="90" t="s">
        <v>1432</v>
      </c>
      <c r="D679" s="271">
        <v>56</v>
      </c>
    </row>
    <row r="680" spans="1:4">
      <c r="A680" s="88">
        <v>46164</v>
      </c>
      <c r="B680" s="89">
        <v>12654</v>
      </c>
      <c r="C680" s="90" t="s">
        <v>208</v>
      </c>
      <c r="D680" s="271">
        <v>2476</v>
      </c>
    </row>
    <row r="681" spans="1:4">
      <c r="A681" s="88">
        <v>46164</v>
      </c>
      <c r="B681" s="89">
        <v>12655</v>
      </c>
      <c r="C681" s="90" t="s">
        <v>208</v>
      </c>
      <c r="D681" s="271">
        <v>246</v>
      </c>
    </row>
    <row r="682" spans="1:4">
      <c r="A682" s="88">
        <v>46164</v>
      </c>
      <c r="B682" s="89">
        <v>12656</v>
      </c>
      <c r="C682" s="90" t="s">
        <v>1506</v>
      </c>
      <c r="D682" s="271">
        <v>1161.7</v>
      </c>
    </row>
    <row r="683" spans="1:4">
      <c r="A683" s="88">
        <v>46164</v>
      </c>
      <c r="B683" s="89">
        <v>12657</v>
      </c>
      <c r="C683" s="90" t="s">
        <v>956</v>
      </c>
      <c r="D683" s="271">
        <v>852.5</v>
      </c>
    </row>
    <row r="684" spans="1:4">
      <c r="A684" s="88">
        <v>46167</v>
      </c>
      <c r="B684" s="89">
        <v>12661</v>
      </c>
      <c r="C684" s="90" t="s">
        <v>1507</v>
      </c>
      <c r="D684" s="271">
        <v>16.989999999999998</v>
      </c>
    </row>
    <row r="685" spans="1:4">
      <c r="A685" s="88">
        <v>46167</v>
      </c>
      <c r="B685" s="89">
        <v>12662</v>
      </c>
      <c r="C685" s="90" t="s">
        <v>1508</v>
      </c>
      <c r="D685" s="271">
        <v>24.99</v>
      </c>
    </row>
    <row r="686" spans="1:4">
      <c r="A686" s="88">
        <v>46167</v>
      </c>
      <c r="B686" s="89">
        <v>12663</v>
      </c>
      <c r="C686" s="90" t="s">
        <v>199</v>
      </c>
      <c r="D686" s="271">
        <v>1531</v>
      </c>
    </row>
    <row r="687" spans="1:4">
      <c r="A687" s="88">
        <v>46168</v>
      </c>
      <c r="B687" s="89">
        <v>12664</v>
      </c>
      <c r="C687" s="90" t="s">
        <v>966</v>
      </c>
      <c r="D687" s="271">
        <v>214.8</v>
      </c>
    </row>
    <row r="688" spans="1:4">
      <c r="A688" s="88">
        <v>46168</v>
      </c>
      <c r="B688" s="89">
        <v>12666</v>
      </c>
      <c r="C688" s="90" t="s">
        <v>1509</v>
      </c>
      <c r="D688" s="271">
        <v>21.99</v>
      </c>
    </row>
    <row r="689" spans="1:4">
      <c r="A689" s="88">
        <v>46169</v>
      </c>
      <c r="B689" s="89">
        <v>12667</v>
      </c>
      <c r="C689" s="90" t="s">
        <v>1510</v>
      </c>
      <c r="D689" s="271">
        <v>165.15</v>
      </c>
    </row>
    <row r="690" spans="1:4">
      <c r="A690" s="88">
        <v>46169</v>
      </c>
      <c r="B690" s="89">
        <v>12671</v>
      </c>
      <c r="C690" s="90" t="s">
        <v>1047</v>
      </c>
      <c r="D690" s="271">
        <v>1600</v>
      </c>
    </row>
    <row r="691" spans="1:4">
      <c r="A691" s="88">
        <v>46169</v>
      </c>
      <c r="B691" s="89">
        <v>12674</v>
      </c>
      <c r="C691" s="90" t="s">
        <v>208</v>
      </c>
      <c r="D691" s="271">
        <v>277.8</v>
      </c>
    </row>
    <row r="692" spans="1:4">
      <c r="A692" s="88">
        <v>46169</v>
      </c>
      <c r="B692" s="89">
        <v>12675</v>
      </c>
      <c r="C692" s="90" t="s">
        <v>919</v>
      </c>
      <c r="D692" s="271">
        <v>3790.1</v>
      </c>
    </row>
    <row r="693" spans="1:4">
      <c r="A693" s="88">
        <v>46170</v>
      </c>
      <c r="B693" s="89">
        <v>12676</v>
      </c>
      <c r="C693" s="90" t="s">
        <v>944</v>
      </c>
      <c r="D693" s="271">
        <v>1800.8</v>
      </c>
    </row>
    <row r="694" spans="1:4">
      <c r="A694" s="88">
        <v>46170</v>
      </c>
      <c r="B694" s="89">
        <v>12677</v>
      </c>
      <c r="C694" s="90" t="s">
        <v>1511</v>
      </c>
      <c r="D694" s="271">
        <v>24.99</v>
      </c>
    </row>
    <row r="695" spans="1:4">
      <c r="A695" s="88">
        <v>46170</v>
      </c>
      <c r="B695" s="89">
        <v>12678</v>
      </c>
      <c r="C695" s="90" t="s">
        <v>1512</v>
      </c>
      <c r="D695" s="271">
        <v>69.97</v>
      </c>
    </row>
    <row r="696" spans="1:4">
      <c r="A696" s="88">
        <v>46170</v>
      </c>
      <c r="B696" s="89">
        <v>12679</v>
      </c>
      <c r="C696" s="90" t="s">
        <v>1513</v>
      </c>
      <c r="D696" s="271">
        <v>34.99</v>
      </c>
    </row>
    <row r="697" spans="1:4">
      <c r="A697" s="88">
        <v>46170</v>
      </c>
      <c r="B697" s="89">
        <v>12680</v>
      </c>
      <c r="C697" s="90" t="s">
        <v>885</v>
      </c>
      <c r="D697" s="271">
        <v>718</v>
      </c>
    </row>
    <row r="698" spans="1:4">
      <c r="A698" s="88">
        <v>46170</v>
      </c>
      <c r="B698" s="89">
        <v>12681</v>
      </c>
      <c r="C698" s="90" t="s">
        <v>1514</v>
      </c>
      <c r="D698" s="271">
        <v>70</v>
      </c>
    </row>
    <row r="699" spans="1:4">
      <c r="A699" s="88">
        <v>46170</v>
      </c>
      <c r="B699" s="89">
        <v>12682</v>
      </c>
      <c r="C699" s="90" t="s">
        <v>1112</v>
      </c>
      <c r="D699" s="271">
        <v>2217</v>
      </c>
    </row>
    <row r="700" spans="1:4">
      <c r="A700" s="88">
        <v>46170</v>
      </c>
      <c r="B700" s="89">
        <v>12683</v>
      </c>
      <c r="C700" s="90" t="s">
        <v>1425</v>
      </c>
      <c r="D700" s="271">
        <v>909.5</v>
      </c>
    </row>
    <row r="701" spans="1:4">
      <c r="A701" s="88">
        <v>46170</v>
      </c>
      <c r="B701" s="89">
        <v>12685</v>
      </c>
      <c r="C701" s="90" t="s">
        <v>208</v>
      </c>
      <c r="D701" s="271">
        <v>66.5</v>
      </c>
    </row>
    <row r="702" spans="1:4">
      <c r="A702" s="88">
        <v>46170</v>
      </c>
      <c r="B702" s="89">
        <v>12686</v>
      </c>
      <c r="C702" s="90" t="s">
        <v>939</v>
      </c>
      <c r="D702" s="271">
        <v>170</v>
      </c>
    </row>
    <row r="703" spans="1:4">
      <c r="A703" s="88">
        <v>46171</v>
      </c>
      <c r="B703" s="89">
        <v>12688</v>
      </c>
      <c r="C703" s="90" t="s">
        <v>1515</v>
      </c>
      <c r="D703" s="271">
        <v>35.97</v>
      </c>
    </row>
    <row r="704" spans="1:4">
      <c r="A704" s="88">
        <v>46171</v>
      </c>
      <c r="B704" s="89">
        <v>12689</v>
      </c>
      <c r="C704" s="90" t="s">
        <v>1516</v>
      </c>
      <c r="D704" s="271">
        <v>34.99</v>
      </c>
    </row>
    <row r="705" spans="1:4">
      <c r="A705" s="88">
        <v>46171</v>
      </c>
      <c r="B705" s="89">
        <v>12690</v>
      </c>
      <c r="C705" s="90" t="s">
        <v>1407</v>
      </c>
      <c r="D705" s="271">
        <v>76.5</v>
      </c>
    </row>
    <row r="706" spans="1:4">
      <c r="A706" s="88">
        <v>46171</v>
      </c>
      <c r="B706" s="89">
        <v>12691</v>
      </c>
      <c r="C706" s="90" t="s">
        <v>935</v>
      </c>
      <c r="D706" s="271">
        <v>1723</v>
      </c>
    </row>
    <row r="707" spans="1:4">
      <c r="A707" s="88">
        <v>46171</v>
      </c>
      <c r="B707" s="89">
        <v>12692</v>
      </c>
      <c r="C707" s="90" t="s">
        <v>1119</v>
      </c>
      <c r="D707" s="271">
        <v>438</v>
      </c>
    </row>
    <row r="708" spans="1:4">
      <c r="A708" s="88">
        <v>46171</v>
      </c>
      <c r="B708" s="89">
        <v>12693</v>
      </c>
      <c r="C708" s="90" t="s">
        <v>944</v>
      </c>
      <c r="D708" s="271">
        <v>738.44</v>
      </c>
    </row>
    <row r="709" spans="1:4">
      <c r="A709" s="88">
        <v>46171</v>
      </c>
      <c r="B709" s="89">
        <v>12694</v>
      </c>
      <c r="C709" s="90" t="s">
        <v>920</v>
      </c>
      <c r="D709" s="271">
        <v>1418</v>
      </c>
    </row>
    <row r="710" spans="1:4">
      <c r="A710" s="88">
        <v>46171</v>
      </c>
      <c r="B710" s="89">
        <v>12695</v>
      </c>
      <c r="C710" s="90" t="s">
        <v>993</v>
      </c>
      <c r="D710" s="271">
        <v>2569.1</v>
      </c>
    </row>
    <row r="711" spans="1:4">
      <c r="A711" s="88">
        <v>46171</v>
      </c>
      <c r="B711" s="89">
        <v>12696</v>
      </c>
      <c r="C711" s="90" t="s">
        <v>909</v>
      </c>
      <c r="D711" s="271">
        <v>2779.6</v>
      </c>
    </row>
    <row r="712" spans="1:4">
      <c r="B712" s="359">
        <v>12672</v>
      </c>
      <c r="C712" t="s">
        <v>1517</v>
      </c>
      <c r="D712" s="273">
        <v>29.99</v>
      </c>
    </row>
    <row r="713" spans="1:4">
      <c r="A713" s="88">
        <v>46174</v>
      </c>
      <c r="B713" s="89">
        <v>12697</v>
      </c>
      <c r="C713" s="90" t="s">
        <v>1518</v>
      </c>
      <c r="D713" s="271">
        <v>107.96</v>
      </c>
    </row>
    <row r="714" spans="1:4">
      <c r="A714" s="88">
        <v>46174</v>
      </c>
      <c r="B714" s="89">
        <v>12698</v>
      </c>
      <c r="C714" s="90" t="s">
        <v>204</v>
      </c>
      <c r="D714" s="271">
        <v>103</v>
      </c>
    </row>
    <row r="715" spans="1:4">
      <c r="A715" s="88">
        <v>46174</v>
      </c>
      <c r="B715" s="89">
        <v>12699</v>
      </c>
      <c r="C715" s="90" t="s">
        <v>936</v>
      </c>
      <c r="D715" s="271">
        <v>4584.62</v>
      </c>
    </row>
    <row r="716" spans="1:4">
      <c r="A716" s="88">
        <v>46174</v>
      </c>
      <c r="B716" s="89">
        <v>12700</v>
      </c>
      <c r="C716" s="90" t="s">
        <v>1519</v>
      </c>
      <c r="D716" s="271">
        <v>827</v>
      </c>
    </row>
    <row r="717" spans="1:4">
      <c r="A717" s="88">
        <v>46174</v>
      </c>
      <c r="B717" s="89">
        <v>12701</v>
      </c>
      <c r="C717" s="90" t="s">
        <v>975</v>
      </c>
      <c r="D717" s="271">
        <v>85</v>
      </c>
    </row>
    <row r="718" spans="1:4">
      <c r="A718" s="88">
        <v>46175</v>
      </c>
      <c r="B718" s="89">
        <v>12702</v>
      </c>
      <c r="C718" s="90" t="s">
        <v>1520</v>
      </c>
      <c r="D718" s="271">
        <v>715</v>
      </c>
    </row>
    <row r="719" spans="1:4">
      <c r="A719" s="88">
        <v>46175</v>
      </c>
      <c r="B719" s="89">
        <v>12703</v>
      </c>
      <c r="C719" s="90" t="s">
        <v>1520</v>
      </c>
      <c r="D719" s="271">
        <v>390</v>
      </c>
    </row>
    <row r="720" spans="1:4">
      <c r="A720" s="88">
        <v>46175</v>
      </c>
      <c r="B720" s="89">
        <v>12704</v>
      </c>
      <c r="C720" s="90" t="s">
        <v>1140</v>
      </c>
      <c r="D720" s="271">
        <v>2958</v>
      </c>
    </row>
    <row r="721" spans="1:4">
      <c r="A721" s="88">
        <v>46175</v>
      </c>
      <c r="B721" s="89">
        <v>12705</v>
      </c>
      <c r="C721" s="90" t="s">
        <v>1521</v>
      </c>
      <c r="D721" s="271">
        <v>26.99</v>
      </c>
    </row>
    <row r="722" spans="1:4">
      <c r="A722" s="88">
        <v>46175</v>
      </c>
      <c r="B722" s="89">
        <v>12706</v>
      </c>
      <c r="C722" s="90" t="s">
        <v>1522</v>
      </c>
      <c r="D722" s="271">
        <v>69.98</v>
      </c>
    </row>
    <row r="723" spans="1:4">
      <c r="A723" s="88">
        <v>46175</v>
      </c>
      <c r="B723" s="89">
        <v>12707</v>
      </c>
      <c r="C723" s="90" t="s">
        <v>193</v>
      </c>
      <c r="D723" s="271">
        <v>10620.98</v>
      </c>
    </row>
    <row r="724" spans="1:4">
      <c r="A724" s="88">
        <v>46175</v>
      </c>
      <c r="B724" s="89">
        <v>12708</v>
      </c>
      <c r="C724" s="90" t="s">
        <v>885</v>
      </c>
      <c r="D724" s="271">
        <v>447</v>
      </c>
    </row>
    <row r="725" spans="1:4">
      <c r="A725" s="88">
        <v>46175</v>
      </c>
      <c r="B725" s="89">
        <v>12709</v>
      </c>
      <c r="C725" s="90" t="s">
        <v>888</v>
      </c>
      <c r="D725" s="271">
        <v>368</v>
      </c>
    </row>
    <row r="726" spans="1:4">
      <c r="A726" s="88">
        <v>46175</v>
      </c>
      <c r="B726" s="89">
        <v>12710</v>
      </c>
      <c r="C726" s="90" t="s">
        <v>1414</v>
      </c>
      <c r="D726" s="271">
        <v>1150</v>
      </c>
    </row>
    <row r="727" spans="1:4">
      <c r="A727" s="88">
        <v>46175</v>
      </c>
      <c r="B727" s="89">
        <v>12711</v>
      </c>
      <c r="C727" s="90" t="s">
        <v>919</v>
      </c>
      <c r="D727" s="271">
        <v>1366.4</v>
      </c>
    </row>
    <row r="728" spans="1:4">
      <c r="A728" s="88">
        <v>46176</v>
      </c>
      <c r="B728" s="89">
        <v>12712</v>
      </c>
      <c r="C728" s="90" t="s">
        <v>208</v>
      </c>
      <c r="D728" s="271">
        <v>69</v>
      </c>
    </row>
    <row r="729" spans="1:4">
      <c r="A729" s="88">
        <v>46176</v>
      </c>
      <c r="B729" s="89">
        <v>12714</v>
      </c>
      <c r="C729" s="90" t="s">
        <v>1523</v>
      </c>
      <c r="D729" s="271">
        <v>55.97</v>
      </c>
    </row>
    <row r="730" spans="1:4">
      <c r="A730" s="88">
        <v>46176</v>
      </c>
      <c r="B730" s="89">
        <v>12715</v>
      </c>
      <c r="C730" s="90" t="s">
        <v>935</v>
      </c>
      <c r="D730" s="271">
        <v>1513.35</v>
      </c>
    </row>
    <row r="731" spans="1:4">
      <c r="A731" s="88">
        <v>46176</v>
      </c>
      <c r="B731" s="89">
        <v>12716</v>
      </c>
      <c r="C731" s="90" t="s">
        <v>1524</v>
      </c>
      <c r="D731" s="271">
        <v>34.99</v>
      </c>
    </row>
    <row r="732" spans="1:4">
      <c r="A732" s="88">
        <v>46176</v>
      </c>
      <c r="B732" s="89">
        <v>12717</v>
      </c>
      <c r="C732" s="90" t="s">
        <v>208</v>
      </c>
      <c r="D732" s="271">
        <v>4982.7</v>
      </c>
    </row>
    <row r="733" spans="1:4">
      <c r="A733" s="88">
        <v>46181</v>
      </c>
      <c r="B733" s="89">
        <v>12718</v>
      </c>
      <c r="C733" s="90" t="s">
        <v>208</v>
      </c>
      <c r="D733" s="271">
        <v>4233.95</v>
      </c>
    </row>
    <row r="734" spans="1:4">
      <c r="A734" s="88">
        <v>46181</v>
      </c>
      <c r="B734" s="89">
        <v>12719</v>
      </c>
      <c r="C734" s="90" t="s">
        <v>208</v>
      </c>
      <c r="D734" s="271">
        <v>933.76</v>
      </c>
    </row>
    <row r="735" spans="1:4">
      <c r="A735" s="88">
        <v>46182</v>
      </c>
      <c r="B735" s="89">
        <v>12720</v>
      </c>
      <c r="C735" s="90" t="s">
        <v>208</v>
      </c>
      <c r="D735" s="271">
        <v>1645</v>
      </c>
    </row>
    <row r="736" spans="1:4">
      <c r="A736" s="88">
        <v>46182</v>
      </c>
      <c r="B736" s="89">
        <v>12722</v>
      </c>
      <c r="C736" s="90" t="s">
        <v>207</v>
      </c>
      <c r="D736" s="271">
        <v>530.5</v>
      </c>
    </row>
    <row r="737" spans="1:4">
      <c r="A737" s="88">
        <v>46182</v>
      </c>
      <c r="B737" s="89">
        <v>12723</v>
      </c>
      <c r="C737" s="90" t="s">
        <v>1414</v>
      </c>
      <c r="D737" s="271">
        <v>1774</v>
      </c>
    </row>
    <row r="738" spans="1:4">
      <c r="A738" s="88">
        <v>46183</v>
      </c>
      <c r="B738" s="89">
        <v>12725</v>
      </c>
      <c r="C738" s="90" t="s">
        <v>1525</v>
      </c>
      <c r="D738" s="271">
        <v>12.99</v>
      </c>
    </row>
    <row r="739" spans="1:4">
      <c r="A739" s="88">
        <v>46183</v>
      </c>
      <c r="B739" s="89">
        <v>12726</v>
      </c>
      <c r="C739" s="90" t="s">
        <v>1526</v>
      </c>
      <c r="D739" s="271">
        <v>21.99</v>
      </c>
    </row>
    <row r="740" spans="1:4">
      <c r="A740" s="88">
        <v>46183</v>
      </c>
      <c r="B740" s="89">
        <v>12727</v>
      </c>
      <c r="C740" s="90" t="s">
        <v>995</v>
      </c>
      <c r="D740" s="271">
        <v>2447.8000000000002</v>
      </c>
    </row>
    <row r="741" spans="1:4">
      <c r="A741" s="88">
        <v>46183</v>
      </c>
      <c r="B741" s="89">
        <v>12728</v>
      </c>
      <c r="C741" s="90" t="s">
        <v>953</v>
      </c>
      <c r="D741" s="271">
        <v>1586</v>
      </c>
    </row>
    <row r="742" spans="1:4">
      <c r="A742" s="88">
        <v>46183</v>
      </c>
      <c r="B742" s="89">
        <v>12729</v>
      </c>
      <c r="C742" s="90" t="s">
        <v>1527</v>
      </c>
      <c r="D742" s="271">
        <v>14.99</v>
      </c>
    </row>
    <row r="743" spans="1:4">
      <c r="A743" s="88">
        <v>46183</v>
      </c>
      <c r="B743" s="89">
        <v>12730</v>
      </c>
      <c r="C743" s="90" t="s">
        <v>893</v>
      </c>
      <c r="D743" s="271">
        <v>1092.24</v>
      </c>
    </row>
    <row r="744" spans="1:4">
      <c r="A744" s="88">
        <v>46183</v>
      </c>
      <c r="B744" s="89">
        <v>12732</v>
      </c>
      <c r="C744" s="90" t="s">
        <v>1437</v>
      </c>
      <c r="D744" s="271">
        <v>580.79999999999995</v>
      </c>
    </row>
    <row r="745" spans="1:4">
      <c r="A745" s="88">
        <v>46183</v>
      </c>
      <c r="B745" s="89">
        <v>12733</v>
      </c>
      <c r="C745" s="90" t="s">
        <v>1528</v>
      </c>
      <c r="D745" s="271">
        <v>793.5</v>
      </c>
    </row>
    <row r="746" spans="1:4">
      <c r="A746" s="88">
        <v>46184</v>
      </c>
      <c r="B746" s="89">
        <v>12734</v>
      </c>
      <c r="C746" s="90" t="s">
        <v>1529</v>
      </c>
      <c r="D746" s="271">
        <v>1500</v>
      </c>
    </row>
    <row r="747" spans="1:4">
      <c r="A747" s="88">
        <v>46184</v>
      </c>
      <c r="B747" s="89">
        <v>12735</v>
      </c>
      <c r="C747" s="90" t="s">
        <v>1508</v>
      </c>
      <c r="D747" s="271">
        <v>35.979999999999997</v>
      </c>
    </row>
    <row r="748" spans="1:4">
      <c r="A748" s="88">
        <v>46184</v>
      </c>
      <c r="B748" s="89">
        <v>12736</v>
      </c>
      <c r="C748" s="90" t="s">
        <v>1530</v>
      </c>
      <c r="D748" s="271">
        <v>26.99</v>
      </c>
    </row>
    <row r="749" spans="1:4">
      <c r="A749" s="88">
        <v>46184</v>
      </c>
      <c r="B749" s="89">
        <v>12737</v>
      </c>
      <c r="C749" s="90" t="s">
        <v>950</v>
      </c>
      <c r="D749" s="271">
        <v>419</v>
      </c>
    </row>
    <row r="750" spans="1:4">
      <c r="A750" s="88">
        <v>46184</v>
      </c>
      <c r="B750" s="89">
        <v>12738</v>
      </c>
      <c r="C750" s="90" t="s">
        <v>956</v>
      </c>
      <c r="D750" s="271">
        <v>492.2</v>
      </c>
    </row>
    <row r="751" spans="1:4">
      <c r="A751" s="88">
        <v>46184</v>
      </c>
      <c r="B751" s="89">
        <v>12740</v>
      </c>
      <c r="C751" s="90" t="s">
        <v>198</v>
      </c>
      <c r="D751" s="271">
        <v>1596.6</v>
      </c>
    </row>
    <row r="752" spans="1:4">
      <c r="A752" s="88">
        <v>46185</v>
      </c>
      <c r="B752" s="89">
        <v>12741</v>
      </c>
      <c r="C752" s="90" t="s">
        <v>1531</v>
      </c>
      <c r="D752" s="271">
        <v>26.99</v>
      </c>
    </row>
    <row r="753" spans="1:4">
      <c r="A753" s="88">
        <v>46185</v>
      </c>
      <c r="B753" s="89">
        <v>12742</v>
      </c>
      <c r="C753" s="90" t="s">
        <v>1119</v>
      </c>
      <c r="D753" s="271">
        <v>349.7</v>
      </c>
    </row>
    <row r="754" spans="1:4">
      <c r="A754" s="88">
        <v>46185</v>
      </c>
      <c r="B754" s="89">
        <v>12743</v>
      </c>
      <c r="C754" s="90" t="s">
        <v>206</v>
      </c>
      <c r="D754" s="271">
        <v>36</v>
      </c>
    </row>
    <row r="755" spans="1:4">
      <c r="A755" s="88">
        <v>46185</v>
      </c>
      <c r="B755" s="89">
        <v>12744</v>
      </c>
      <c r="C755" s="90" t="s">
        <v>891</v>
      </c>
      <c r="D755" s="271">
        <v>742.16</v>
      </c>
    </row>
    <row r="756" spans="1:4">
      <c r="A756" s="88">
        <v>46185</v>
      </c>
      <c r="B756" s="89">
        <v>12745</v>
      </c>
      <c r="C756" s="90" t="s">
        <v>964</v>
      </c>
      <c r="D756" s="271">
        <v>144.4</v>
      </c>
    </row>
    <row r="757" spans="1:4">
      <c r="A757" s="88">
        <v>46185</v>
      </c>
      <c r="B757" s="89">
        <v>12747</v>
      </c>
      <c r="C757" s="90" t="s">
        <v>900</v>
      </c>
      <c r="D757" s="271">
        <v>1098</v>
      </c>
    </row>
    <row r="758" spans="1:4">
      <c r="A758" s="88">
        <v>46185</v>
      </c>
      <c r="B758" s="89">
        <v>12748</v>
      </c>
      <c r="C758" s="90" t="s">
        <v>912</v>
      </c>
      <c r="D758" s="271">
        <v>618.5</v>
      </c>
    </row>
    <row r="759" spans="1:4">
      <c r="A759" s="88">
        <v>46185</v>
      </c>
      <c r="B759" s="89">
        <v>12749</v>
      </c>
      <c r="C759" s="90" t="s">
        <v>899</v>
      </c>
      <c r="D759" s="271">
        <v>740.8</v>
      </c>
    </row>
    <row r="760" spans="1:4">
      <c r="A760" s="88">
        <v>46188</v>
      </c>
      <c r="B760" s="89">
        <v>12752</v>
      </c>
      <c r="C760" s="90" t="s">
        <v>1532</v>
      </c>
      <c r="D760" s="271">
        <v>313.5</v>
      </c>
    </row>
    <row r="761" spans="1:4">
      <c r="A761" s="88">
        <v>46188</v>
      </c>
      <c r="B761" s="89">
        <v>12754</v>
      </c>
      <c r="C761" s="90" t="s">
        <v>208</v>
      </c>
      <c r="D761" s="271">
        <v>405.78</v>
      </c>
    </row>
    <row r="762" spans="1:4">
      <c r="A762" s="88">
        <v>46188</v>
      </c>
      <c r="B762" s="89">
        <v>12755</v>
      </c>
      <c r="C762" s="90" t="s">
        <v>900</v>
      </c>
      <c r="D762" s="271">
        <v>652</v>
      </c>
    </row>
    <row r="763" spans="1:4">
      <c r="A763" s="88">
        <v>46188</v>
      </c>
      <c r="B763" s="89">
        <v>12756</v>
      </c>
      <c r="C763" s="90" t="s">
        <v>208</v>
      </c>
      <c r="D763" s="271">
        <v>1321.45</v>
      </c>
    </row>
    <row r="764" spans="1:4">
      <c r="A764" s="88">
        <v>46188</v>
      </c>
      <c r="B764" s="89">
        <v>12757</v>
      </c>
      <c r="C764" s="90" t="s">
        <v>1520</v>
      </c>
      <c r="D764" s="271">
        <v>325</v>
      </c>
    </row>
    <row r="765" spans="1:4">
      <c r="A765" s="88">
        <v>46189</v>
      </c>
      <c r="B765" s="89">
        <v>12761</v>
      </c>
      <c r="C765" s="90" t="s">
        <v>1533</v>
      </c>
      <c r="D765" s="271">
        <v>32.94</v>
      </c>
    </row>
    <row r="766" spans="1:4">
      <c r="A766" s="88">
        <v>46189</v>
      </c>
      <c r="B766" s="89">
        <v>12762</v>
      </c>
      <c r="C766" s="90" t="s">
        <v>1534</v>
      </c>
      <c r="D766" s="271">
        <v>33.979999999999997</v>
      </c>
    </row>
    <row r="767" spans="1:4">
      <c r="A767" s="88">
        <v>46189</v>
      </c>
      <c r="B767" s="89">
        <v>12763</v>
      </c>
      <c r="C767" s="90" t="s">
        <v>889</v>
      </c>
      <c r="D767" s="271">
        <v>200</v>
      </c>
    </row>
    <row r="768" spans="1:4">
      <c r="A768" s="88">
        <v>46189</v>
      </c>
      <c r="B768" s="89">
        <v>12766</v>
      </c>
      <c r="C768" s="90" t="s">
        <v>911</v>
      </c>
      <c r="D768" s="271">
        <v>148</v>
      </c>
    </row>
    <row r="769" spans="1:4">
      <c r="A769" s="88">
        <v>46189</v>
      </c>
      <c r="B769" s="89">
        <v>12767</v>
      </c>
      <c r="C769" s="90" t="s">
        <v>911</v>
      </c>
      <c r="D769" s="271">
        <v>44</v>
      </c>
    </row>
    <row r="770" spans="1:4">
      <c r="A770" s="88">
        <v>46189</v>
      </c>
      <c r="B770" s="89">
        <v>12768</v>
      </c>
      <c r="C770" s="90" t="s">
        <v>919</v>
      </c>
      <c r="D770" s="271">
        <v>2245</v>
      </c>
    </row>
    <row r="771" spans="1:4">
      <c r="A771" s="88">
        <v>46189</v>
      </c>
      <c r="B771" s="89">
        <v>12769</v>
      </c>
      <c r="C771" s="90" t="s">
        <v>1535</v>
      </c>
      <c r="D771" s="271">
        <v>44.1</v>
      </c>
    </row>
    <row r="772" spans="1:4">
      <c r="A772" s="88">
        <v>46189</v>
      </c>
      <c r="B772" s="89">
        <v>12770</v>
      </c>
      <c r="C772" s="90" t="s">
        <v>994</v>
      </c>
      <c r="D772" s="271">
        <v>678.1</v>
      </c>
    </row>
    <row r="773" spans="1:4">
      <c r="A773" s="88">
        <v>46189</v>
      </c>
      <c r="B773" s="89">
        <v>12771</v>
      </c>
      <c r="C773" s="90" t="s">
        <v>915</v>
      </c>
      <c r="D773" s="271">
        <v>2978</v>
      </c>
    </row>
    <row r="774" spans="1:4">
      <c r="A774" s="88">
        <v>46189</v>
      </c>
      <c r="B774" s="89">
        <v>12772</v>
      </c>
      <c r="C774" s="90" t="s">
        <v>935</v>
      </c>
      <c r="D774" s="271">
        <v>4378.8</v>
      </c>
    </row>
    <row r="775" spans="1:4">
      <c r="A775" s="88">
        <v>46189</v>
      </c>
      <c r="B775" s="89">
        <v>12773</v>
      </c>
      <c r="C775" s="90" t="s">
        <v>1536</v>
      </c>
      <c r="D775" s="271">
        <v>3420.38</v>
      </c>
    </row>
    <row r="776" spans="1:4">
      <c r="A776" s="88">
        <v>46189</v>
      </c>
      <c r="B776" s="89">
        <v>12774</v>
      </c>
      <c r="C776" s="90" t="s">
        <v>1536</v>
      </c>
      <c r="D776" s="271">
        <v>800.56</v>
      </c>
    </row>
    <row r="777" spans="1:4">
      <c r="A777" s="88">
        <v>46189</v>
      </c>
      <c r="B777" s="89">
        <v>12775</v>
      </c>
      <c r="C777" s="90" t="s">
        <v>895</v>
      </c>
      <c r="D777" s="271">
        <v>2852.3</v>
      </c>
    </row>
    <row r="778" spans="1:4">
      <c r="A778" s="88">
        <v>46189</v>
      </c>
      <c r="B778" s="89">
        <v>12776</v>
      </c>
      <c r="C778" s="90" t="s">
        <v>1024</v>
      </c>
      <c r="D778" s="271">
        <v>148</v>
      </c>
    </row>
    <row r="779" spans="1:4">
      <c r="A779" s="88">
        <v>46190</v>
      </c>
      <c r="B779" s="89">
        <v>12778</v>
      </c>
      <c r="C779" s="90" t="s">
        <v>1007</v>
      </c>
      <c r="D779" s="271">
        <v>737</v>
      </c>
    </row>
    <row r="780" spans="1:4">
      <c r="A780" s="88">
        <v>46190</v>
      </c>
      <c r="B780" s="89">
        <v>12780</v>
      </c>
      <c r="C780" s="90" t="s">
        <v>1537</v>
      </c>
      <c r="D780" s="271">
        <v>16013.3</v>
      </c>
    </row>
    <row r="781" spans="1:4">
      <c r="A781" s="88">
        <v>46190</v>
      </c>
      <c r="B781" s="89">
        <v>12781</v>
      </c>
      <c r="C781" s="90" t="s">
        <v>194</v>
      </c>
      <c r="D781" s="271">
        <v>991</v>
      </c>
    </row>
    <row r="782" spans="1:4">
      <c r="A782" s="88">
        <v>46190</v>
      </c>
      <c r="B782" s="89">
        <v>12782</v>
      </c>
      <c r="C782" s="90" t="s">
        <v>1140</v>
      </c>
      <c r="D782" s="271">
        <v>1675</v>
      </c>
    </row>
    <row r="783" spans="1:4">
      <c r="A783" s="88">
        <v>46190</v>
      </c>
      <c r="B783" s="89">
        <v>12783</v>
      </c>
      <c r="C783" s="90" t="s">
        <v>1538</v>
      </c>
      <c r="D783" s="271">
        <v>645</v>
      </c>
    </row>
    <row r="784" spans="1:4">
      <c r="A784" s="88">
        <v>46190</v>
      </c>
      <c r="B784" s="89">
        <v>12784</v>
      </c>
      <c r="C784" s="90" t="s">
        <v>208</v>
      </c>
      <c r="D784" s="271">
        <v>228.2</v>
      </c>
    </row>
    <row r="785" spans="1:4">
      <c r="A785" s="88">
        <v>46190</v>
      </c>
      <c r="B785" s="89">
        <v>12785</v>
      </c>
      <c r="C785" s="90" t="s">
        <v>1113</v>
      </c>
      <c r="D785" s="271">
        <v>15191.55</v>
      </c>
    </row>
    <row r="786" spans="1:4">
      <c r="A786" s="88">
        <v>46190</v>
      </c>
      <c r="B786" s="89">
        <v>12786</v>
      </c>
      <c r="C786" s="90" t="s">
        <v>956</v>
      </c>
      <c r="D786" s="271">
        <v>1556.5</v>
      </c>
    </row>
    <row r="787" spans="1:4">
      <c r="A787" s="88">
        <v>46190</v>
      </c>
      <c r="B787" s="89">
        <v>12787</v>
      </c>
      <c r="C787" s="90" t="s">
        <v>1539</v>
      </c>
      <c r="D787" s="271">
        <v>185.3</v>
      </c>
    </row>
    <row r="788" spans="1:4">
      <c r="A788" s="88">
        <v>46190</v>
      </c>
      <c r="B788" s="89">
        <v>12788</v>
      </c>
      <c r="C788" s="90" t="s">
        <v>196</v>
      </c>
      <c r="D788" s="271">
        <v>995</v>
      </c>
    </row>
    <row r="789" spans="1:4">
      <c r="A789" s="88">
        <v>46191</v>
      </c>
      <c r="B789" s="89">
        <v>12789</v>
      </c>
      <c r="C789" s="90" t="s">
        <v>991</v>
      </c>
      <c r="D789" s="271">
        <v>596</v>
      </c>
    </row>
    <row r="790" spans="1:4">
      <c r="A790" s="88">
        <v>46191</v>
      </c>
      <c r="B790" s="89">
        <v>12790</v>
      </c>
      <c r="C790" s="90" t="s">
        <v>950</v>
      </c>
      <c r="D790" s="271">
        <v>170.6</v>
      </c>
    </row>
    <row r="791" spans="1:4">
      <c r="A791" s="88">
        <v>46191</v>
      </c>
      <c r="B791" s="89">
        <v>12792</v>
      </c>
      <c r="C791" s="90" t="s">
        <v>1540</v>
      </c>
      <c r="D791" s="271">
        <v>49.99</v>
      </c>
    </row>
    <row r="792" spans="1:4">
      <c r="A792" s="88">
        <v>46191</v>
      </c>
      <c r="B792" s="89">
        <v>12793</v>
      </c>
      <c r="C792" s="90" t="s">
        <v>1007</v>
      </c>
      <c r="D792" s="271">
        <v>400</v>
      </c>
    </row>
    <row r="793" spans="1:4">
      <c r="A793" s="88">
        <v>46191</v>
      </c>
      <c r="B793" s="89">
        <v>12794</v>
      </c>
      <c r="C793" s="90" t="s">
        <v>913</v>
      </c>
      <c r="D793" s="271">
        <v>10471.07</v>
      </c>
    </row>
    <row r="794" spans="1:4">
      <c r="A794" s="88">
        <v>46191</v>
      </c>
      <c r="B794" s="89">
        <v>12795</v>
      </c>
      <c r="C794" s="90" t="s">
        <v>1541</v>
      </c>
      <c r="D794" s="271">
        <v>586</v>
      </c>
    </row>
    <row r="795" spans="1:4">
      <c r="A795" s="88">
        <v>46191</v>
      </c>
      <c r="B795" s="89">
        <v>12796</v>
      </c>
      <c r="C795" s="90" t="s">
        <v>207</v>
      </c>
      <c r="D795" s="271">
        <v>1751.5</v>
      </c>
    </row>
    <row r="796" spans="1:4">
      <c r="A796" s="88">
        <v>46191</v>
      </c>
      <c r="B796" s="89">
        <v>12797</v>
      </c>
      <c r="C796" s="90" t="s">
        <v>1422</v>
      </c>
      <c r="D796" s="271">
        <v>2374</v>
      </c>
    </row>
    <row r="797" spans="1:4">
      <c r="A797" s="88">
        <v>46192</v>
      </c>
      <c r="B797" s="89">
        <v>12799</v>
      </c>
      <c r="C797" s="90" t="s">
        <v>1047</v>
      </c>
      <c r="D797" s="271">
        <v>200</v>
      </c>
    </row>
    <row r="798" spans="1:4">
      <c r="A798" s="88">
        <v>46192</v>
      </c>
      <c r="B798" s="89">
        <v>12800</v>
      </c>
      <c r="C798" s="90" t="s">
        <v>1039</v>
      </c>
      <c r="D798" s="271">
        <v>6867</v>
      </c>
    </row>
    <row r="799" spans="1:4">
      <c r="A799" s="88">
        <v>46195</v>
      </c>
      <c r="B799" s="89">
        <v>12802</v>
      </c>
      <c r="C799" s="90" t="s">
        <v>1542</v>
      </c>
      <c r="D799" s="271">
        <v>26.99</v>
      </c>
    </row>
    <row r="800" spans="1:4">
      <c r="A800" s="88">
        <v>46195</v>
      </c>
      <c r="B800" s="89">
        <v>12803</v>
      </c>
      <c r="C800" s="90" t="s">
        <v>1543</v>
      </c>
      <c r="D800" s="271">
        <v>222.94</v>
      </c>
    </row>
    <row r="801" spans="1:4">
      <c r="A801" s="88">
        <v>46195</v>
      </c>
      <c r="B801" s="89">
        <v>12804</v>
      </c>
      <c r="C801" s="90" t="s">
        <v>1113</v>
      </c>
      <c r="D801" s="271">
        <v>365</v>
      </c>
    </row>
    <row r="802" spans="1:4">
      <c r="A802" s="88">
        <v>46195</v>
      </c>
      <c r="B802" s="89">
        <v>12805</v>
      </c>
      <c r="C802" s="90" t="s">
        <v>1496</v>
      </c>
      <c r="D802" s="271">
        <v>211.38</v>
      </c>
    </row>
    <row r="803" spans="1:4">
      <c r="A803" s="88">
        <v>46195</v>
      </c>
      <c r="B803" s="89">
        <v>12806</v>
      </c>
      <c r="C803" s="90" t="s">
        <v>193</v>
      </c>
      <c r="D803" s="271">
        <v>1107</v>
      </c>
    </row>
    <row r="804" spans="1:4">
      <c r="A804" s="88">
        <v>46195</v>
      </c>
      <c r="B804" s="89">
        <v>12807</v>
      </c>
      <c r="C804" s="90" t="s">
        <v>208</v>
      </c>
      <c r="D804" s="271">
        <v>856</v>
      </c>
    </row>
    <row r="805" spans="1:4">
      <c r="A805" s="88">
        <v>46195</v>
      </c>
      <c r="B805" s="89">
        <v>12808</v>
      </c>
      <c r="C805" s="90" t="s">
        <v>966</v>
      </c>
      <c r="D805" s="271">
        <v>236.05</v>
      </c>
    </row>
    <row r="806" spans="1:4">
      <c r="A806" s="88">
        <v>46196</v>
      </c>
      <c r="B806" s="89">
        <v>12809</v>
      </c>
      <c r="C806" s="90" t="s">
        <v>1544</v>
      </c>
      <c r="D806" s="271">
        <v>300</v>
      </c>
    </row>
    <row r="807" spans="1:4">
      <c r="A807" s="88">
        <v>46196</v>
      </c>
      <c r="B807" s="89">
        <v>12810</v>
      </c>
      <c r="C807" s="90" t="s">
        <v>1545</v>
      </c>
      <c r="D807" s="271">
        <v>26.99</v>
      </c>
    </row>
    <row r="808" spans="1:4">
      <c r="A808" s="88">
        <v>46196</v>
      </c>
      <c r="B808" s="89">
        <v>12811</v>
      </c>
      <c r="C808" s="90" t="s">
        <v>208</v>
      </c>
      <c r="D808" s="271">
        <v>313.60000000000002</v>
      </c>
    </row>
    <row r="809" spans="1:4">
      <c r="A809" s="88">
        <v>46196</v>
      </c>
      <c r="B809" s="89">
        <v>12812</v>
      </c>
      <c r="C809" s="90" t="s">
        <v>207</v>
      </c>
      <c r="D809" s="271">
        <v>2088.5</v>
      </c>
    </row>
    <row r="810" spans="1:4">
      <c r="A810" s="88">
        <v>46198</v>
      </c>
      <c r="B810" s="89">
        <v>12813</v>
      </c>
      <c r="C810" s="90" t="s">
        <v>196</v>
      </c>
      <c r="D810" s="271">
        <v>700</v>
      </c>
    </row>
    <row r="811" spans="1:4">
      <c r="A811" s="88">
        <v>46198</v>
      </c>
      <c r="B811" s="89">
        <v>12814</v>
      </c>
      <c r="C811" s="90" t="s">
        <v>1546</v>
      </c>
      <c r="D811" s="271">
        <v>37.99</v>
      </c>
    </row>
    <row r="812" spans="1:4">
      <c r="A812" s="88">
        <v>46198</v>
      </c>
      <c r="B812" s="89">
        <v>12815</v>
      </c>
      <c r="C812" s="90" t="s">
        <v>962</v>
      </c>
      <c r="D812" s="271">
        <v>107.26</v>
      </c>
    </row>
    <row r="813" spans="1:4">
      <c r="A813" s="88">
        <v>46198</v>
      </c>
      <c r="B813" s="89">
        <v>12817</v>
      </c>
      <c r="C813" s="90" t="s">
        <v>1547</v>
      </c>
      <c r="D813" s="271">
        <v>150</v>
      </c>
    </row>
    <row r="814" spans="1:4">
      <c r="A814" s="88">
        <v>46198</v>
      </c>
      <c r="B814" s="89">
        <v>12818</v>
      </c>
      <c r="C814" s="90" t="s">
        <v>1496</v>
      </c>
      <c r="D814" s="271">
        <v>150</v>
      </c>
    </row>
    <row r="815" spans="1:4">
      <c r="A815" s="88">
        <v>46198</v>
      </c>
      <c r="B815" s="89">
        <v>12819</v>
      </c>
      <c r="C815" s="90" t="s">
        <v>1548</v>
      </c>
      <c r="D815" s="271">
        <v>49.98</v>
      </c>
    </row>
    <row r="816" spans="1:4">
      <c r="A816" s="88">
        <v>46199</v>
      </c>
      <c r="B816" s="89">
        <v>12821</v>
      </c>
      <c r="C816" s="90" t="s">
        <v>1529</v>
      </c>
      <c r="D816" s="271">
        <v>960</v>
      </c>
    </row>
    <row r="817" spans="1:4">
      <c r="A817" s="88">
        <v>46199</v>
      </c>
      <c r="B817" s="89">
        <v>12822</v>
      </c>
      <c r="C817" s="90" t="s">
        <v>907</v>
      </c>
      <c r="D817" s="271">
        <v>300</v>
      </c>
    </row>
    <row r="818" spans="1:4">
      <c r="A818" s="88">
        <v>46199</v>
      </c>
      <c r="B818" s="89">
        <v>12823</v>
      </c>
      <c r="C818" s="90" t="s">
        <v>964</v>
      </c>
      <c r="D818" s="271">
        <v>13.5</v>
      </c>
    </row>
    <row r="819" spans="1:4">
      <c r="A819" s="88">
        <v>46199</v>
      </c>
      <c r="B819" s="89">
        <v>12824</v>
      </c>
      <c r="C819" s="90" t="s">
        <v>944</v>
      </c>
      <c r="D819" s="271">
        <v>1272.4000000000001</v>
      </c>
    </row>
    <row r="820" spans="1:4">
      <c r="A820" s="88">
        <v>46199</v>
      </c>
      <c r="B820" s="89">
        <v>12825</v>
      </c>
      <c r="C820" s="90" t="s">
        <v>914</v>
      </c>
      <c r="D820" s="271">
        <v>1947</v>
      </c>
    </row>
    <row r="821" spans="1:4">
      <c r="A821" s="88">
        <v>46199</v>
      </c>
      <c r="B821" s="89">
        <v>12826</v>
      </c>
      <c r="C821" s="90" t="s">
        <v>1549</v>
      </c>
      <c r="D821" s="271">
        <v>370</v>
      </c>
    </row>
    <row r="822" spans="1:4">
      <c r="A822" s="88">
        <v>46199</v>
      </c>
      <c r="B822" s="89">
        <v>12827</v>
      </c>
      <c r="C822" s="90" t="s">
        <v>908</v>
      </c>
      <c r="D822" s="271">
        <v>279.7</v>
      </c>
    </row>
    <row r="823" spans="1:4">
      <c r="A823" s="88">
        <v>46199</v>
      </c>
      <c r="B823" s="89">
        <v>12828</v>
      </c>
      <c r="C823" s="90" t="s">
        <v>893</v>
      </c>
      <c r="D823" s="271">
        <v>382</v>
      </c>
    </row>
    <row r="824" spans="1:4">
      <c r="A824" s="88">
        <v>46199</v>
      </c>
      <c r="B824" s="89">
        <v>12829</v>
      </c>
      <c r="C824" s="90" t="s">
        <v>1536</v>
      </c>
      <c r="D824" s="271">
        <v>1457.8</v>
      </c>
    </row>
    <row r="825" spans="1:4">
      <c r="A825" s="88">
        <v>46199</v>
      </c>
      <c r="B825" s="89">
        <v>12830</v>
      </c>
      <c r="C825" s="90" t="s">
        <v>909</v>
      </c>
      <c r="D825" s="271">
        <v>2772.5</v>
      </c>
    </row>
    <row r="826" spans="1:4">
      <c r="A826" s="88">
        <v>46199</v>
      </c>
      <c r="B826" s="89">
        <v>12831</v>
      </c>
      <c r="C826" s="90" t="s">
        <v>915</v>
      </c>
      <c r="D826" s="271">
        <v>756</v>
      </c>
    </row>
    <row r="827" spans="1:4">
      <c r="A827" s="88">
        <v>46199</v>
      </c>
      <c r="B827" s="89">
        <v>12833</v>
      </c>
      <c r="C827" s="90" t="s">
        <v>891</v>
      </c>
      <c r="D827" s="271">
        <v>2741.53</v>
      </c>
    </row>
    <row r="828" spans="1:4">
      <c r="A828" s="88">
        <v>46199</v>
      </c>
      <c r="B828" s="89">
        <v>12834</v>
      </c>
      <c r="C828" s="90" t="s">
        <v>895</v>
      </c>
      <c r="D828" s="271">
        <v>434</v>
      </c>
    </row>
    <row r="829" spans="1:4">
      <c r="A829" s="88">
        <v>46203</v>
      </c>
      <c r="B829" s="89">
        <v>12835</v>
      </c>
      <c r="C829" s="90" t="s">
        <v>193</v>
      </c>
      <c r="D829" s="271">
        <v>16087.96</v>
      </c>
    </row>
    <row r="830" spans="1:4">
      <c r="A830" s="88">
        <v>46203</v>
      </c>
      <c r="B830" s="89">
        <v>12836</v>
      </c>
      <c r="C830" s="90" t="s">
        <v>193</v>
      </c>
      <c r="D830" s="271">
        <v>131.32</v>
      </c>
    </row>
    <row r="831" spans="1:4">
      <c r="A831" s="88">
        <v>46203</v>
      </c>
      <c r="B831" s="89">
        <v>12837</v>
      </c>
      <c r="C831" s="90" t="s">
        <v>1550</v>
      </c>
      <c r="D831" s="271">
        <v>16.989999999999998</v>
      </c>
    </row>
    <row r="832" spans="1:4">
      <c r="A832" s="88">
        <v>46203</v>
      </c>
      <c r="B832" s="89">
        <v>12838</v>
      </c>
      <c r="C832" s="90" t="s">
        <v>1551</v>
      </c>
      <c r="D832" s="271">
        <v>39.99</v>
      </c>
    </row>
    <row r="833" spans="1:4">
      <c r="A833" s="88">
        <v>46203</v>
      </c>
      <c r="B833" s="89">
        <v>12839</v>
      </c>
      <c r="C833" s="90" t="s">
        <v>1552</v>
      </c>
      <c r="D833" s="271">
        <v>24.99</v>
      </c>
    </row>
    <row r="834" spans="1:4">
      <c r="A834" s="88">
        <v>46203</v>
      </c>
      <c r="B834" s="89">
        <v>12840</v>
      </c>
      <c r="C834" s="90" t="s">
        <v>1486</v>
      </c>
      <c r="D834" s="271">
        <v>287</v>
      </c>
    </row>
    <row r="835" spans="1:4">
      <c r="A835" s="88">
        <v>46203</v>
      </c>
      <c r="B835" s="89">
        <v>12841</v>
      </c>
      <c r="C835" s="90" t="s">
        <v>895</v>
      </c>
      <c r="D835" s="271">
        <v>704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0256F-CD59-4E03-A96B-3357A0B78183}">
  <dimension ref="A4:D4"/>
  <sheetViews>
    <sheetView workbookViewId="0">
      <selection activeCell="D5" sqref="D5"/>
    </sheetView>
  </sheetViews>
  <sheetFormatPr defaultRowHeight="15"/>
  <cols>
    <col min="1" max="1" width="8.5703125" bestFit="1" customWidth="1"/>
    <col min="2" max="2" width="12.5703125" bestFit="1" customWidth="1"/>
    <col min="3" max="3" width="13.5703125" bestFit="1" customWidth="1"/>
  </cols>
  <sheetData>
    <row r="4" spans="1:4">
      <c r="A4" s="1" t="s">
        <v>1145</v>
      </c>
      <c r="B4" s="1" t="s">
        <v>1146</v>
      </c>
      <c r="C4" s="1" t="s">
        <v>1147</v>
      </c>
      <c r="D4" s="1" t="s">
        <v>1148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C15B3-F605-4D0D-AB2D-457AA705406E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Max Led Consolidada</vt:lpstr>
      <vt:lpstr>Resumo Mensal Ilumini</vt:lpstr>
      <vt:lpstr>Resumo Mensal  import</vt:lpstr>
      <vt:lpstr>Entradas- fin- import</vt:lpstr>
      <vt:lpstr>Saidas-fin-import</vt:lpstr>
      <vt:lpstr>Entradas-NFE-Import</vt:lpstr>
      <vt:lpstr>Saídas-NFE-import</vt:lpstr>
      <vt:lpstr>ENTRADAS - FIN - ilumi</vt:lpstr>
      <vt:lpstr>SAIDAS-FIN-ilumi</vt:lpstr>
      <vt:lpstr>ENTRADA NFE ILUMI</vt:lpstr>
      <vt:lpstr>SAÍDA NFE ILUMI</vt:lpstr>
      <vt:lpstr>Piperline</vt:lpstr>
      <vt:lpstr>Planilha3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MARIA ROCHA</cp:lastModifiedBy>
  <cp:revision/>
  <dcterms:created xsi:type="dcterms:W3CDTF">2026-02-12T12:59:25Z</dcterms:created>
  <dcterms:modified xsi:type="dcterms:W3CDTF">2026-08-01T15:26:24Z</dcterms:modified>
  <cp:category/>
  <cp:contentStatus/>
</cp:coreProperties>
</file>