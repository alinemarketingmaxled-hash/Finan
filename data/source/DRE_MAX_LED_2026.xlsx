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ne\Downloads\"/>
    </mc:Choice>
  </mc:AlternateContent>
  <xr:revisionPtr revIDLastSave="0" documentId="13_ncr:1_{2166BF69-E8FD-4BFD-8475-CABA0A91FE29}" xr6:coauthVersionLast="47" xr6:coauthVersionMax="47" xr10:uidLastSave="{00000000-0000-0000-0000-000000000000}"/>
  <bookViews>
    <workbookView xWindow="-120" yWindow="-120" windowWidth="29040" windowHeight="15840" tabRatio="819" firstSheet="6" activeTab="6" xr2:uid="{00000000-000D-0000-FFFF-FFFF00000000}"/>
  </bookViews>
  <sheets>
    <sheet name="Planilha6" sheetId="21" state="hidden" r:id="rId1"/>
    <sheet name="Planilha7" sheetId="22" state="hidden" r:id="rId2"/>
    <sheet name="Home" sheetId="16" r:id="rId3"/>
    <sheet name="Planilha2" sheetId="19" state="hidden" r:id="rId4"/>
    <sheet name="Planilha4" sheetId="18" state="hidden" r:id="rId5"/>
    <sheet name="Planilha5" sheetId="20" state="hidden" r:id="rId6"/>
    <sheet name="Max Led Consolidada" sheetId="15" r:id="rId7"/>
    <sheet name="Resumo Mensal Ilumini" sheetId="10" r:id="rId8"/>
    <sheet name="Resumo Mensal  import" sheetId="4" r:id="rId9"/>
    <sheet name="Entradas- fin- import" sheetId="11" r:id="rId10"/>
    <sheet name="Saidas-fin-import" sheetId="12" r:id="rId11"/>
    <sheet name="Entradas-NFE-Import" sheetId="13" r:id="rId12"/>
    <sheet name="Saídas-NFE-import" sheetId="14" r:id="rId13"/>
    <sheet name="ENTRADAS - FIN - ilumi" sheetId="1" r:id="rId14"/>
    <sheet name="SAIDAS-FIN-ilumi" sheetId="2" r:id="rId15"/>
    <sheet name="ENTRADA NFE ILUMI" sheetId="7" r:id="rId16"/>
    <sheet name="SAÍDA NFE ILUMI" sheetId="8" r:id="rId17"/>
    <sheet name="Piperline" sheetId="6" r:id="rId18"/>
    <sheet name="Planilha3" sheetId="9" r:id="rId19"/>
  </sheets>
  <externalReferences>
    <externalReference r:id="rId20"/>
  </externalReferences>
  <definedNames>
    <definedName name="_xlnm._FilterDatabase" localSheetId="8" hidden="1">'Resumo Mensal  import'!$D$6:$J$19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5" l="1"/>
  <c r="B53" i="10"/>
  <c r="B54" i="10"/>
  <c r="K29" i="16"/>
  <c r="E29" i="16"/>
  <c r="K35" i="10"/>
  <c r="K37" i="10" s="1"/>
  <c r="J44" i="15"/>
  <c r="J43" i="15" s="1"/>
  <c r="J45" i="15" s="1"/>
  <c r="J46" i="15" s="1"/>
  <c r="H43" i="15"/>
  <c r="H44" i="15" s="1"/>
  <c r="H40" i="15"/>
  <c r="I35" i="10"/>
  <c r="I37" i="10" s="1"/>
  <c r="K39" i="10"/>
  <c r="K38" i="10" s="1"/>
  <c r="K40" i="10" s="1"/>
  <c r="H37" i="4"/>
  <c r="L115" i="16"/>
  <c r="J115" i="16"/>
  <c r="J112" i="16"/>
  <c r="L112" i="16"/>
  <c r="J58" i="15"/>
  <c r="H58" i="15"/>
  <c r="H55" i="15"/>
  <c r="J55" i="15"/>
  <c r="J37" i="4"/>
  <c r="J38" i="4" s="1"/>
  <c r="J34" i="4"/>
  <c r="J36" i="4" s="1"/>
  <c r="H34" i="4"/>
  <c r="I38" i="10"/>
  <c r="K36" i="10"/>
  <c r="H28" i="10"/>
  <c r="H29" i="10" s="1"/>
  <c r="H36" i="4"/>
  <c r="J35" i="4"/>
  <c r="H35" i="4"/>
  <c r="D112" i="16"/>
  <c r="D114" i="16" s="1"/>
  <c r="D115" i="16"/>
  <c r="D116" i="16" s="1"/>
  <c r="D117" i="16" s="1"/>
  <c r="D118" i="16" s="1"/>
  <c r="F116" i="16"/>
  <c r="F115" i="16" s="1"/>
  <c r="F112" i="16"/>
  <c r="F114" i="16" s="1"/>
  <c r="L113" i="16"/>
  <c r="J113" i="16"/>
  <c r="F120" i="16"/>
  <c r="D120" i="16"/>
  <c r="F113" i="16"/>
  <c r="C105" i="16"/>
  <c r="C106" i="16" s="1"/>
  <c r="D113" i="16" s="1"/>
  <c r="J56" i="15"/>
  <c r="J40" i="15"/>
  <c r="J42" i="15" s="1"/>
  <c r="G33" i="15"/>
  <c r="G34" i="15" s="1"/>
  <c r="H42" i="15"/>
  <c r="J41" i="15"/>
  <c r="H56" i="15"/>
  <c r="I5" i="10"/>
  <c r="C25" i="16"/>
  <c r="I25" i="16"/>
  <c r="I26" i="16"/>
  <c r="I27" i="16"/>
  <c r="T22" i="15"/>
  <c r="Z18" i="15" a="1"/>
  <c r="Y18" i="15" a="1"/>
  <c r="Z17" i="15" a="1"/>
  <c r="Y17" i="15" a="1"/>
  <c r="Z16" i="15" a="1"/>
  <c r="Y16" i="15" a="1"/>
  <c r="Z15" i="15" a="1"/>
  <c r="Y15" i="15" a="1"/>
  <c r="Z14" i="15" a="1"/>
  <c r="Y14" i="15" a="1"/>
  <c r="Z10" i="15" a="1"/>
  <c r="Y10" i="15" a="1"/>
  <c r="Z9" i="15" a="1"/>
  <c r="Y9" i="15" a="1"/>
  <c r="Z8" i="15" a="1"/>
  <c r="Y8" i="15" a="1"/>
  <c r="Z7" i="15" a="1"/>
  <c r="Y7" i="15" a="1"/>
  <c r="Z6" i="15" a="1"/>
  <c r="Y6" i="15" a="1"/>
  <c r="J94" i="16" a="1"/>
  <c r="I94" i="16" a="1"/>
  <c r="J93" i="16" a="1"/>
  <c r="I93" i="16" a="1"/>
  <c r="J92" i="16" a="1"/>
  <c r="I92" i="16" a="1"/>
  <c r="J91" i="16" a="1"/>
  <c r="I91" i="16" a="1"/>
  <c r="J90" i="16" a="1"/>
  <c r="I90" i="16" a="1"/>
  <c r="D94" i="16" a="1"/>
  <c r="C94" i="16" a="1"/>
  <c r="D93" i="16" a="1"/>
  <c r="C93" i="16" a="1"/>
  <c r="D92" i="16" a="1"/>
  <c r="C92" i="16" a="1"/>
  <c r="D91" i="16" a="1"/>
  <c r="C91" i="16" a="1"/>
  <c r="D90" i="16" a="1"/>
  <c r="C90" i="16" a="1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L38" i="18"/>
  <c r="L39" i="18"/>
  <c r="L40" i="18"/>
  <c r="L41" i="18"/>
  <c r="K38" i="18"/>
  <c r="K40" i="18" s="1"/>
  <c r="K39" i="18"/>
  <c r="K37" i="18"/>
  <c r="L37" i="18" s="1"/>
  <c r="J38" i="18"/>
  <c r="J37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21" i="18"/>
  <c r="J21" i="18"/>
  <c r="E33" i="18"/>
  <c r="E34" i="18"/>
  <c r="E35" i="18"/>
  <c r="E32" i="18"/>
  <c r="E21" i="18"/>
  <c r="E22" i="18"/>
  <c r="E23" i="18"/>
  <c r="E24" i="18"/>
  <c r="E25" i="18"/>
  <c r="E26" i="18"/>
  <c r="E27" i="18"/>
  <c r="E28" i="18"/>
  <c r="E29" i="18"/>
  <c r="E30" i="18"/>
  <c r="E31" i="18"/>
  <c r="E20" i="18"/>
  <c r="S20" i="18"/>
  <c r="S21" i="18"/>
  <c r="S22" i="18"/>
  <c r="S23" i="18"/>
  <c r="R21" i="18"/>
  <c r="R22" i="18"/>
  <c r="R23" i="18"/>
  <c r="R20" i="18"/>
  <c r="Q21" i="18"/>
  <c r="Q22" i="18" s="1"/>
  <c r="Q20" i="18"/>
  <c r="P21" i="18"/>
  <c r="P20" i="18"/>
  <c r="S19" i="18"/>
  <c r="R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L13" i="18"/>
  <c r="L14" i="18"/>
  <c r="L15" i="18"/>
  <c r="L12" i="18"/>
  <c r="K19" i="18"/>
  <c r="K18" i="18"/>
  <c r="K17" i="18"/>
  <c r="K16" i="18"/>
  <c r="J19" i="18"/>
  <c r="J18" i="18"/>
  <c r="J17" i="18"/>
  <c r="J16" i="18"/>
  <c r="J36" i="16"/>
  <c r="J35" i="16"/>
  <c r="J34" i="16"/>
  <c r="J33" i="16"/>
  <c r="J32" i="16"/>
  <c r="J31" i="16"/>
  <c r="J30" i="16"/>
  <c r="J29" i="16"/>
  <c r="J28" i="16"/>
  <c r="J27" i="16"/>
  <c r="J26" i="16"/>
  <c r="J25" i="16"/>
  <c r="I5" i="4"/>
  <c r="I36" i="16"/>
  <c r="I35" i="16"/>
  <c r="I34" i="16"/>
  <c r="I33" i="16"/>
  <c r="I32" i="16"/>
  <c r="I31" i="16"/>
  <c r="I30" i="16"/>
  <c r="I29" i="16"/>
  <c r="I28" i="16"/>
  <c r="H5" i="4"/>
  <c r="L5" i="4" s="1"/>
  <c r="D36" i="16"/>
  <c r="D35" i="16"/>
  <c r="D34" i="16"/>
  <c r="D33" i="16"/>
  <c r="D32" i="16"/>
  <c r="D31" i="16"/>
  <c r="D30" i="16"/>
  <c r="D29" i="16"/>
  <c r="D28" i="16"/>
  <c r="D27" i="16"/>
  <c r="D26" i="16"/>
  <c r="D25" i="16"/>
  <c r="C36" i="16"/>
  <c r="C35" i="16"/>
  <c r="C34" i="16"/>
  <c r="C33" i="16"/>
  <c r="C32" i="16"/>
  <c r="C31" i="16"/>
  <c r="C30" i="16"/>
  <c r="C29" i="16"/>
  <c r="C28" i="16"/>
  <c r="C27" i="16"/>
  <c r="C26" i="16"/>
  <c r="P5" i="16"/>
  <c r="P4" i="16"/>
  <c r="A5" i="16"/>
  <c r="A4" i="16"/>
  <c r="F56" i="11"/>
  <c r="F37" i="11"/>
  <c r="F142" i="12"/>
  <c r="F101" i="12"/>
  <c r="G2" i="2"/>
  <c r="G142" i="2"/>
  <c r="G291" i="2"/>
  <c r="G2" i="1"/>
  <c r="G237" i="1"/>
  <c r="G116" i="1"/>
  <c r="G493" i="2"/>
  <c r="G412" i="1"/>
  <c r="F83" i="11"/>
  <c r="B23" i="15"/>
  <c r="F71" i="12"/>
  <c r="F14" i="11"/>
  <c r="F3" i="11"/>
  <c r="F31" i="12"/>
  <c r="H6" i="4"/>
  <c r="H7" i="4"/>
  <c r="H8" i="4"/>
  <c r="I16" i="4"/>
  <c r="I15" i="4"/>
  <c r="I14" i="4"/>
  <c r="I13" i="4"/>
  <c r="I12" i="4"/>
  <c r="I11" i="4"/>
  <c r="I10" i="4"/>
  <c r="I9" i="4"/>
  <c r="I8" i="4"/>
  <c r="I7" i="4"/>
  <c r="I6" i="4"/>
  <c r="J16" i="10"/>
  <c r="J15" i="10"/>
  <c r="J14" i="10"/>
  <c r="J13" i="10"/>
  <c r="J12" i="10"/>
  <c r="J11" i="10"/>
  <c r="J10" i="10"/>
  <c r="J9" i="10"/>
  <c r="J8" i="10"/>
  <c r="J7" i="10"/>
  <c r="J6" i="10"/>
  <c r="J5" i="10"/>
  <c r="L5" i="10" s="1"/>
  <c r="E4" i="15"/>
  <c r="B22" i="4"/>
  <c r="I6" i="10"/>
  <c r="M5" i="15"/>
  <c r="M4" i="15"/>
  <c r="E5" i="15"/>
  <c r="H10" i="4"/>
  <c r="H11" i="4"/>
  <c r="H12" i="4"/>
  <c r="H13" i="4"/>
  <c r="H14" i="4"/>
  <c r="H15" i="4"/>
  <c r="H16" i="4"/>
  <c r="H9" i="4"/>
  <c r="E23" i="4"/>
  <c r="B23" i="4"/>
  <c r="B23" i="10"/>
  <c r="E22" i="4"/>
  <c r="B22" i="10"/>
  <c r="E22" i="10"/>
  <c r="E23" i="10"/>
  <c r="C18" i="22"/>
  <c r="C19" i="22"/>
  <c r="C20" i="22"/>
  <c r="C21" i="22"/>
  <c r="C22" i="22"/>
  <c r="C18" i="21"/>
  <c r="C19" i="21"/>
  <c r="C20" i="21"/>
  <c r="C21" i="21"/>
  <c r="C18" i="20"/>
  <c r="C19" i="20"/>
  <c r="C20" i="20"/>
  <c r="C21" i="20"/>
  <c r="C18" i="19"/>
  <c r="C19" i="19"/>
  <c r="C20" i="19"/>
  <c r="C21" i="19"/>
  <c r="C22" i="19"/>
  <c r="C23" i="19"/>
  <c r="E15" i="15" l="1"/>
  <c r="E34" i="15"/>
  <c r="M41" i="15"/>
  <c r="M38" i="15"/>
  <c r="M36" i="15"/>
  <c r="M33" i="15"/>
  <c r="M30" i="15"/>
  <c r="M27" i="15"/>
  <c r="M23" i="15"/>
  <c r="M21" i="15"/>
  <c r="M19" i="15"/>
  <c r="M28" i="15"/>
  <c r="M39" i="15"/>
  <c r="M34" i="15"/>
  <c r="M25" i="15"/>
  <c r="M17" i="15"/>
  <c r="M32" i="15"/>
  <c r="M40" i="15"/>
  <c r="M37" i="15"/>
  <c r="M35" i="15"/>
  <c r="M31" i="15"/>
  <c r="M29" i="15"/>
  <c r="M26" i="15"/>
  <c r="M24" i="15"/>
  <c r="M22" i="15"/>
  <c r="M20" i="15"/>
  <c r="M18" i="15"/>
  <c r="K6" i="10"/>
  <c r="L116" i="16"/>
  <c r="L117" i="16" s="1"/>
  <c r="L118" i="16" s="1"/>
  <c r="L114" i="16"/>
  <c r="J116" i="16"/>
  <c r="J114" i="16"/>
  <c r="H59" i="15"/>
  <c r="J59" i="15"/>
  <c r="J60" i="15" s="1"/>
  <c r="J61" i="15" s="1"/>
  <c r="J57" i="15"/>
  <c r="J5" i="4"/>
  <c r="J6" i="4" s="1"/>
  <c r="J7" i="4" s="1"/>
  <c r="J8" i="4" s="1"/>
  <c r="K5" i="4"/>
  <c r="H24" i="4"/>
  <c r="H22" i="4"/>
  <c r="H21" i="4"/>
  <c r="H23" i="4"/>
  <c r="K27" i="16"/>
  <c r="K25" i="16"/>
  <c r="K26" i="16"/>
  <c r="H45" i="15"/>
  <c r="H46" i="15" s="1"/>
  <c r="E35" i="10"/>
  <c r="E56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26" i="10"/>
  <c r="L6" i="10"/>
  <c r="K5" i="10"/>
  <c r="I36" i="10"/>
  <c r="E19" i="15"/>
  <c r="E27" i="15"/>
  <c r="E35" i="15"/>
  <c r="E21" i="15"/>
  <c r="E29" i="15"/>
  <c r="E37" i="15"/>
  <c r="E20" i="15"/>
  <c r="E28" i="15"/>
  <c r="E36" i="15"/>
  <c r="E22" i="15"/>
  <c r="E30" i="15"/>
  <c r="E38" i="15"/>
  <c r="E23" i="15"/>
  <c r="E31" i="15"/>
  <c r="E39" i="15"/>
  <c r="E16" i="15"/>
  <c r="E24" i="15"/>
  <c r="E32" i="15"/>
  <c r="E17" i="15"/>
  <c r="E25" i="15"/>
  <c r="E33" i="15"/>
  <c r="E18" i="15"/>
  <c r="E26" i="15"/>
  <c r="K41" i="10"/>
  <c r="E51" i="4"/>
  <c r="H38" i="4"/>
  <c r="H39" i="4" s="1"/>
  <c r="H40" i="4" s="1"/>
  <c r="J39" i="4"/>
  <c r="J40" i="4" s="1"/>
  <c r="E28" i="10"/>
  <c r="E36" i="10"/>
  <c r="E45" i="4"/>
  <c r="E38" i="4"/>
  <c r="E46" i="4"/>
  <c r="E39" i="4"/>
  <c r="E47" i="4"/>
  <c r="E36" i="4"/>
  <c r="E40" i="4"/>
  <c r="E48" i="4"/>
  <c r="E41" i="4"/>
  <c r="E49" i="4"/>
  <c r="E42" i="4"/>
  <c r="E50" i="4"/>
  <c r="E35" i="4"/>
  <c r="E43" i="4"/>
  <c r="E26" i="4"/>
  <c r="E37" i="4"/>
  <c r="E44" i="4"/>
  <c r="E28" i="4"/>
  <c r="B45" i="4"/>
  <c r="B33" i="4"/>
  <c r="B46" i="4"/>
  <c r="B42" i="4"/>
  <c r="B39" i="4"/>
  <c r="B43" i="4"/>
  <c r="B47" i="4"/>
  <c r="B38" i="4"/>
  <c r="B35" i="4"/>
  <c r="B34" i="4"/>
  <c r="B40" i="4"/>
  <c r="B44" i="4"/>
  <c r="B48" i="4"/>
  <c r="B37" i="4"/>
  <c r="B36" i="4"/>
  <c r="B41" i="4"/>
  <c r="J117" i="16"/>
  <c r="J118" i="16" s="1"/>
  <c r="F117" i="16"/>
  <c r="F118" i="16" s="1"/>
  <c r="H60" i="15"/>
  <c r="H61" i="15" s="1"/>
  <c r="H41" i="15"/>
  <c r="E26" i="16"/>
  <c r="E27" i="16"/>
  <c r="K28" i="16"/>
  <c r="E28" i="16"/>
  <c r="H57" i="15"/>
  <c r="L16" i="18"/>
  <c r="L17" i="18" s="1"/>
  <c r="I26" i="15"/>
  <c r="I25" i="15"/>
  <c r="I30" i="15"/>
  <c r="I31" i="15"/>
  <c r="I15" i="15"/>
  <c r="I18" i="15"/>
  <c r="E25" i="16"/>
  <c r="B27" i="15"/>
  <c r="B26" i="15"/>
  <c r="B32" i="15"/>
  <c r="B31" i="15"/>
  <c r="B18" i="15"/>
  <c r="B15" i="15"/>
  <c r="K41" i="18"/>
  <c r="J39" i="18"/>
  <c r="J40" i="18" s="1"/>
  <c r="J41" i="18" s="1"/>
  <c r="Q23" i="18"/>
  <c r="P22" i="18"/>
  <c r="P23" i="18" s="1"/>
  <c r="M5" i="10"/>
  <c r="J37" i="16"/>
  <c r="I37" i="16"/>
  <c r="D37" i="16"/>
  <c r="C37" i="16"/>
  <c r="Q9" i="16"/>
  <c r="U9" i="16"/>
  <c r="Q19" i="16"/>
  <c r="Q14" i="16"/>
  <c r="U14" i="16"/>
  <c r="U19" i="16"/>
  <c r="B14" i="16"/>
  <c r="F9" i="16"/>
  <c r="F14" i="16"/>
  <c r="B19" i="16"/>
  <c r="F19" i="16"/>
  <c r="B9" i="16"/>
  <c r="K6" i="4"/>
  <c r="K7" i="4" s="1"/>
  <c r="K8" i="4" s="1"/>
  <c r="I17" i="4"/>
  <c r="J17" i="10"/>
  <c r="E12" i="4"/>
  <c r="B11" i="4"/>
  <c r="E18" i="10"/>
  <c r="E15" i="10"/>
  <c r="E15" i="4"/>
  <c r="B11" i="10"/>
  <c r="B13" i="10"/>
  <c r="B13" i="4"/>
  <c r="E31" i="4"/>
  <c r="E25" i="4"/>
  <c r="E31" i="10"/>
  <c r="M7" i="15"/>
  <c r="M42" i="15" s="1"/>
  <c r="M13" i="15"/>
  <c r="M8" i="15"/>
  <c r="E26" i="10"/>
  <c r="E25" i="10"/>
  <c r="E7" i="15"/>
  <c r="B26" i="4"/>
  <c r="B29" i="4"/>
  <c r="B25" i="4"/>
  <c r="B29" i="10"/>
  <c r="B25" i="10"/>
  <c r="E41" i="15"/>
  <c r="E8" i="15"/>
  <c r="E11" i="15"/>
  <c r="L12" i="4"/>
  <c r="I16" i="10"/>
  <c r="I15" i="10"/>
  <c r="I14" i="10"/>
  <c r="I13" i="10"/>
  <c r="I12" i="10"/>
  <c r="I11" i="10"/>
  <c r="I10" i="10"/>
  <c r="I9" i="10"/>
  <c r="I8" i="10"/>
  <c r="I7" i="10"/>
  <c r="E22" i="22"/>
  <c r="E18" i="22"/>
  <c r="D18" i="22"/>
  <c r="D21" i="22"/>
  <c r="D22" i="22"/>
  <c r="E21" i="22"/>
  <c r="D20" i="22"/>
  <c r="E20" i="22"/>
  <c r="E19" i="22"/>
  <c r="D19" i="22"/>
  <c r="D21" i="21"/>
  <c r="D20" i="21"/>
  <c r="E18" i="21"/>
  <c r="E19" i="21"/>
  <c r="D19" i="21"/>
  <c r="D18" i="21"/>
  <c r="E21" i="21"/>
  <c r="E20" i="21"/>
  <c r="E21" i="20"/>
  <c r="E20" i="20"/>
  <c r="D20" i="20"/>
  <c r="E19" i="20"/>
  <c r="D19" i="20"/>
  <c r="E18" i="20"/>
  <c r="D18" i="20"/>
  <c r="D21" i="20"/>
  <c r="E23" i="19"/>
  <c r="E19" i="19"/>
  <c r="D23" i="19"/>
  <c r="D19" i="19"/>
  <c r="D21" i="19"/>
  <c r="E22" i="19"/>
  <c r="E18" i="19"/>
  <c r="D22" i="19"/>
  <c r="D18" i="19"/>
  <c r="E21" i="19"/>
  <c r="D20" i="19"/>
  <c r="E20" i="19"/>
  <c r="B55" i="10" l="1"/>
  <c r="B19" i="10"/>
  <c r="J17" i="4"/>
  <c r="L7" i="10"/>
  <c r="K7" i="10"/>
  <c r="L8" i="10"/>
  <c r="K8" i="10"/>
  <c r="L9" i="10"/>
  <c r="K9" i="10"/>
  <c r="L10" i="10"/>
  <c r="K10" i="10"/>
  <c r="L11" i="10"/>
  <c r="K11" i="10"/>
  <c r="L12" i="10"/>
  <c r="K12" i="10"/>
  <c r="L13" i="10"/>
  <c r="K13" i="10"/>
  <c r="L14" i="10"/>
  <c r="K14" i="10"/>
  <c r="L15" i="10"/>
  <c r="K15" i="10"/>
  <c r="L16" i="10"/>
  <c r="K16" i="10"/>
  <c r="M43" i="15"/>
  <c r="E42" i="15"/>
  <c r="B19" i="4"/>
  <c r="I22" i="10"/>
  <c r="I20" i="10"/>
  <c r="I24" i="10"/>
  <c r="I25" i="10"/>
  <c r="I23" i="10"/>
  <c r="E37" i="16"/>
  <c r="M16" i="18"/>
  <c r="M17" i="18"/>
  <c r="L18" i="18"/>
  <c r="J14" i="16"/>
  <c r="Y9" i="16"/>
  <c r="Y14" i="16"/>
  <c r="Y19" i="16"/>
  <c r="J19" i="16"/>
  <c r="J9" i="16"/>
  <c r="K17" i="4"/>
  <c r="B12" i="15"/>
  <c r="E12" i="10"/>
  <c r="M11" i="10"/>
  <c r="M16" i="10"/>
  <c r="M15" i="10"/>
  <c r="M13" i="10"/>
  <c r="B15" i="10"/>
  <c r="B33" i="15"/>
  <c r="I32" i="15"/>
  <c r="M10" i="15"/>
  <c r="B28" i="15"/>
  <c r="L9" i="4"/>
  <c r="I27" i="15"/>
  <c r="E9" i="15"/>
  <c r="H17" i="4"/>
  <c r="L16" i="4"/>
  <c r="L14" i="4"/>
  <c r="L11" i="4"/>
  <c r="L10" i="4"/>
  <c r="L7" i="4"/>
  <c r="B27" i="10"/>
  <c r="M10" i="10"/>
  <c r="I17" i="10"/>
  <c r="M9" i="10"/>
  <c r="M14" i="10"/>
  <c r="M12" i="10"/>
  <c r="L6" i="4"/>
  <c r="L8" i="4"/>
  <c r="L13" i="4"/>
  <c r="L15" i="4"/>
  <c r="E27" i="10"/>
  <c r="K17" i="10" l="1"/>
  <c r="B30" i="10"/>
  <c r="L19" i="18"/>
  <c r="M19" i="18" s="1"/>
  <c r="M18" i="18"/>
  <c r="M6" i="10"/>
  <c r="K37" i="16"/>
  <c r="E29" i="10"/>
  <c r="M9" i="15"/>
  <c r="B57" i="10" l="1"/>
  <c r="B60" i="10" s="1"/>
  <c r="E32" i="10"/>
  <c r="B59" i="10"/>
  <c r="M8" i="10"/>
  <c r="M7" i="10"/>
  <c r="E12" i="15"/>
  <c r="E43" i="15" s="1"/>
  <c r="E61" i="10" l="1"/>
  <c r="E57" i="10"/>
  <c r="E59" i="10" s="1"/>
  <c r="E62" i="10" s="1"/>
  <c r="L17" i="10"/>
  <c r="E46" i="15"/>
  <c r="E45" i="15"/>
  <c r="M11" i="15"/>
  <c r="G3" i="2"/>
  <c r="B49" i="4"/>
  <c r="B50" i="4" s="1"/>
  <c r="M14" i="15" l="1"/>
  <c r="E52" i="4"/>
  <c r="E53" i="4" s="1"/>
  <c r="E27" i="4"/>
  <c r="E29" i="4" s="1"/>
  <c r="B15" i="4"/>
  <c r="E18" i="4"/>
  <c r="B27" i="4"/>
  <c r="M45" i="15" l="1"/>
  <c r="E32" i="4"/>
  <c r="E55" i="4" s="1"/>
  <c r="E58" i="4" s="1"/>
  <c r="B30" i="4"/>
  <c r="B52" i="4" s="1"/>
  <c r="B55" i="4" l="1"/>
  <c r="B54" i="4"/>
  <c r="E57" i="4"/>
  <c r="I39" i="10"/>
  <c r="I40" i="10" s="1"/>
  <c r="I41" i="10" s="1"/>
  <c r="I12" i="15" l="1"/>
  <c r="M44" i="15"/>
  <c r="I21" i="10"/>
  <c r="Z18" i="15"/>
  <c r="Y18" i="15"/>
  <c r="Z17" i="15"/>
  <c r="Y17" i="15"/>
  <c r="Z16" i="15"/>
  <c r="Y16" i="15"/>
  <c r="Z15" i="15"/>
  <c r="Y15" i="15"/>
  <c r="Z14" i="15"/>
  <c r="Y14" i="15"/>
  <c r="Z10" i="15"/>
  <c r="Y10" i="15"/>
  <c r="Z9" i="15"/>
  <c r="T34" i="15" s="1"/>
  <c r="Y9" i="15"/>
  <c r="Z8" i="15"/>
  <c r="Y8" i="15"/>
  <c r="Z7" i="15"/>
  <c r="T32" i="15" s="1"/>
  <c r="Y7" i="15"/>
  <c r="Z6" i="15"/>
  <c r="Y6" i="15"/>
  <c r="J94" i="16"/>
  <c r="J76" i="16" s="1"/>
  <c r="I94" i="16"/>
  <c r="D94" i="16"/>
  <c r="C94" i="16"/>
  <c r="J93" i="16"/>
  <c r="I93" i="16"/>
  <c r="D93" i="16"/>
  <c r="C93" i="16"/>
  <c r="E93" i="16" s="1"/>
  <c r="J92" i="16"/>
  <c r="I92" i="16"/>
  <c r="D92" i="16"/>
  <c r="D74" i="16" s="1"/>
  <c r="C92" i="16"/>
  <c r="J91" i="16"/>
  <c r="I91" i="16"/>
  <c r="D91" i="16"/>
  <c r="D73" i="16" s="1"/>
  <c r="C91" i="16"/>
  <c r="J90" i="16"/>
  <c r="I90" i="16"/>
  <c r="D90" i="16"/>
  <c r="C90" i="16"/>
  <c r="E91" i="16" l="1"/>
  <c r="Y11" i="15"/>
  <c r="AA6" i="15"/>
  <c r="S31" i="15"/>
  <c r="AA10" i="15"/>
  <c r="AA17" i="15"/>
  <c r="Z11" i="15"/>
  <c r="T31" i="15"/>
  <c r="T37" i="15" s="1"/>
  <c r="K91" i="16"/>
  <c r="I73" i="16"/>
  <c r="I75" i="16"/>
  <c r="K93" i="16"/>
  <c r="AA7" i="15"/>
  <c r="S32" i="15"/>
  <c r="U32" i="15" s="1"/>
  <c r="Y19" i="15"/>
  <c r="AA19" i="15" s="1"/>
  <c r="AA14" i="15"/>
  <c r="AA18" i="15"/>
  <c r="D72" i="16"/>
  <c r="D75" i="16" s="1"/>
  <c r="D95" i="16"/>
  <c r="J72" i="16"/>
  <c r="J73" i="16" s="1"/>
  <c r="J74" i="16" s="1"/>
  <c r="J75" i="16" s="1"/>
  <c r="J95" i="16"/>
  <c r="Z19" i="15"/>
  <c r="C95" i="16"/>
  <c r="E95" i="16" s="1"/>
  <c r="E90" i="16"/>
  <c r="C72" i="16"/>
  <c r="E92" i="16"/>
  <c r="E94" i="16"/>
  <c r="AA8" i="15"/>
  <c r="S33" i="15"/>
  <c r="U33" i="15" s="1"/>
  <c r="AA15" i="15"/>
  <c r="D76" i="16"/>
  <c r="T33" i="15"/>
  <c r="T35" i="15" s="1"/>
  <c r="I95" i="16"/>
  <c r="K95" i="16" s="1"/>
  <c r="I72" i="16"/>
  <c r="K72" i="16" s="1"/>
  <c r="K90" i="16"/>
  <c r="K92" i="16"/>
  <c r="I74" i="16"/>
  <c r="K74" i="16" s="1"/>
  <c r="K94" i="16"/>
  <c r="I76" i="16"/>
  <c r="K76" i="16" s="1"/>
  <c r="AA9" i="15"/>
  <c r="S34" i="15"/>
  <c r="U34" i="15" s="1"/>
  <c r="AA16" i="15"/>
  <c r="K75" i="16" l="1"/>
  <c r="U31" i="15"/>
  <c r="U35" i="15" s="1"/>
  <c r="S35" i="15"/>
  <c r="K73" i="16"/>
  <c r="AA11" i="15"/>
  <c r="C73" i="16"/>
  <c r="E72" i="16"/>
  <c r="C74" i="16" l="1"/>
  <c r="E73" i="16"/>
  <c r="C75" i="16" l="1"/>
  <c r="E74" i="16"/>
  <c r="C76" i="16" l="1"/>
  <c r="E76" i="16" s="1"/>
  <c r="E75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<sst xmlns="http://schemas.openxmlformats.org/spreadsheetml/2006/main" count="10059" uniqueCount="1859">
  <si>
    <t>Linha do Tempo</t>
  </si>
  <si>
    <t>Valores</t>
  </si>
  <si>
    <t>Previsão</t>
  </si>
  <si>
    <t>Limite de Confiança Inferior</t>
  </si>
  <si>
    <t>Limite de Confiança Superior</t>
  </si>
  <si>
    <t>FINANCEIRO</t>
  </si>
  <si>
    <t>NFE</t>
  </si>
  <si>
    <t>Mês</t>
  </si>
  <si>
    <t>Anual</t>
  </si>
  <si>
    <t>MAX LED</t>
  </si>
  <si>
    <t>ENTRADAS TOTAIS</t>
  </si>
  <si>
    <t>SAIDAS TOTAIS</t>
  </si>
  <si>
    <t>TOTAL</t>
  </si>
  <si>
    <t>MAX LED ILUMINAÇÃO</t>
  </si>
  <si>
    <t xml:space="preserve">ENTRADAS </t>
  </si>
  <si>
    <t>SAIDAS</t>
  </si>
  <si>
    <t>MAX LED IMPORTAÇÃO</t>
  </si>
  <si>
    <t>ENTRADAS</t>
  </si>
  <si>
    <t>MÊS</t>
  </si>
  <si>
    <t>Receita</t>
  </si>
  <si>
    <t>Saida</t>
  </si>
  <si>
    <t xml:space="preserve">TOTAL </t>
  </si>
  <si>
    <t>Saída</t>
  </si>
  <si>
    <t>Janeiro</t>
  </si>
  <si>
    <t>Fevereiro</t>
  </si>
  <si>
    <t>Março</t>
  </si>
  <si>
    <t>Abril</t>
  </si>
  <si>
    <t>Maio</t>
  </si>
  <si>
    <t>-</t>
  </si>
  <si>
    <t>Junho</t>
  </si>
  <si>
    <t>Julho</t>
  </si>
  <si>
    <t xml:space="preserve">Julho </t>
  </si>
  <si>
    <t>Agosto</t>
  </si>
  <si>
    <t xml:space="preserve">Agosto </t>
  </si>
  <si>
    <t>Setembro</t>
  </si>
  <si>
    <t>Outubro</t>
  </si>
  <si>
    <t>Novembro</t>
  </si>
  <si>
    <t>Dezembro</t>
  </si>
  <si>
    <t>Total</t>
  </si>
  <si>
    <t xml:space="preserve">Projeções Max  Led Iluminação </t>
  </si>
  <si>
    <t>Projeções Max Led Importação</t>
  </si>
  <si>
    <t>Entradas</t>
  </si>
  <si>
    <t>Saidas</t>
  </si>
  <si>
    <t>A Receber Iluminação</t>
  </si>
  <si>
    <t>A Pagar Iluminação</t>
  </si>
  <si>
    <t>Saldo</t>
  </si>
  <si>
    <t>A Receber Importação</t>
  </si>
  <si>
    <t>A Pagar Importação</t>
  </si>
  <si>
    <t>mai/26</t>
  </si>
  <si>
    <t>jun/26</t>
  </si>
  <si>
    <t>jul/26</t>
  </si>
  <si>
    <t>ago/26</t>
  </si>
  <si>
    <t>set/26</t>
  </si>
  <si>
    <t>Max Iluminação</t>
  </si>
  <si>
    <t>Empréstimo Max Importação</t>
  </si>
  <si>
    <t>Capital de Giro Bradesco</t>
  </si>
  <si>
    <t>Capital de Giro Itaú</t>
  </si>
  <si>
    <t xml:space="preserve">Pronamp </t>
  </si>
  <si>
    <t>Capital de Giro FGI</t>
  </si>
  <si>
    <t>Valor Total</t>
  </si>
  <si>
    <t>Valor Total inicial</t>
  </si>
  <si>
    <t>Total de parcelas</t>
  </si>
  <si>
    <t>Parcelas pagas</t>
  </si>
  <si>
    <t xml:space="preserve">Valor Parcela c/ juros </t>
  </si>
  <si>
    <t>Parcelas restantes</t>
  </si>
  <si>
    <t xml:space="preserve">Valor restante </t>
  </si>
  <si>
    <t xml:space="preserve">Valor pago </t>
  </si>
  <si>
    <t xml:space="preserve">Valor PAGO </t>
  </si>
  <si>
    <t>Acrescimo</t>
  </si>
  <si>
    <t>valor final com acrescimmo</t>
  </si>
  <si>
    <t>Valor final com acrescimmo</t>
  </si>
  <si>
    <t xml:space="preserve"> </t>
  </si>
  <si>
    <t xml:space="preserve">Data inicial </t>
  </si>
  <si>
    <t>Data Final prevista</t>
  </si>
  <si>
    <t>Saídas</t>
  </si>
  <si>
    <t>Resultado</t>
  </si>
  <si>
    <t>% da Receita</t>
  </si>
  <si>
    <t>R$ 19.591,87</t>
  </si>
  <si>
    <t>R$ 19.373,98</t>
  </si>
  <si>
    <t>R$ 217,89</t>
  </si>
  <si>
    <t>2.4%</t>
  </si>
  <si>
    <t>R$ 159.260,53</t>
  </si>
  <si>
    <t>R$ 175.562,16</t>
  </si>
  <si>
    <t>-R$ 16.301,63</t>
  </si>
  <si>
    <t>6.7%</t>
  </si>
  <si>
    <t>R$ 57.998,11</t>
  </si>
  <si>
    <t>R$ 50.024,99</t>
  </si>
  <si>
    <t>R$ 7.973,12</t>
  </si>
  <si>
    <t>7.2%</t>
  </si>
  <si>
    <t>R$ 205.465,70</t>
  </si>
  <si>
    <t>R$ 187.413,04</t>
  </si>
  <si>
    <t>R$ 18.052,66</t>
  </si>
  <si>
    <t>8.7%</t>
  </si>
  <si>
    <t>R$ 56.487,68</t>
  </si>
  <si>
    <t>R$ 51.121,51</t>
  </si>
  <si>
    <t>R$ 5.366,17</t>
  </si>
  <si>
    <t>7.1%</t>
  </si>
  <si>
    <t>R$ 212.696,97</t>
  </si>
  <si>
    <t>R$ 235.789,98</t>
  </si>
  <si>
    <t>-R$ 23.093,01</t>
  </si>
  <si>
    <t>9.0%</t>
  </si>
  <si>
    <t>R$ 61.782,70</t>
  </si>
  <si>
    <t>R$ 82.130,25</t>
  </si>
  <si>
    <t>-R$ 20.347,55</t>
  </si>
  <si>
    <t>7.7%</t>
  </si>
  <si>
    <t>R$ 225.882,05</t>
  </si>
  <si>
    <t>R$ 204.028,74</t>
  </si>
  <si>
    <t>R$ 21.853,31</t>
  </si>
  <si>
    <t>9.5%</t>
  </si>
  <si>
    <t>R$ 39.163,78</t>
  </si>
  <si>
    <t>R$ 28.422,61</t>
  </si>
  <si>
    <t>R$ 10.741,17</t>
  </si>
  <si>
    <t>4.9%</t>
  </si>
  <si>
    <t>R$ 252.020,40</t>
  </si>
  <si>
    <t>R$ 225.748,62</t>
  </si>
  <si>
    <t>R$ 26.271,78</t>
  </si>
  <si>
    <t>10.6%</t>
  </si>
  <si>
    <t>R$ 17.138,87</t>
  </si>
  <si>
    <t>R$ 30.422,90</t>
  </si>
  <si>
    <t>-R$ 13.284,03</t>
  </si>
  <si>
    <t>2.1%</t>
  </si>
  <si>
    <t>R$ 159.826,26</t>
  </si>
  <si>
    <t>R$ 201.481,58</t>
  </si>
  <si>
    <t>-R$ 41.655,32</t>
  </si>
  <si>
    <t>R$ 68.605,59</t>
  </si>
  <si>
    <t>R$ 65.737,81</t>
  </si>
  <si>
    <t>R$ 2.867,78</t>
  </si>
  <si>
    <t>8.6%</t>
  </si>
  <si>
    <t>R$ 205.248,67</t>
  </si>
  <si>
    <t>R$ 214.354,38</t>
  </si>
  <si>
    <t>-R$ 9.105,71</t>
  </si>
  <si>
    <t>R$ 84.229,75</t>
  </si>
  <si>
    <t>R$ 84.871,12</t>
  </si>
  <si>
    <t>-R$ 641,37</t>
  </si>
  <si>
    <t>10.5%</t>
  </si>
  <si>
    <t>R$ 183.735,51</t>
  </si>
  <si>
    <t>R$ 191.802,78</t>
  </si>
  <si>
    <t>-R$ 8.067,27</t>
  </si>
  <si>
    <t>7.8%</t>
  </si>
  <si>
    <t>R$ 126.144,65</t>
  </si>
  <si>
    <t>R$ 117.673,30</t>
  </si>
  <si>
    <t>R$ 8.471,35</t>
  </si>
  <si>
    <t>15.7%</t>
  </si>
  <si>
    <t>R$ 61.637,75</t>
  </si>
  <si>
    <t>R$ 70.384,44</t>
  </si>
  <si>
    <t>-R$ 8.746,69</t>
  </si>
  <si>
    <t> 178.379,29</t>
  </si>
  <si>
    <t>R$ 167.394,79</t>
  </si>
  <si>
    <t>7.5%</t>
  </si>
  <si>
    <t>R$ 58.123,77</t>
  </si>
  <si>
    <t>R$ 57.720,85</t>
  </si>
  <si>
    <t>R$ 402,92</t>
  </si>
  <si>
    <t>7.3%</t>
  </si>
  <si>
    <t>R$ 183.155,39</t>
  </si>
  <si>
    <t>R$ 150.258,42</t>
  </si>
  <si>
    <t>R$ 79.092,13</t>
  </si>
  <si>
    <t>R$ 71.166,29</t>
  </si>
  <si>
    <t>18.8%</t>
  </si>
  <si>
    <t> 179.590,32</t>
  </si>
  <si>
    <t>8.4%</t>
  </si>
  <si>
    <t>Max Led consolidada</t>
  </si>
  <si>
    <t>DRE Financeiro</t>
  </si>
  <si>
    <t>Período Inicial:</t>
  </si>
  <si>
    <t>DRE NFE</t>
  </si>
  <si>
    <t>Previsões financeiro  Max Led Conjunto</t>
  </si>
  <si>
    <t>Período Final:</t>
  </si>
  <si>
    <t>RECEITA BRUTA</t>
  </si>
  <si>
    <t>(-) IMPOSTOS (Simples Nacional)</t>
  </si>
  <si>
    <t>RECEITA SNF</t>
  </si>
  <si>
    <t>RECEITA LÍQUIDA</t>
  </si>
  <si>
    <t xml:space="preserve">Total de Receitas </t>
  </si>
  <si>
    <t>(-) CUSTO DAS MERCADORIAS (FORNECEDORES)</t>
  </si>
  <si>
    <t>LUCRO BRUTO</t>
  </si>
  <si>
    <t>DESPESAS OPERACIONAIS:</t>
  </si>
  <si>
    <t>Entrada</t>
  </si>
  <si>
    <t>BANCO</t>
  </si>
  <si>
    <t>VENDAS</t>
  </si>
  <si>
    <t>BRINDES</t>
  </si>
  <si>
    <t>CARTÃO DE CRÉDITO</t>
  </si>
  <si>
    <t>CONSUMO</t>
  </si>
  <si>
    <t>COMPRAS</t>
  </si>
  <si>
    <t>CONTABILIDADE</t>
  </si>
  <si>
    <t>DEVOLUÇÃO</t>
  </si>
  <si>
    <t>Saldo total 2025 ilu</t>
  </si>
  <si>
    <t>EMPRÉSTIMO CAPITAL  DE GIRO ITAÚ</t>
  </si>
  <si>
    <t>Saldo total 2025 imp</t>
  </si>
  <si>
    <t>EMPRÉSTIMO CAPITAL DE GIRO BRADESCO</t>
  </si>
  <si>
    <t>EMPRÉSTIMO PRONAMP</t>
  </si>
  <si>
    <t>FUNCIONÁRIOS</t>
  </si>
  <si>
    <t>Import</t>
  </si>
  <si>
    <t>FUNCIONÁRIOS (VR)</t>
  </si>
  <si>
    <t>Entrada Import</t>
  </si>
  <si>
    <t>GASTOS FIXOS</t>
  </si>
  <si>
    <t>Saída Import</t>
  </si>
  <si>
    <t>IMPORTAÇÃO</t>
  </si>
  <si>
    <t>Total  Import</t>
  </si>
  <si>
    <t>INVESTIMENTO</t>
  </si>
  <si>
    <t>MANUTENÇÃO</t>
  </si>
  <si>
    <t>Iluminação</t>
  </si>
  <si>
    <t>MARKETING</t>
  </si>
  <si>
    <t>Entrada Iluminação</t>
  </si>
  <si>
    <t>MATERIAL DE ESCRITÓRIO</t>
  </si>
  <si>
    <t>Saída Iluminação</t>
  </si>
  <si>
    <t>MOVIMENTO</t>
  </si>
  <si>
    <t xml:space="preserve">Total Iluminação </t>
  </si>
  <si>
    <t>PUBLICIDADE</t>
  </si>
  <si>
    <t>SEGURO DE EMPRÉSTIMO</t>
  </si>
  <si>
    <t>SEGURO DE VIDA SÓCIO</t>
  </si>
  <si>
    <t>SEGURO SÓCIO CARRO</t>
  </si>
  <si>
    <t>SÓCIOS</t>
  </si>
  <si>
    <t>TRANSPORTES</t>
  </si>
  <si>
    <t>TRANSPORTES IMPORTAÇÃO</t>
  </si>
  <si>
    <t>Outras Despesas Operacionais</t>
  </si>
  <si>
    <t>Total Despesas Operacionais</t>
  </si>
  <si>
    <t>RESULTADO OPERACIONAL</t>
  </si>
  <si>
    <t>MARGEM BRUTA (%)</t>
  </si>
  <si>
    <t>MARGEM LÍQUIDA (%)</t>
  </si>
  <si>
    <t>Max Led Iluminação</t>
  </si>
  <si>
    <t>Receira de Dez.</t>
  </si>
  <si>
    <t>Financeiro</t>
  </si>
  <si>
    <t>TOTAL c. Dez</t>
  </si>
  <si>
    <t>Evolução %</t>
  </si>
  <si>
    <t>Entradas Fin ilumi</t>
  </si>
  <si>
    <t>Saidas Fin Ilu</t>
  </si>
  <si>
    <t>Entradas ilu NFE</t>
  </si>
  <si>
    <t>Saidas ilu NFE</t>
  </si>
  <si>
    <t>Total com dezembro</t>
  </si>
  <si>
    <t>Projeções de Receita</t>
  </si>
  <si>
    <t>Devolução</t>
  </si>
  <si>
    <t xml:space="preserve">BANCO </t>
  </si>
  <si>
    <t>Max Led Import</t>
  </si>
  <si>
    <t>Receita de Dezembro</t>
  </si>
  <si>
    <t>Total c/ 2025</t>
  </si>
  <si>
    <t>Entradas Import FIN</t>
  </si>
  <si>
    <t>Saidas Import fin</t>
  </si>
  <si>
    <t>Entradas Import NFE</t>
  </si>
  <si>
    <t>Saidas Import NFE</t>
  </si>
  <si>
    <t>DATA</t>
  </si>
  <si>
    <t>CLIENTE</t>
  </si>
  <si>
    <t>JUSTIFICATIVA</t>
  </si>
  <si>
    <t>VALOR</t>
  </si>
  <si>
    <t>J. ROSSAN</t>
  </si>
  <si>
    <t xml:space="preserve">janeiro </t>
  </si>
  <si>
    <t>FERRTECH</t>
  </si>
  <si>
    <t>janeiro</t>
  </si>
  <si>
    <t>TELESHESK</t>
  </si>
  <si>
    <t>TRANSFIX</t>
  </si>
  <si>
    <t>ALLPRINT</t>
  </si>
  <si>
    <t>R. BAIÃO</t>
  </si>
  <si>
    <t>extorno cartão de crédito</t>
  </si>
  <si>
    <t>investimento</t>
  </si>
  <si>
    <t>T.G.L</t>
  </si>
  <si>
    <t>fevereiro</t>
  </si>
  <si>
    <t>FZW</t>
  </si>
  <si>
    <t>767 + 11610</t>
  </si>
  <si>
    <t>LANZA</t>
  </si>
  <si>
    <t>SIMPLES CONECT</t>
  </si>
  <si>
    <t>DIGISYSTEM</t>
  </si>
  <si>
    <t>J.M MÁQUINAS</t>
  </si>
  <si>
    <t>DENTSCLER</t>
  </si>
  <si>
    <t>TELECHESKI E TELECHESKI LTDA ME - 0000074</t>
  </si>
  <si>
    <t>769/03</t>
  </si>
  <si>
    <t>LANZA MEDICAL EQUIP. ODONTO MEDICOS LTDA - 0000452</t>
  </si>
  <si>
    <t>783/02</t>
  </si>
  <si>
    <t>M. POWER IND.E COM. DE ELETR. LTDA - 0000216</t>
  </si>
  <si>
    <t>789/01</t>
  </si>
  <si>
    <t>ALLPRINT LATINA AUTOMACAO DE MAQUINAS EA - 0000291</t>
  </si>
  <si>
    <t>770/03</t>
  </si>
  <si>
    <t>DIGISYSTEM IND. DE SIST. ELETRO. LTDA - 0000040</t>
  </si>
  <si>
    <t>786/02</t>
  </si>
  <si>
    <t>PROVOLT TECNOLOGIA ELETRONICA LTDA - 0000886</t>
  </si>
  <si>
    <t>790/01</t>
  </si>
  <si>
    <t>791/01</t>
  </si>
  <si>
    <t>LANZA MEDICAL EQUIP. ODONTO ME</t>
  </si>
  <si>
    <t>783/03</t>
  </si>
  <si>
    <t>SIMPLES CONNECT INDUSTRIA E COMERCIO LTA - 0000308</t>
  </si>
  <si>
    <t>782/02</t>
  </si>
  <si>
    <t>MOVIMENTAÇÃO</t>
  </si>
  <si>
    <t>março</t>
  </si>
  <si>
    <t>FERRTECH EQUIPAMEN</t>
  </si>
  <si>
    <t>798/01</t>
  </si>
  <si>
    <t>778/03</t>
  </si>
  <si>
    <t xml:space="preserve">ALLPRINT LATINA </t>
  </si>
  <si>
    <t>770/04</t>
  </si>
  <si>
    <t xml:space="preserve">J. M. MAQUINAS </t>
  </si>
  <si>
    <t>799/01</t>
  </si>
  <si>
    <t>803 + 792</t>
  </si>
  <si>
    <t>R.BAIÃO</t>
  </si>
  <si>
    <t>abril</t>
  </si>
  <si>
    <t>TAIKOM IMPORT</t>
  </si>
  <si>
    <t>TGL</t>
  </si>
  <si>
    <t>VCP DEVOL</t>
  </si>
  <si>
    <t>VBN</t>
  </si>
  <si>
    <t>823/02</t>
  </si>
  <si>
    <t>815/03</t>
  </si>
  <si>
    <t>815/04</t>
  </si>
  <si>
    <t>823/2</t>
  </si>
  <si>
    <t>815/05</t>
  </si>
  <si>
    <t>MAX LED ILUM</t>
  </si>
  <si>
    <t>ELETROFELIX</t>
  </si>
  <si>
    <t>J.M MAQUINAS</t>
  </si>
  <si>
    <t>DESTINO</t>
  </si>
  <si>
    <t>CAPITAL DE GIRO</t>
  </si>
  <si>
    <t>EMPRÉSTIMOS FGI</t>
  </si>
  <si>
    <t>FEDEX</t>
  </si>
  <si>
    <t>BOLETOS</t>
  </si>
  <si>
    <t>IDALL</t>
  </si>
  <si>
    <t>FORNECEDORES</t>
  </si>
  <si>
    <t>MATHEUS</t>
  </si>
  <si>
    <t>THAMIRES</t>
  </si>
  <si>
    <t>DHL EXPRES</t>
  </si>
  <si>
    <t>IMPORTAÇÕES</t>
  </si>
  <si>
    <t xml:space="preserve">LS </t>
  </si>
  <si>
    <t>IMPOSTOS</t>
  </si>
  <si>
    <t>BRINDES FUNCIONÁRIOS</t>
  </si>
  <si>
    <t>CAPITAL DE GIRO 12/48</t>
  </si>
  <si>
    <t>IA INTELIGENCIA ARTIFI</t>
  </si>
  <si>
    <t>BOLO CONSUMO</t>
  </si>
  <si>
    <t>HANSER</t>
  </si>
  <si>
    <t>ALEX</t>
  </si>
  <si>
    <t>DAS</t>
  </si>
  <si>
    <t>ELVANI</t>
  </si>
  <si>
    <t>SIMENTOR</t>
  </si>
  <si>
    <t>CARTÃO</t>
  </si>
  <si>
    <t>LEO COMEDES</t>
  </si>
  <si>
    <t>MARIA</t>
  </si>
  <si>
    <t>PRICILA</t>
  </si>
  <si>
    <t>DAIANE</t>
  </si>
  <si>
    <t>FRANCISCO</t>
  </si>
  <si>
    <t>GILBERTO</t>
  </si>
  <si>
    <t>FCP</t>
  </si>
  <si>
    <t>LS</t>
  </si>
  <si>
    <t>COLEGIO</t>
  </si>
  <si>
    <t>MATHEUS ROCHA EMPRESTIMO</t>
  </si>
  <si>
    <t>GÁS</t>
  </si>
  <si>
    <t xml:space="preserve">MARIA </t>
  </si>
  <si>
    <t xml:space="preserve">IA </t>
  </si>
  <si>
    <t>HANSER CONTABIL</t>
  </si>
  <si>
    <t>WANDO</t>
  </si>
  <si>
    <t>DHL</t>
  </si>
  <si>
    <t>EDUARDO</t>
  </si>
  <si>
    <t>SEGURO</t>
  </si>
  <si>
    <t>EMPRÉSTIMO FGI</t>
  </si>
  <si>
    <t>MPC</t>
  </si>
  <si>
    <t>CAPITAL DE GIRO 14/48</t>
  </si>
  <si>
    <t>CELULAR</t>
  </si>
  <si>
    <t>MANU INTELIGENCIA ART</t>
  </si>
  <si>
    <t xml:space="preserve">DAS </t>
  </si>
  <si>
    <t>VALE FRANCISCO</t>
  </si>
  <si>
    <t>SÓCIOS CARTÕES</t>
  </si>
  <si>
    <t>CARTÃO DESPESAS DIA DIA</t>
  </si>
  <si>
    <t>CERTIFICADO HANSER</t>
  </si>
  <si>
    <t>DRN</t>
  </si>
  <si>
    <t>JOSÉ MARIA</t>
  </si>
  <si>
    <t>INGRID</t>
  </si>
  <si>
    <t>FRAN MONALISA</t>
  </si>
  <si>
    <t>MONALISA</t>
  </si>
  <si>
    <t>MANU IA</t>
  </si>
  <si>
    <t>VANIA</t>
  </si>
  <si>
    <t>MAX ILUMINAÇÃO</t>
  </si>
  <si>
    <t>MOTOBOU</t>
  </si>
  <si>
    <t>COXINHA PA MENINAS</t>
  </si>
  <si>
    <t>Data</t>
  </si>
  <si>
    <t>Nfe</t>
  </si>
  <si>
    <t>Nome</t>
  </si>
  <si>
    <t>Valor</t>
  </si>
  <si>
    <t>JANEIRO</t>
  </si>
  <si>
    <t>WORL</t>
  </si>
  <si>
    <t>KUM LI</t>
  </si>
  <si>
    <t>FEVEREIRO</t>
  </si>
  <si>
    <t>MARÇO</t>
  </si>
  <si>
    <t>DI DE IMPORTAÇÃO</t>
  </si>
  <si>
    <t>ABRIL</t>
  </si>
  <si>
    <t>LS IMP</t>
  </si>
  <si>
    <t>R. BAIAO INDUSTRIA E COMERCIO LTDA (0000060)</t>
  </si>
  <si>
    <t>SIMPLES CONNECT INDUSTRIA E COMERCIO LTA (0000308)</t>
  </si>
  <si>
    <t>LANZA MEDICAL EQUIP. ODONTO MEDICOS LTDA (0000452)</t>
  </si>
  <si>
    <t>TRANSFIX ASSISTENCIA TECN. E VENDAS EQUI (0000199)</t>
  </si>
  <si>
    <t>J.M. MAQUINAS AUTOMOTIVAS EIRELI (0000387)</t>
  </si>
  <si>
    <t>DIGISYSTEM IND. DE SIST. ELETRO. LTDA (0000040)</t>
  </si>
  <si>
    <t>DENTSCLER IND. DE APAR. ODONTO. EIRELLI (0000390)</t>
  </si>
  <si>
    <t>M. POWER IND.E COM. DE ELETR.  LTDA (0000216)</t>
  </si>
  <si>
    <t>PROVOLT TECNOLOGIA ELETRONICA LTDA (0000886)</t>
  </si>
  <si>
    <t>CRDS DESENVOLVIMENTO E TECNOLOGIA LTDA. (0001101)</t>
  </si>
  <si>
    <t>MARTINS</t>
  </si>
  <si>
    <t>ALLPRINT LATINA AUTOMACAO DE MAQUINAS EA (0000291)</t>
  </si>
  <si>
    <t>TELECHESKI E TELECHESKI LTDA ME (0000074)</t>
  </si>
  <si>
    <t>T.G.L. ELETRO ELETRONICO LTDA - ME (0000073)</t>
  </si>
  <si>
    <t>ELETROFELIX INDUSTRIA E COMERCIO LTDA (0000477)</t>
  </si>
  <si>
    <t>FERRTECH EQUIPAMENTOS ELETRONICA LTDA -E (0000081)</t>
  </si>
  <si>
    <t>ACHEI COMPONENTES ELETRONICOS (0000503)</t>
  </si>
  <si>
    <t>VBN INDUSTRIA E COMERCIO DE PAINEIS ELET (0000987)</t>
  </si>
  <si>
    <t>JOSE PEREIRA SANTOS 34821198568 (0000120)</t>
  </si>
  <si>
    <t>Cliente</t>
  </si>
  <si>
    <t>Nota</t>
  </si>
  <si>
    <t>Banco</t>
  </si>
  <si>
    <t>RUSSER BRASIL</t>
  </si>
  <si>
    <t>ITAÚ</t>
  </si>
  <si>
    <t>BASSOMED EQUIPAMENTOS MEDICOS E ODONTOLO - 0000660</t>
  </si>
  <si>
    <t>11850/01</t>
  </si>
  <si>
    <t>11762/04</t>
  </si>
  <si>
    <t>11861/01</t>
  </si>
  <si>
    <t>SSAT SINALIZACAO E ADESIVOS EIRELI EPP - 0000072</t>
  </si>
  <si>
    <t>11836/01</t>
  </si>
  <si>
    <t>NEW TRAFFIC CONTROL TEC. E INOVACAO LTDA - 0000773</t>
  </si>
  <si>
    <t>11825/02</t>
  </si>
  <si>
    <t>11808/02</t>
  </si>
  <si>
    <t>CARINE G RODRIGUES - 0000764</t>
  </si>
  <si>
    <t>11846/01</t>
  </si>
  <si>
    <t>CITTA ELETRONICA IND. E COM. LTDA ME - 0000532</t>
  </si>
  <si>
    <t>11810/02</t>
  </si>
  <si>
    <t>11855/01</t>
  </si>
  <si>
    <t>DENTSCLER IND. DE APAR. ODONTO. EIRELLI - 0000390</t>
  </si>
  <si>
    <t>11827/02</t>
  </si>
  <si>
    <t>S.T.E.E. TECNOLOGIA ELETROELETRONICA LT - 0000062</t>
  </si>
  <si>
    <t>11862/01</t>
  </si>
  <si>
    <t>SPECTO PAINEIS ELETRONICO LTDA - 0000071</t>
  </si>
  <si>
    <t>11718/02</t>
  </si>
  <si>
    <t>FERRTECH EQUIPAMENTOS ELETRONICA LTDA -E - 0000081</t>
  </si>
  <si>
    <t>11815/02</t>
  </si>
  <si>
    <t>MEGAPIX COMPONENTES ELETRONICOS EIRELLI - 0000325</t>
  </si>
  <si>
    <t>11852/01</t>
  </si>
  <si>
    <t>PRODUTOS ELETRONICOS FRATA LTDA - 0000223</t>
  </si>
  <si>
    <t>11849/01</t>
  </si>
  <si>
    <t>NIATRON IND. E COM. DE EQUIP. ELETRO. - 0000143</t>
  </si>
  <si>
    <t>11844/01</t>
  </si>
  <si>
    <t>L S R COMERCIO DE TECNOLOGIA LTDA - 0000565</t>
  </si>
  <si>
    <t>11860/01</t>
  </si>
  <si>
    <t>CRISTOFOLI EQUIP. DE BIOSSEGURANCA LTDA - 0000146</t>
  </si>
  <si>
    <t>11865/01</t>
  </si>
  <si>
    <t>CONDUVOX TELEMATICA LTDA - 0000031</t>
  </si>
  <si>
    <t>11828/02</t>
  </si>
  <si>
    <t>J. ROSSAN ELETRONICA E TELEFONIA LTDA - 0000344</t>
  </si>
  <si>
    <t>11823/01</t>
  </si>
  <si>
    <t>COMPANHIA DOS RELES - COMPONENTES LTDA - 0000985</t>
  </si>
  <si>
    <t>11795/01</t>
  </si>
  <si>
    <t>11854/01</t>
  </si>
  <si>
    <t>11863/01</t>
  </si>
  <si>
    <t>AWA EQUIPAMENTOS E SISTEMA - 0000433</t>
  </si>
  <si>
    <t>11822/03</t>
  </si>
  <si>
    <t>EDERSON VARANDA BORGES LTDA - 0000785</t>
  </si>
  <si>
    <t>11807/01</t>
  </si>
  <si>
    <t>11822/01</t>
  </si>
  <si>
    <t>11822/02</t>
  </si>
  <si>
    <t>REVAL INDUSTRIA E COMERCIO DE EQUIPAMENA - 0000416</t>
  </si>
  <si>
    <t>11880/01</t>
  </si>
  <si>
    <t>11839/02</t>
  </si>
  <si>
    <t>COMP TOTAL DEVOLÇÃO</t>
  </si>
  <si>
    <t>HIGTHZ</t>
  </si>
  <si>
    <t>CHARLES</t>
  </si>
  <si>
    <t>SNF</t>
  </si>
  <si>
    <t>CURTIS</t>
  </si>
  <si>
    <t>11886/01</t>
  </si>
  <si>
    <t>T.G.L. ELETRO ELETRONICO LTDA - ME - 0000073</t>
  </si>
  <si>
    <t>11802/03</t>
  </si>
  <si>
    <t>11882/01</t>
  </si>
  <si>
    <t>11808/03</t>
  </si>
  <si>
    <t>11846/02</t>
  </si>
  <si>
    <t>E DE OLIVEIRA</t>
  </si>
  <si>
    <t>11815/03</t>
  </si>
  <si>
    <t>ALIGERA EQUIPAMENTOS DIGITAIS LTDA - 0000188</t>
  </si>
  <si>
    <t>11896/01</t>
  </si>
  <si>
    <t>11850/02</t>
  </si>
  <si>
    <t>11810/03</t>
  </si>
  <si>
    <t>ELETROFELIX INDUSTRIA E COMERCIO LTDA - 0000477</t>
  </si>
  <si>
    <t>11800/03</t>
  </si>
  <si>
    <t>11895/01</t>
  </si>
  <si>
    <t>SEMI-DIGITAL LTDA - 0000450</t>
  </si>
  <si>
    <t>11798/01</t>
  </si>
  <si>
    <t>IMPACTO COMPONENTES ELETRO ELETRRONICOS - 0000154</t>
  </si>
  <si>
    <t>11901/01</t>
  </si>
  <si>
    <t>FOCUS TECNOLOGIA E SOLUCOES LTDA - 0000742</t>
  </si>
  <si>
    <t>11883/01</t>
  </si>
  <si>
    <t>11825/03</t>
  </si>
  <si>
    <t>11855/02</t>
  </si>
  <si>
    <t>FZW INNOVATION LTDA - 0000848</t>
  </si>
  <si>
    <t>11811</t>
  </si>
  <si>
    <t>11838</t>
  </si>
  <si>
    <t>11868</t>
  </si>
  <si>
    <t>EXPOENTE TECNOLOGIA ELETRONICA LTDA - 0000079</t>
  </si>
  <si>
    <t>11797/02</t>
  </si>
  <si>
    <t>ZILOCCHI ELETRONICA LTDA - EPP - 0000130</t>
  </si>
  <si>
    <t>11902/01</t>
  </si>
  <si>
    <t>VINTEK IND., COMERCIO E SERVICOS LTDA - 0000894</t>
  </si>
  <si>
    <t>11803/02</t>
  </si>
  <si>
    <t>11821/01</t>
  </si>
  <si>
    <t>11891/01</t>
  </si>
  <si>
    <t>11894/01</t>
  </si>
  <si>
    <t>ASOR ELETROMEDICA EQUIP. ELETRO. E ELETO - 0000246</t>
  </si>
  <si>
    <t>11897/01</t>
  </si>
  <si>
    <t>11903/01</t>
  </si>
  <si>
    <t>ARIELTEK INDUSTRIA E COMERCIO LTDA - 0000314</t>
  </si>
  <si>
    <t>11908/01</t>
  </si>
  <si>
    <t>BRASMEDICAL IND. E COM. DE PRODUTOS PAR - 0000017</t>
  </si>
  <si>
    <t>11774/03</t>
  </si>
  <si>
    <t>Taikon JAGUARY</t>
  </si>
  <si>
    <t>VALNEI</t>
  </si>
  <si>
    <t>PRODUPARK EQUIP. ELETRO. E IMP. LTDA - 0000056</t>
  </si>
  <si>
    <t>11725/01</t>
  </si>
  <si>
    <t>11725/02</t>
  </si>
  <si>
    <t>11725/03</t>
  </si>
  <si>
    <t>11886/02</t>
  </si>
  <si>
    <t>SEBASTIAO CESAR GRASSI ELETRONICOS - M.. - 0000279</t>
  </si>
  <si>
    <t>11925/01</t>
  </si>
  <si>
    <t>LSR</t>
  </si>
  <si>
    <t>11761/03</t>
  </si>
  <si>
    <t>ACHEI COMPONENTES ELETRONICOS - 0000503</t>
  </si>
  <si>
    <t>11777/03</t>
  </si>
  <si>
    <t>11779/02</t>
  </si>
  <si>
    <t>11836/02</t>
  </si>
  <si>
    <t>RALCOMP COMP. ELETRONICOS EIRELI ME - 0000474</t>
  </si>
  <si>
    <t>11775/03</t>
  </si>
  <si>
    <t>ROYALCOMP</t>
  </si>
  <si>
    <t>MCM</t>
  </si>
  <si>
    <t>NEW TEC</t>
  </si>
  <si>
    <t>HCM MALTA</t>
  </si>
  <si>
    <t>CONSTRUTEC</t>
  </si>
  <si>
    <t>CRDS</t>
  </si>
  <si>
    <t>12033 E 794</t>
  </si>
  <si>
    <t>NEXXO</t>
  </si>
  <si>
    <t>EASTEC</t>
  </si>
  <si>
    <t>LIFE</t>
  </si>
  <si>
    <t>POWERFLEET</t>
  </si>
  <si>
    <t>BRADESCO</t>
  </si>
  <si>
    <t>GISLENE</t>
  </si>
  <si>
    <t>MAX LED ILUM. BRAD</t>
  </si>
  <si>
    <t>ACHEI</t>
  </si>
  <si>
    <t>PRODUTOS FRATA</t>
  </si>
  <si>
    <t>NEW TRAFIC</t>
  </si>
  <si>
    <t>COMLINK</t>
  </si>
  <si>
    <t>PREMIX</t>
  </si>
  <si>
    <t>EDERSON LP</t>
  </si>
  <si>
    <t>NIATRON</t>
  </si>
  <si>
    <t>FIBERWAM</t>
  </si>
  <si>
    <t>11953 + 11935</t>
  </si>
  <si>
    <t>snf 45,46,47</t>
  </si>
  <si>
    <t>WKS TECHNOLOGY DO BRASIL - 0000208</t>
  </si>
  <si>
    <t>11924/01</t>
  </si>
  <si>
    <t>11926/01</t>
  </si>
  <si>
    <t>11927/01</t>
  </si>
  <si>
    <t>11928/01</t>
  </si>
  <si>
    <t>11929/01</t>
  </si>
  <si>
    <t>11930/01</t>
  </si>
  <si>
    <t>11931/01</t>
  </si>
  <si>
    <t>BIQUAD</t>
  </si>
  <si>
    <t>11894/02</t>
  </si>
  <si>
    <t>11897/03</t>
  </si>
  <si>
    <t>11939/01</t>
  </si>
  <si>
    <t>MDI PROD E SISTEMAS LTDA - 0000101</t>
  </si>
  <si>
    <t>11941/01</t>
  </si>
  <si>
    <t>11903/03</t>
  </si>
  <si>
    <t>COMLINK EQUIPAMENTOS ELETRONICOS LTDA - 0000028</t>
  </si>
  <si>
    <t>11916/02</t>
  </si>
  <si>
    <t>B. P. S. SISTEMAS DE AUTOMACAO LTDA - 0000010</t>
  </si>
  <si>
    <t>11946/01</t>
  </si>
  <si>
    <t>11950/01</t>
  </si>
  <si>
    <t>11955/01</t>
  </si>
  <si>
    <t>11944/01</t>
  </si>
  <si>
    <t>MOTOPPAR INDUSTRIA E COMERCIO DE AUTOMAT - 0001056</t>
  </si>
  <si>
    <t>11937/01</t>
  </si>
  <si>
    <t>11940/01</t>
  </si>
  <si>
    <t>11957/01</t>
  </si>
  <si>
    <t>R. BAIAO INDUSTRIA E COMERCIO LTDA - 0000060</t>
  </si>
  <si>
    <t>11942/01</t>
  </si>
  <si>
    <t>EVOLUTEC INDUSTRIA E COMERCIO DE ELETROA - 0000229</t>
  </si>
  <si>
    <t>11958/01</t>
  </si>
  <si>
    <t>11960/01</t>
  </si>
  <si>
    <t>11961/01</t>
  </si>
  <si>
    <t>11936/01</t>
  </si>
  <si>
    <t>11949/01</t>
  </si>
  <si>
    <t>11951/01</t>
  </si>
  <si>
    <t>11954/01</t>
  </si>
  <si>
    <t>11962/01</t>
  </si>
  <si>
    <t>11964/01</t>
  </si>
  <si>
    <t>11965/01</t>
  </si>
  <si>
    <t>11966/01</t>
  </si>
  <si>
    <t>J.M. MAQUINAS AUTOMOTIVAS EIRELI - 0000387</t>
  </si>
  <si>
    <t>11943/01</t>
  </si>
  <si>
    <t>CURTIS ELETRONICA INDUSTRIA E COMERCIO A - 0000295</t>
  </si>
  <si>
    <t>11963/01</t>
  </si>
  <si>
    <t>JAIROTEC</t>
  </si>
  <si>
    <t>RM PLACARES</t>
  </si>
  <si>
    <t>CASH</t>
  </si>
  <si>
    <t>FOCUS</t>
  </si>
  <si>
    <t>6675 6700</t>
  </si>
  <si>
    <t>11779/03</t>
  </si>
  <si>
    <t>11931/02</t>
  </si>
  <si>
    <t>11956/01</t>
  </si>
  <si>
    <t>11970/01</t>
  </si>
  <si>
    <t>11972/01</t>
  </si>
  <si>
    <t>11974/01</t>
  </si>
  <si>
    <t>11989/01</t>
  </si>
  <si>
    <t>11913/03</t>
  </si>
  <si>
    <t>11950/02</t>
  </si>
  <si>
    <t>11967/01</t>
  </si>
  <si>
    <t>11969/01</t>
  </si>
  <si>
    <t>11960/02</t>
  </si>
  <si>
    <t>11990/01</t>
  </si>
  <si>
    <t>BING COMERCIO DE COMPONENTES ELETRONICOS - 0001085</t>
  </si>
  <si>
    <t>11996/01</t>
  </si>
  <si>
    <t>HENRY CP DOS SANTOS</t>
  </si>
  <si>
    <t>DIOGO, SABRINA</t>
  </si>
  <si>
    <t>11964/02</t>
  </si>
  <si>
    <t>11966/02</t>
  </si>
  <si>
    <t>11998/01</t>
  </si>
  <si>
    <t>12005/01</t>
  </si>
  <si>
    <t>MONTEC EXODO</t>
  </si>
  <si>
    <t>11970/02</t>
  </si>
  <si>
    <t>11972/02</t>
  </si>
  <si>
    <t>12011/01</t>
  </si>
  <si>
    <t>11992/01</t>
  </si>
  <si>
    <t>CITHEC CIENCIAS E TECNOLOGYA EIRELI - 0000027</t>
  </si>
  <si>
    <t>11994/01</t>
  </si>
  <si>
    <t>BPM INDUSTRIA E COMERCIO - 000</t>
  </si>
  <si>
    <t>12009/01</t>
  </si>
  <si>
    <t>ALLPRINT LATINA AUTOMACAO DE M</t>
  </si>
  <si>
    <t>12010/01</t>
  </si>
  <si>
    <t>HCM MALTA INDUSTRIA DE BRINQUEDOS - 0000181</t>
  </si>
  <si>
    <t>11796/03</t>
  </si>
  <si>
    <t>12020/01</t>
  </si>
  <si>
    <t>CHAVE DIGITAL TECNOLOGIA ELETRONICA LTDA - 0000022</t>
  </si>
  <si>
    <t>12032/01</t>
  </si>
  <si>
    <t>12019/01</t>
  </si>
  <si>
    <t>MARIA GONÇALVES PREMIX</t>
  </si>
  <si>
    <t>12162+12198</t>
  </si>
  <si>
    <t>11804/03</t>
  </si>
  <si>
    <t>11950/03</t>
  </si>
  <si>
    <t>BPM INDUSTRIA E COMERCIO - 0000541</t>
  </si>
  <si>
    <t>12021/01</t>
  </si>
  <si>
    <t>12025/01</t>
  </si>
  <si>
    <t>MS TECNOPON EQUIPAMENTOS ESPECIAIS LTDA - 0000373</t>
  </si>
  <si>
    <t>12026/01</t>
  </si>
  <si>
    <t>12031/01</t>
  </si>
  <si>
    <t>ENGEMED</t>
  </si>
  <si>
    <t>R.B. DA SILVA</t>
  </si>
  <si>
    <t>VIEWMED</t>
  </si>
  <si>
    <t>TAICON</t>
  </si>
  <si>
    <t>11940/02</t>
  </si>
  <si>
    <t>12005/02</t>
  </si>
  <si>
    <t>NEXXO EQUIPAMENTOS ELETRONICOS LTDA - 0000225</t>
  </si>
  <si>
    <t>12022/01</t>
  </si>
  <si>
    <t>12039/01</t>
  </si>
  <si>
    <t>11949/02</t>
  </si>
  <si>
    <t>11951/02</t>
  </si>
  <si>
    <t>11954/02</t>
  </si>
  <si>
    <t>12009/02</t>
  </si>
  <si>
    <t>12027/01</t>
  </si>
  <si>
    <t>GGP INDUSTRIA E COMERCIO - 0000204</t>
  </si>
  <si>
    <t>12028/01</t>
  </si>
  <si>
    <t>12041/01</t>
  </si>
  <si>
    <t>12042/01</t>
  </si>
  <si>
    <t>12043/01</t>
  </si>
  <si>
    <t>12044/01</t>
  </si>
  <si>
    <t>12046/01</t>
  </si>
  <si>
    <t>VINICIUS (cvf)</t>
  </si>
  <si>
    <t>MDS</t>
  </si>
  <si>
    <t>RYON MÁQUINAS</t>
  </si>
  <si>
    <t>SSAT</t>
  </si>
  <si>
    <t>RUSSER</t>
  </si>
  <si>
    <t>LG NOVA</t>
  </si>
  <si>
    <t>MARCELO</t>
  </si>
  <si>
    <t>EVOLUTEC</t>
  </si>
  <si>
    <t>CONDUVOX</t>
  </si>
  <si>
    <t>CITTA</t>
  </si>
  <si>
    <t>J.M MAQUINA</t>
  </si>
  <si>
    <t>INELTEC</t>
  </si>
  <si>
    <t>WGV</t>
  </si>
  <si>
    <t>12043/02</t>
  </si>
  <si>
    <t>12044/02</t>
  </si>
  <si>
    <t>12046/02</t>
  </si>
  <si>
    <t>BALMARC SOLUCOES EIRELI - 0000011</t>
  </si>
  <si>
    <t>12067/01</t>
  </si>
  <si>
    <t>FIBERWAN IND. DE EQUIP. ELETTR. LTDA-EPP - 0000411</t>
  </si>
  <si>
    <t>12068/01</t>
  </si>
  <si>
    <t>ZENER</t>
  </si>
  <si>
    <t>NEW TEC CHARLES</t>
  </si>
  <si>
    <t>11918/02</t>
  </si>
  <si>
    <t>11992/02</t>
  </si>
  <si>
    <t>11993/02</t>
  </si>
  <si>
    <t>11994/02</t>
  </si>
  <si>
    <t>R E M COMPONENTES COMERCIAL ELETRONICA L - 0000826</t>
  </si>
  <si>
    <t>12073/01</t>
  </si>
  <si>
    <t>12076/01</t>
  </si>
  <si>
    <t>MATHEUS DA MATA (LUCIANO)</t>
  </si>
  <si>
    <t>11868/02</t>
  </si>
  <si>
    <t>11894/03</t>
  </si>
  <si>
    <t>12030/03</t>
  </si>
  <si>
    <t>12096/01</t>
  </si>
  <si>
    <t>12097/01</t>
  </si>
  <si>
    <t>SOLSUSTENTAVEL PROD. ELETRO ELETRONICOS - 0000125</t>
  </si>
  <si>
    <t>12098/01</t>
  </si>
  <si>
    <t>12101/01</t>
  </si>
  <si>
    <t>12110/01</t>
  </si>
  <si>
    <t>INELTEC TECNOLOGIAS LTDA - 0000193</t>
  </si>
  <si>
    <t>12060/02</t>
  </si>
  <si>
    <t>12064/02</t>
  </si>
  <si>
    <t>12103/01</t>
  </si>
  <si>
    <t>12251/01</t>
  </si>
  <si>
    <t>11811/03</t>
  </si>
  <si>
    <t>11938/01</t>
  </si>
  <si>
    <t>12022/02</t>
  </si>
  <si>
    <t>12043/03</t>
  </si>
  <si>
    <t>12044/03</t>
  </si>
  <si>
    <t>12046/03</t>
  </si>
  <si>
    <t>12068/02</t>
  </si>
  <si>
    <t>12091/01</t>
  </si>
  <si>
    <t>12092/01</t>
  </si>
  <si>
    <t>DF AUTOMACAO INDUSTRIA E COMERCIO LTDA - 0000434</t>
  </si>
  <si>
    <t>12102/01</t>
  </si>
  <si>
    <t>12100/01</t>
  </si>
  <si>
    <t>12106/01</t>
  </si>
  <si>
    <t>SISTRANS SISTEMA DE SIN. DE TRANSITO LTA - 0000067</t>
  </si>
  <si>
    <t>12107/01</t>
  </si>
  <si>
    <t>12109/01</t>
  </si>
  <si>
    <t>12251/02</t>
  </si>
  <si>
    <t>11949/03</t>
  </si>
  <si>
    <t>11951/03</t>
  </si>
  <si>
    <t>11954/03</t>
  </si>
  <si>
    <t>11956/03</t>
  </si>
  <si>
    <t>11967/02</t>
  </si>
  <si>
    <t>12027/02</t>
  </si>
  <si>
    <t>12028/02</t>
  </si>
  <si>
    <t>BIQUAD TECNOLOGIA LTDA - 0000013</t>
  </si>
  <si>
    <t>12037/02</t>
  </si>
  <si>
    <t>12087/01</t>
  </si>
  <si>
    <t>12098/02</t>
  </si>
  <si>
    <t>12110/02</t>
  </si>
  <si>
    <t>12133/01</t>
  </si>
  <si>
    <t>E DE OLIVEIRA BARBOSA ELETRONICA - 0000898</t>
  </si>
  <si>
    <t>INLINE</t>
  </si>
  <si>
    <t>11938/02</t>
  </si>
  <si>
    <t>12030/04</t>
  </si>
  <si>
    <t>12096/02</t>
  </si>
  <si>
    <t>12099/01</t>
  </si>
  <si>
    <t>12112/01</t>
  </si>
  <si>
    <t>12119/01</t>
  </si>
  <si>
    <t>RASATRONIC ELETRONICA INDUSTRIAL LTDA - 0000057</t>
  </si>
  <si>
    <t>12120/01</t>
  </si>
  <si>
    <t>12301/01</t>
  </si>
  <si>
    <t>12060/03</t>
  </si>
  <si>
    <t>12064/03</t>
  </si>
  <si>
    <t>GRANDE TECH COM, IMPORT, E EXPORT, DE CA - 0000506</t>
  </si>
  <si>
    <t>12132/01</t>
  </si>
  <si>
    <t>ROYALCOMP COMPONENTES ELETR. LTDA - 0000570</t>
  </si>
  <si>
    <t>12143/01</t>
  </si>
  <si>
    <t>EXPOENTE</t>
  </si>
  <si>
    <t>SNF 53</t>
  </si>
  <si>
    <t>ELETRICA</t>
  </si>
  <si>
    <t>11993/03</t>
  </si>
  <si>
    <t>12068/03</t>
  </si>
  <si>
    <t>12106/02</t>
  </si>
  <si>
    <t>12134/01</t>
  </si>
  <si>
    <t>12135/01</t>
  </si>
  <si>
    <t>12136/01</t>
  </si>
  <si>
    <t>12142/01</t>
  </si>
  <si>
    <t>CJS</t>
  </si>
  <si>
    <t>11992/03</t>
  </si>
  <si>
    <t>11994/03</t>
  </si>
  <si>
    <t>12043/04</t>
  </si>
  <si>
    <t>LP INDUSTRIA TECNOLOGICA LTDA - 0000495</t>
  </si>
  <si>
    <t>12089/01</t>
  </si>
  <si>
    <t>ZENER COMPONENTES ELETRONICOS LTDA - ME - 0000142</t>
  </si>
  <si>
    <t>12144/01</t>
  </si>
  <si>
    <t>12151/01</t>
  </si>
  <si>
    <t>12152/01</t>
  </si>
  <si>
    <t>12157/01</t>
  </si>
  <si>
    <t>12149/01</t>
  </si>
  <si>
    <t>12148/01</t>
  </si>
  <si>
    <t>12332/01</t>
  </si>
  <si>
    <t>GABRIEL</t>
  </si>
  <si>
    <t>M12063</t>
  </si>
  <si>
    <t>12396 /12395 /12394</t>
  </si>
  <si>
    <t>TAICON-logus</t>
  </si>
  <si>
    <t>TFCOMP</t>
  </si>
  <si>
    <t>CJS DOS SANTOS GONDOLAS - 0000637</t>
  </si>
  <si>
    <t>12111/01</t>
  </si>
  <si>
    <t>12111/02</t>
  </si>
  <si>
    <t>12111/03</t>
  </si>
  <si>
    <t>12188/01</t>
  </si>
  <si>
    <t>12096/03</t>
  </si>
  <si>
    <t>12098/03</t>
  </si>
  <si>
    <t>POWERFLEET BRASIL LTDA - 0000692</t>
  </si>
  <si>
    <t>12146/01</t>
  </si>
  <si>
    <t>12150/01</t>
  </si>
  <si>
    <t>12164/01</t>
  </si>
  <si>
    <t>UPSAI SISTEMAS DE ENERGIA LTD - 0000485</t>
  </si>
  <si>
    <t>12165/01</t>
  </si>
  <si>
    <t>12193/01</t>
  </si>
  <si>
    <t>11991/01</t>
  </si>
  <si>
    <t>11991/02</t>
  </si>
  <si>
    <t>11991/03</t>
  </si>
  <si>
    <t>12060/04</t>
  </si>
  <si>
    <t>12092/02</t>
  </si>
  <si>
    <t>12167/01</t>
  </si>
  <si>
    <t>12174/01</t>
  </si>
  <si>
    <t>12175/01</t>
  </si>
  <si>
    <t>12178/01</t>
  </si>
  <si>
    <t>12179/01</t>
  </si>
  <si>
    <t>HTR -HORTRON</t>
  </si>
  <si>
    <t>EDUARDO YROSHIMA</t>
  </si>
  <si>
    <t>12134/02</t>
  </si>
  <si>
    <t>12136/02</t>
  </si>
  <si>
    <t>12166/01</t>
  </si>
  <si>
    <t>12184/01</t>
  </si>
  <si>
    <t>12186/01</t>
  </si>
  <si>
    <t>12187/01</t>
  </si>
  <si>
    <t>12191/01</t>
  </si>
  <si>
    <t>12091/02</t>
  </si>
  <si>
    <t>12099/02</t>
  </si>
  <si>
    <t>12100/02</t>
  </si>
  <si>
    <t>RUSSER BRASIL EIRELI - 0000403</t>
  </si>
  <si>
    <t>12176/01</t>
  </si>
  <si>
    <t>11949/04</t>
  </si>
  <si>
    <t>12031/02</t>
  </si>
  <si>
    <t>12195/01</t>
  </si>
  <si>
    <t>12037/03</t>
  </si>
  <si>
    <t>12144/02</t>
  </si>
  <si>
    <t>12196/01</t>
  </si>
  <si>
    <t>LUCIANA - JAIROTEC</t>
  </si>
  <si>
    <t>MDI</t>
  </si>
  <si>
    <t>12212 + 12211 + 12213</t>
  </si>
  <si>
    <t>ALIGERA</t>
  </si>
  <si>
    <t>PSV MATERIAIS ELETRICOS</t>
  </si>
  <si>
    <t>CJ DOS SANTOS</t>
  </si>
  <si>
    <t>TAIKON</t>
  </si>
  <si>
    <t>SUPRIDATA</t>
  </si>
  <si>
    <t>SNF PED 54</t>
  </si>
  <si>
    <t>12165/02</t>
  </si>
  <si>
    <t>12221/01</t>
  </si>
  <si>
    <t>R &amp; M COMPONENTES COMERCIAL ELETRONICA L - 0000826</t>
  </si>
  <si>
    <t>12222/01</t>
  </si>
  <si>
    <t>12226/01</t>
  </si>
  <si>
    <t>12227/01</t>
  </si>
  <si>
    <t>12228/01</t>
  </si>
  <si>
    <t>12234/01</t>
  </si>
  <si>
    <t>CP DOS SANTOS</t>
  </si>
  <si>
    <t>12174/02</t>
  </si>
  <si>
    <t>HTR EQUIPAMENTOS ELETRONICOS LTDA - 0000268</t>
  </si>
  <si>
    <t>12177/02</t>
  </si>
  <si>
    <t>12178/02</t>
  </si>
  <si>
    <t>12215/01</t>
  </si>
  <si>
    <t>12219/01</t>
  </si>
  <si>
    <t>12242/01</t>
  </si>
  <si>
    <t>VBN INDUSTRIA E COMERCIO DE PAINEIS ELET - 0000987</t>
  </si>
  <si>
    <t>12244/01</t>
  </si>
  <si>
    <t>12245/01</t>
  </si>
  <si>
    <t>12248/01</t>
  </si>
  <si>
    <t>12250/01</t>
  </si>
  <si>
    <t>IMPROEL - INDUSTRIA E PROJ. ELETRO-ELET - 0000118</t>
  </si>
  <si>
    <t>12275/01</t>
  </si>
  <si>
    <t>11918/03</t>
  </si>
  <si>
    <t>12134/03</t>
  </si>
  <si>
    <t>12136/03</t>
  </si>
  <si>
    <t>12142/02</t>
  </si>
  <si>
    <t>12186/02</t>
  </si>
  <si>
    <t>12191/02</t>
  </si>
  <si>
    <t>12222/02</t>
  </si>
  <si>
    <t>12231/01</t>
  </si>
  <si>
    <t>12235/01</t>
  </si>
  <si>
    <t>MULTICRAFT ELECTRONICS DO BRASIL LTDA - 0001209</t>
  </si>
  <si>
    <t>12243/01</t>
  </si>
  <si>
    <t>12262/01</t>
  </si>
  <si>
    <t>12265/01</t>
  </si>
  <si>
    <t>12266/01</t>
  </si>
  <si>
    <t>12267/01</t>
  </si>
  <si>
    <t>GENKI MARCELO</t>
  </si>
  <si>
    <t>12220/02</t>
  </si>
  <si>
    <t>AC/DC - 0000218</t>
  </si>
  <si>
    <t>12270/01</t>
  </si>
  <si>
    <t>12316/01</t>
  </si>
  <si>
    <t>TRANSFIX ASSISTENCIA TECN. E VENDAS EQUI - 0000199</t>
  </si>
  <si>
    <t>12318/01</t>
  </si>
  <si>
    <t>12227/02</t>
  </si>
  <si>
    <t>SAMUEL ELETROTECNICA - 0000041</t>
  </si>
  <si>
    <t>12268/01</t>
  </si>
  <si>
    <t>12283/01</t>
  </si>
  <si>
    <t>12285/01</t>
  </si>
  <si>
    <t>12286/01</t>
  </si>
  <si>
    <t>ERTY E DE OLIVEIRA</t>
  </si>
  <si>
    <t>12317/01</t>
  </si>
  <si>
    <t>12150/02</t>
  </si>
  <si>
    <t>12177/03</t>
  </si>
  <si>
    <t>12235/02</t>
  </si>
  <si>
    <t>12248/02</t>
  </si>
  <si>
    <t>12250/02</t>
  </si>
  <si>
    <t>12300/01</t>
  </si>
  <si>
    <t>12302/01</t>
  </si>
  <si>
    <t>JAIRO</t>
  </si>
  <si>
    <t>SNF PED 8</t>
  </si>
  <si>
    <t>SNF PED 56</t>
  </si>
  <si>
    <t>LOGUS</t>
  </si>
  <si>
    <t>12186/03</t>
  </si>
  <si>
    <t>12191/03</t>
  </si>
  <si>
    <t>12299/01</t>
  </si>
  <si>
    <t>12306/01</t>
  </si>
  <si>
    <t>12313/01</t>
  </si>
  <si>
    <t>12314/01</t>
  </si>
  <si>
    <t>12315/01</t>
  </si>
  <si>
    <t>CENTRAL</t>
  </si>
  <si>
    <t>E DE OLIVEIRA - EMERSON</t>
  </si>
  <si>
    <t>12091/03</t>
  </si>
  <si>
    <t>C R D MONTAGEM - 0000200</t>
  </si>
  <si>
    <t>12287/01</t>
  </si>
  <si>
    <t>12099/03</t>
  </si>
  <si>
    <t>12176/02</t>
  </si>
  <si>
    <t>12305/01</t>
  </si>
  <si>
    <t>12195/02</t>
  </si>
  <si>
    <t>12265/02</t>
  </si>
  <si>
    <t>MARTEC MED INDUSTRIA E COMERCIO DE EQUIP - 0000788</t>
  </si>
  <si>
    <t>12331/01</t>
  </si>
  <si>
    <t>12344/01</t>
  </si>
  <si>
    <t>M10</t>
  </si>
  <si>
    <t>12220/03</t>
  </si>
  <si>
    <t>12270/02</t>
  </si>
  <si>
    <t>SISPONTO SISTEMAS INTELIGENTES LTDA - 0000066</t>
  </si>
  <si>
    <t>12337/01</t>
  </si>
  <si>
    <t>ZILOCCHI</t>
  </si>
  <si>
    <t>SNF 1</t>
  </si>
  <si>
    <t>GRANDTECH</t>
  </si>
  <si>
    <t>TRANSCICAP</t>
  </si>
  <si>
    <t>MERCADO LIVRE</t>
  </si>
  <si>
    <t>MATHEUS DA MATA</t>
  </si>
  <si>
    <t>NUTRIEX</t>
  </si>
  <si>
    <t>12235/03</t>
  </si>
  <si>
    <t>12314/02</t>
  </si>
  <si>
    <t>12315/02</t>
  </si>
  <si>
    <t>12341/01</t>
  </si>
  <si>
    <t>12343/01</t>
  </si>
  <si>
    <t>12355/01</t>
  </si>
  <si>
    <t>12363/01</t>
  </si>
  <si>
    <t>12367/01</t>
  </si>
  <si>
    <t>12262/02</t>
  </si>
  <si>
    <t>12265/03</t>
  </si>
  <si>
    <t>12331/02</t>
  </si>
  <si>
    <t>12348/01</t>
  </si>
  <si>
    <t>12358/01</t>
  </si>
  <si>
    <t>12359/01</t>
  </si>
  <si>
    <t>E de oliveira EMERSON</t>
  </si>
  <si>
    <t>12227/04</t>
  </si>
  <si>
    <t>12353/01</t>
  </si>
  <si>
    <t>12369/01</t>
  </si>
  <si>
    <t>12378/01</t>
  </si>
  <si>
    <t>JHR-COMERCIO DE COMP. ELETRONICOS LTDA - 0000131</t>
  </si>
  <si>
    <t>12379/01</t>
  </si>
  <si>
    <t>12380/01</t>
  </si>
  <si>
    <t>SIGMA TRANSFORMADORES - 0000063</t>
  </si>
  <si>
    <t>12383/01</t>
  </si>
  <si>
    <t>12301/02</t>
  </si>
  <si>
    <t>12332/02</t>
  </si>
  <si>
    <t>12350/02</t>
  </si>
  <si>
    <t>12385/01</t>
  </si>
  <si>
    <t>12386/01</t>
  </si>
  <si>
    <t>ANDRE</t>
  </si>
  <si>
    <t>6-SNF</t>
  </si>
  <si>
    <t>7-SNF</t>
  </si>
  <si>
    <t>MAX IMPORT</t>
  </si>
  <si>
    <t>12150/03</t>
  </si>
  <si>
    <t>12397/01</t>
  </si>
  <si>
    <t>12398/01</t>
  </si>
  <si>
    <t>12399/01</t>
  </si>
  <si>
    <t>12091/04</t>
  </si>
  <si>
    <t>12166/02</t>
  </si>
  <si>
    <t>12287/02</t>
  </si>
  <si>
    <t>12299/02</t>
  </si>
  <si>
    <t>12331/03</t>
  </si>
  <si>
    <t>VIEWMED IND. A E COM. DE PROD. MEDICOSA - 0000343</t>
  </si>
  <si>
    <t>12387/01</t>
  </si>
  <si>
    <t>12390/01</t>
  </si>
  <si>
    <t>12401/01</t>
  </si>
  <si>
    <t>NEWTESC TECNOLOGIA E COMERCIO LTDA - 0000106</t>
  </si>
  <si>
    <t>12402/01</t>
  </si>
  <si>
    <t>12031/03</t>
  </si>
  <si>
    <t>12195/03</t>
  </si>
  <si>
    <t>12235/04</t>
  </si>
  <si>
    <t>12411/01</t>
  </si>
  <si>
    <t>12412/01</t>
  </si>
  <si>
    <t>MS ELETRONICA</t>
  </si>
  <si>
    <t>BINDING</t>
  </si>
  <si>
    <t>RALCOMP</t>
  </si>
  <si>
    <t xml:space="preserve">NEW-TEC </t>
  </si>
  <si>
    <t>J.M. MAQUINAS AUT</t>
  </si>
  <si>
    <t>12534/01</t>
  </si>
  <si>
    <t>FERRTECH EQUIP</t>
  </si>
  <si>
    <t>12426/01</t>
  </si>
  <si>
    <t xml:space="preserve">RYON MAQUINAS LTDA - </t>
  </si>
  <si>
    <t>12414/01</t>
  </si>
  <si>
    <t xml:space="preserve">BPM INDUSTRIA </t>
  </si>
  <si>
    <t>12427/01</t>
  </si>
  <si>
    <t>SSAT SINALIZACAO</t>
  </si>
  <si>
    <t>12430/01</t>
  </si>
  <si>
    <t>12404/01</t>
  </si>
  <si>
    <t>12385/02</t>
  </si>
  <si>
    <t>INELTEC TECNOLOGIAS</t>
  </si>
  <si>
    <t>12334/02</t>
  </si>
  <si>
    <t>ZILOCCHI ELETRONICA</t>
  </si>
  <si>
    <t>12330/02</t>
  </si>
  <si>
    <t>BRASMEDICAL IND.</t>
  </si>
  <si>
    <t>12289/01</t>
  </si>
  <si>
    <t>ARIELTECK</t>
  </si>
  <si>
    <t>CONSÓRCIO</t>
  </si>
  <si>
    <t>Destino</t>
  </si>
  <si>
    <t>Categoria</t>
  </si>
  <si>
    <t>CIKA ELETRONICA</t>
  </si>
  <si>
    <t>ALLSEMI TECNOLOGIA E EIRELI</t>
  </si>
  <si>
    <t>ZENNER</t>
  </si>
  <si>
    <t xml:space="preserve">JOSÉ PINHEIRO MERCUR </t>
  </si>
  <si>
    <t>LECOMP COMERCIAL DE COMPONENTE</t>
  </si>
  <si>
    <t>EMPRÉSTIMO</t>
  </si>
  <si>
    <t>TRICOMP COMERCIAL E LTDA</t>
  </si>
  <si>
    <t>ALLNETSYS COMERCIO I S LTDA</t>
  </si>
  <si>
    <t>IDALL COMERCIO ATACADISTA DE C</t>
  </si>
  <si>
    <t>MEGAPIX</t>
  </si>
  <si>
    <t>DLT SUPRIMENTOS</t>
  </si>
  <si>
    <t>ACP C A COMP ELETRONICOS LTDA</t>
  </si>
  <si>
    <t>IUVEN SISTEMA</t>
  </si>
  <si>
    <t>DISPLAY MAX ELETRONICA LTDA</t>
  </si>
  <si>
    <t>HEKTRON COMERCIO C E LTDA</t>
  </si>
  <si>
    <t xml:space="preserve">LEDCOMP CREDERE </t>
  </si>
  <si>
    <t>ELLO PRESTACAO DE SERVICOS LTD</t>
  </si>
  <si>
    <t>MATHEUS COND</t>
  </si>
  <si>
    <t>CORREIOS</t>
  </si>
  <si>
    <t>COMP TOTAL C I C ELETRONICOS</t>
  </si>
  <si>
    <t>MKB ELETRONICA LTDA</t>
  </si>
  <si>
    <t>FADAMAR</t>
  </si>
  <si>
    <t>TRYNIT WWG4 COBR</t>
  </si>
  <si>
    <t>ZENER COMPONENTES ELETRONIC LT</t>
  </si>
  <si>
    <t>VETRONIC COM ELETRONICA LTDA</t>
  </si>
  <si>
    <t>REIMOLD INDUSTRIA E COMERCIO D</t>
  </si>
  <si>
    <t>TRYNIT CREDERE CONS</t>
  </si>
  <si>
    <t>MKB SENSORES LTDA</t>
  </si>
  <si>
    <t>TRYNIT CREDERE CO</t>
  </si>
  <si>
    <t>MPC DISTRIBUIDORA E LTDA</t>
  </si>
  <si>
    <t xml:space="preserve">WKS FVS </t>
  </si>
  <si>
    <t>ALINE ROCHA DOS SANTOS</t>
  </si>
  <si>
    <t>CX COMERCIAL EIRELI</t>
  </si>
  <si>
    <t>SEGURO SÓCIOS CARRO</t>
  </si>
  <si>
    <t>MATHEUS SOARES ROCHA</t>
  </si>
  <si>
    <t>TAMIRES</t>
  </si>
  <si>
    <t>ELCOMP COMERCIO C E LTDA EPP</t>
  </si>
  <si>
    <t>DIGICOMP ELETRONICA LTDA</t>
  </si>
  <si>
    <t>ALLNETSYS COMERCIO IMPORTACAO</t>
  </si>
  <si>
    <t>DLT SUPRIMENTOS LTDA</t>
  </si>
  <si>
    <t xml:space="preserve">DALEC SECURECOM </t>
  </si>
  <si>
    <t>E2E IND COMERCIO COMPONENTES</t>
  </si>
  <si>
    <t>PORTO SEGURO   SEGURO SAUDE S</t>
  </si>
  <si>
    <t>ORIELEC COMERCIO E IMPORTACAO</t>
  </si>
  <si>
    <t>SINDICATO DOS COMERCIARIOS DE</t>
  </si>
  <si>
    <t>MULT COMERCIAL LTDA</t>
  </si>
  <si>
    <t>BING</t>
  </si>
  <si>
    <t>JKJ</t>
  </si>
  <si>
    <t>DLT</t>
  </si>
  <si>
    <t>Wando motoboy</t>
  </si>
  <si>
    <t>MKB</t>
  </si>
  <si>
    <t>FGTS</t>
  </si>
  <si>
    <t>FGTS 13°</t>
  </si>
  <si>
    <t>DARF</t>
  </si>
  <si>
    <t>VALE MATHEUS SOUZA</t>
  </si>
  <si>
    <t>PREVIDENCIA</t>
  </si>
  <si>
    <t>JBT</t>
  </si>
  <si>
    <t>CLARO NET</t>
  </si>
  <si>
    <t>REFEIÇÃO</t>
  </si>
  <si>
    <t>SERASA</t>
  </si>
  <si>
    <t>LOTUS MATERIAL LIMPEZA</t>
  </si>
  <si>
    <t>ALUGUEL MENSAL</t>
  </si>
  <si>
    <t>DANILO MARKETING POTAL JÁ</t>
  </si>
  <si>
    <t>PLUXXE VR E VA</t>
  </si>
  <si>
    <t>MOTOBOY WANDO</t>
  </si>
  <si>
    <t>CAPITALIZAÇÃO</t>
  </si>
  <si>
    <t>MARCELO SITE</t>
  </si>
  <si>
    <t>JOSÉ PINHEIRO</t>
  </si>
  <si>
    <t>LECOMP</t>
  </si>
  <si>
    <t>FILCRIL</t>
  </si>
  <si>
    <t>DISPLAY MAX</t>
  </si>
  <si>
    <t>ACP</t>
  </si>
  <si>
    <t>COMP TOTAL</t>
  </si>
  <si>
    <t>ALLNETS</t>
  </si>
  <si>
    <t>IUVEM FIDC MUL</t>
  </si>
  <si>
    <t>EMP. BRASIL CORREIOS</t>
  </si>
  <si>
    <t>TRICONECT COMERCIAL ELETRONICA</t>
  </si>
  <si>
    <t>MEGADEF COMPONENTES ELETRONICO</t>
  </si>
  <si>
    <t>S-OHM COMERCIAL LTDA</t>
  </si>
  <si>
    <t>TRYNIT</t>
  </si>
  <si>
    <t>SUHAY SEGURO</t>
  </si>
  <si>
    <t>ALINE</t>
  </si>
  <si>
    <t>MATHEUS SOARES</t>
  </si>
  <si>
    <t>MATHEUS SILVA</t>
  </si>
  <si>
    <t>IPVA + LICENCIAMENTO</t>
  </si>
  <si>
    <t>ALLSEMI</t>
  </si>
  <si>
    <t>ELCOMP</t>
  </si>
  <si>
    <t>CLARO</t>
  </si>
  <si>
    <t>PORTO SEGURO SEGURO SAUDE S</t>
  </si>
  <si>
    <t>UP TRONIC ELETRONICA LTDA</t>
  </si>
  <si>
    <t>DELTAS SUPRIMENTOS</t>
  </si>
  <si>
    <t>LEDCOMP CREDERE</t>
  </si>
  <si>
    <t>UESLEY PDF</t>
  </si>
  <si>
    <t>MULT COMERCIAL LT</t>
  </si>
  <si>
    <t>MRD COMPONENTES ELETRONICOS LT</t>
  </si>
  <si>
    <t>HANSER CONTABIL S S LTDA</t>
  </si>
  <si>
    <t>PROELETRONICA C E IMP EXP LTDA</t>
  </si>
  <si>
    <t>UNIVERSE LIGHTING I EXP LTDA</t>
  </si>
  <si>
    <t>S OHM COMERCIAL LTDA</t>
  </si>
  <si>
    <t>ALIGERA DEVOLUÇÃO</t>
  </si>
  <si>
    <t>GPS / FGTS</t>
  </si>
  <si>
    <t>MATHEUS SOUSA</t>
  </si>
  <si>
    <t>WKS</t>
  </si>
  <si>
    <t>A TREE</t>
  </si>
  <si>
    <t>CREDERE TRYNIT</t>
  </si>
  <si>
    <t>MARKCEL COMPONENTES ELETRONICO</t>
  </si>
  <si>
    <t>SERASA SA</t>
  </si>
  <si>
    <t>COMISSÃO TAICON</t>
  </si>
  <si>
    <t>ALUGUEL</t>
  </si>
  <si>
    <t>CREDERE LEDCOMP</t>
  </si>
  <si>
    <t>LUCK IMPORT</t>
  </si>
  <si>
    <t>WILSON</t>
  </si>
  <si>
    <t>fuNCIONÁRIOS</t>
  </si>
  <si>
    <t>IDALL COM</t>
  </si>
  <si>
    <t>LECOMP COM</t>
  </si>
  <si>
    <t xml:space="preserve">DISPLAY MAX </t>
  </si>
  <si>
    <t xml:space="preserve">ORANGE E BLACK </t>
  </si>
  <si>
    <t>MARIA / ADRIELE</t>
  </si>
  <si>
    <t>WILSOM</t>
  </si>
  <si>
    <t>DICEL</t>
  </si>
  <si>
    <t>TAXA PIX</t>
  </si>
  <si>
    <t xml:space="preserve">TRYNIT CREDERE </t>
  </si>
  <si>
    <t>TRICONECT COM</t>
  </si>
  <si>
    <t>ACP C A COMP</t>
  </si>
  <si>
    <t>MEGADEF</t>
  </si>
  <si>
    <t>IUVEN FIDC MULTIS</t>
  </si>
  <si>
    <t>EMPRESA  CORREIOS</t>
  </si>
  <si>
    <t>TRICOMP COM</t>
  </si>
  <si>
    <t>CX COM</t>
  </si>
  <si>
    <t>CIKA ELETR</t>
  </si>
  <si>
    <t>ZENER COMP</t>
  </si>
  <si>
    <t>E2E IND COM</t>
  </si>
  <si>
    <t>MATHEUS ROCHA</t>
  </si>
  <si>
    <t>TAMIRES ROCHA</t>
  </si>
  <si>
    <t>ALINE ROCHA</t>
  </si>
  <si>
    <t>ADX TELECOM</t>
  </si>
  <si>
    <t>SERVIÇO SR. ALEXANDRE</t>
  </si>
  <si>
    <t>SQUIB TECNOLOGIA E I E LTDA</t>
  </si>
  <si>
    <t>ORANGE BLACK DISTRIBUIDORA L</t>
  </si>
  <si>
    <t>FCP IMPORTACAO</t>
  </si>
  <si>
    <t>SUHAY</t>
  </si>
  <si>
    <t>ORANGE E BLACK DISTRIBUIDORA L</t>
  </si>
  <si>
    <t>SULFITE</t>
  </si>
  <si>
    <t>TRICOMP</t>
  </si>
  <si>
    <t>MAX LED BRADESCO</t>
  </si>
  <si>
    <t>MEGAPIX COMPONENTES ELETRONICO</t>
  </si>
  <si>
    <t>ALINE(COMISSÃO TAIKON E MOV)</t>
  </si>
  <si>
    <t>IMPORT</t>
  </si>
  <si>
    <t>CREDERE CONSULTORIA E FOMENTO</t>
  </si>
  <si>
    <t>CLA.</t>
  </si>
  <si>
    <t>FILCRILL COMPONENTES ELETRONIC</t>
  </si>
  <si>
    <t>JOSÉ WILLARES</t>
  </si>
  <si>
    <t>DAS IMP</t>
  </si>
  <si>
    <t>VALE THAMIRES</t>
  </si>
  <si>
    <t>DISPLAY</t>
  </si>
  <si>
    <t>PROESI</t>
  </si>
  <si>
    <t>LEDCOMP</t>
  </si>
  <si>
    <t>EMPRÉSTIMO CAPITAL DE GIRO ITAÚ</t>
  </si>
  <si>
    <t>S-OHM</t>
  </si>
  <si>
    <t>ORANGE</t>
  </si>
  <si>
    <t>ASIA</t>
  </si>
  <si>
    <t>CX</t>
  </si>
  <si>
    <t>JÁ EL</t>
  </si>
  <si>
    <t>ALUGUEL PRÉDIO</t>
  </si>
  <si>
    <t>TRICONECT</t>
  </si>
  <si>
    <t>LUCK _</t>
  </si>
  <si>
    <t>GLOBALCHIP</t>
  </si>
  <si>
    <t>MPX</t>
  </si>
  <si>
    <t>BOLETO</t>
  </si>
  <si>
    <t>MRE</t>
  </si>
  <si>
    <t>TAXA DE BANCO PIX</t>
  </si>
  <si>
    <t xml:space="preserve">CX COMERCIAL </t>
  </si>
  <si>
    <t xml:space="preserve">COMP TOTAL </t>
  </si>
  <si>
    <t>ELCOMP COM</t>
  </si>
  <si>
    <t>CX COMERCIA</t>
  </si>
  <si>
    <t>ORANGE E BLACK</t>
  </si>
  <si>
    <t>VETRONIC COM</t>
  </si>
  <si>
    <t>IDALL COMERCIO</t>
  </si>
  <si>
    <t xml:space="preserve">LECOMP COMERCIAL </t>
  </si>
  <si>
    <t>GLOBAL CREDERE</t>
  </si>
  <si>
    <t xml:space="preserve">IUVEN - PROSPERCLOUD </t>
  </si>
  <si>
    <t>Pluxxe -Bonus funcionários</t>
  </si>
  <si>
    <t>COMEDES</t>
  </si>
  <si>
    <t xml:space="preserve">LEDCOMP-CREDERE </t>
  </si>
  <si>
    <t xml:space="preserve">VETRONIC COM </t>
  </si>
  <si>
    <t>ALLNETSYS COM</t>
  </si>
  <si>
    <t xml:space="preserve">ACP C A COMP </t>
  </si>
  <si>
    <t>HEKTRON COM</t>
  </si>
  <si>
    <t>CROMAX ELET</t>
  </si>
  <si>
    <t>TRYNIT CREDERE</t>
  </si>
  <si>
    <t>SINDICATO DO COM</t>
  </si>
  <si>
    <t>PORTO SEGURO</t>
  </si>
  <si>
    <t xml:space="preserve">MICROELECTRON </t>
  </si>
  <si>
    <t xml:space="preserve">IDALL COMERCIO </t>
  </si>
  <si>
    <t>VCP DESPACHANTE</t>
  </si>
  <si>
    <t>FILCRILL</t>
  </si>
  <si>
    <t>VETRONIC</t>
  </si>
  <si>
    <t>TELKO</t>
  </si>
  <si>
    <t>MCP</t>
  </si>
  <si>
    <t>FERA</t>
  </si>
  <si>
    <t>UNIVERSE</t>
  </si>
  <si>
    <t>AIB</t>
  </si>
  <si>
    <t>MARKCEL</t>
  </si>
  <si>
    <t>JOMACLER</t>
  </si>
  <si>
    <t>TAMIRES VALE</t>
  </si>
  <si>
    <t>MATHEUS VALE</t>
  </si>
  <si>
    <t>GEO</t>
  </si>
  <si>
    <t>REIMOLD</t>
  </si>
  <si>
    <t>TIGGERCOMP</t>
  </si>
  <si>
    <t>MULT</t>
  </si>
  <si>
    <t>S.OHM</t>
  </si>
  <si>
    <t>E2E</t>
  </si>
  <si>
    <t>MRD</t>
  </si>
  <si>
    <t>SOFT</t>
  </si>
  <si>
    <t xml:space="preserve">ALUGUEL  </t>
  </si>
  <si>
    <t>METALTEX</t>
  </si>
  <si>
    <t>CARTÃO MARIA</t>
  </si>
  <si>
    <t>TAXA MÊS</t>
  </si>
  <si>
    <t>FILCRILL COMPS ELETRS IMP E EXP EIRELLI (0000048)</t>
  </si>
  <si>
    <t>ACP COMERCIO ATACADISTA DE COMPONENTES E (0000249)</t>
  </si>
  <si>
    <t>COMP TOTAL COM. E IMP. DE COMP. ELETRON. (0000267)</t>
  </si>
  <si>
    <t>DISPLAY MAX ELETRONICA LTDA (0000318)</t>
  </si>
  <si>
    <t>ZENER COMPONENTES ELETRONICOS LTDA - ME (0000317)</t>
  </si>
  <si>
    <t>IDALL COM. ATAC. DE COMP. ELETR. LTDA (0000011)</t>
  </si>
  <si>
    <t>MEGAPIX COMP. ELETRONICOS LTDA-EPP (0000275)</t>
  </si>
  <si>
    <t>ALLSEMI TECNOLOGIA ELETRONICA LTDA (0000299)</t>
  </si>
  <si>
    <t>LECOMP Com. de Comp. Eletronicos LTDA (0000312)</t>
  </si>
  <si>
    <t>CX COMERCIAL EIRELI EPP (0000329)</t>
  </si>
  <si>
    <t>MULT COMERCIAL LTDA (0000311)</t>
  </si>
  <si>
    <t>ALLNETSYS COMERCIO IMPORTACAO E SERVICOS (0000036)</t>
  </si>
  <si>
    <t>UP TRONIC ELETRONICA LTDA (0000409)</t>
  </si>
  <si>
    <t>ELCOMP COMERCIO COMPONENTES ELETR. LTDA (0000246)</t>
  </si>
  <si>
    <t>TRYNIT LED COMPONENTES ELETRONICOS EIREL (0000259)</t>
  </si>
  <si>
    <t>E2E INDUSTRIA E COMERCIO DE COMPONENTES (0000306)</t>
  </si>
  <si>
    <t>LEDCOMP COMERCIO DE COMPONENTES ELETRONI (0000313)</t>
  </si>
  <si>
    <t>MKB ELETRONICA E SENSORES LTDA (0000171)</t>
  </si>
  <si>
    <t>TRICONECT COMERCIAL ELETR. LTDA (0000321)</t>
  </si>
  <si>
    <t>MRD COMPONENTES ELETRONICOS LTDA. (0000388)</t>
  </si>
  <si>
    <t>TRICOMP COMERCIAL ELETR. LTDA (0000278)</t>
  </si>
  <si>
    <t>CP DOS SANTOS ELETROELETRONICOS (0000244)</t>
  </si>
  <si>
    <t>NEXXO EQUIPAMENTOS ELETRONICOS LTDA (C) (0000225)</t>
  </si>
  <si>
    <t>MEGADEF COMPONENTES ELETRONICOS LTDA (0000039)</t>
  </si>
  <si>
    <t>S-ohm Comercial Ltda. (0000183)</t>
  </si>
  <si>
    <t>UNIVERSE LIGHTING IMPORTACAO EXPORTA€CO (0000305)</t>
  </si>
  <si>
    <t>JOSÃ‰ PINHEIRO CASSINI - ME (0000404)</t>
  </si>
  <si>
    <t>MDS COMPONENTES ELETRONICOS LTDA (0000297)</t>
  </si>
  <si>
    <t>DELTA SUPRIMENTOS DE INFORMATICA (0000161)</t>
  </si>
  <si>
    <t>PROELETRONICA COMPS ELETS IMPO E EXPO LT (0000273)</t>
  </si>
  <si>
    <t>MARKCEL COMPONENTES ELETRONICOS LTDA (0000245)</t>
  </si>
  <si>
    <t>JBT COMPONENTES FILIAL ITAPEVA/MG (0000414)</t>
  </si>
  <si>
    <t>CIKA ELETRONICA DO BRASIL LTDA (0000021)</t>
  </si>
  <si>
    <t>DALEC INDUSTRIA E COMERCIO DE COMPONENTE (0000056)</t>
  </si>
  <si>
    <t>VETRONIC COMERCIO ELETRONICA LTDA (0000038)</t>
  </si>
  <si>
    <t>DICEL COMERCIO DE COMPONENTES ELETRONICO (0000298)</t>
  </si>
  <si>
    <t>WKS TECHNOLOGY DO BRASIL LTDA (0000320)</t>
  </si>
  <si>
    <t>LUCKY COMERCIAL IMPORTADORA LTDA (0000417)</t>
  </si>
  <si>
    <t>ORANGE E BLACK DISTRIBUIDORA LTDA (0000198)</t>
  </si>
  <si>
    <t>SQUIB TECNOLOGIA ELETR. IMPOT. E EX. LTD (0000283)</t>
  </si>
  <si>
    <t>FCP IMPORTACAO E COMERCIO LTDA (0000398)</t>
  </si>
  <si>
    <t>DLT SUPRIMENTOS LTDA (0000389)</t>
  </si>
  <si>
    <t>A TREE 2012 LUMINARIAS EIRELI (0000248)</t>
  </si>
  <si>
    <t>JA ELETRONICA IMPORTACAO E EXPORTACAO LT (0000423)</t>
  </si>
  <si>
    <t>PROESI COMPONENTES ELETRONICOS LTDA (0000424)</t>
  </si>
  <si>
    <t>MPC DISTRIBUIDORA DE ELETRO-ELETRONICOS (0000160)</t>
  </si>
  <si>
    <t>GLOBALCHIP TECNOLOGIA ELETRaNICA LTDA (0000117)</t>
  </si>
  <si>
    <t>ASIA BRASIL COM. DE COMPS.ELETRONICOS LT (0000385)</t>
  </si>
  <si>
    <t>MPX COMPONENTES ELETRONICOS LTDA (0000303)</t>
  </si>
  <si>
    <t>ADX TELECOM COMERCIO &amp;AMP;AMP; SERVICOS (0000428)</t>
  </si>
  <si>
    <t>HEKTRON COMERCIO DE COMPONENTES ELETRONI (0000387)</t>
  </si>
  <si>
    <t>MICROELECTRON SISTS. ELETRS. IND. E COM. (0000319)</t>
  </si>
  <si>
    <t>AIB COMERCIAL IMPORTACAO E EXPORTAÇÃO (0000395)</t>
  </si>
  <si>
    <t>FERA COMPONENTES ELETRONICOS LTDA (0000431)</t>
  </si>
  <si>
    <t>JOMACLER IND. E COM. DE CONDUT. ELETRICO (0000102)</t>
  </si>
  <si>
    <t>RUSSER BRASIL EIRELI (C) (0000403)</t>
  </si>
  <si>
    <t>DIGISYSTEM IND. DE SIST. ELETRO. LTDA (C (0000040)</t>
  </si>
  <si>
    <t>UPSAI SISTEMAS DE ENERGIA LTD (C) (0000485)</t>
  </si>
  <si>
    <t>GEO-ELETRON SEMICONDUTORES LTDA (0000432)</t>
  </si>
  <si>
    <t>REIMOLD INDUSTRIA E COMRCIO DE MATERIAI (0000172)</t>
  </si>
  <si>
    <t>SOFT METAIS LTDA (0000433)</t>
  </si>
  <si>
    <t>TIGGERCOMP COMERCIO DE COMPONENTES EIREL (0000434)</t>
  </si>
  <si>
    <t>MKB ELETRONICA LTDA (0000088)</t>
  </si>
  <si>
    <t>CROMAX ELETRONICA LTDA (0000296)</t>
  </si>
  <si>
    <t>SSAT SINALIZACAO E ADESIVOS EIRELI EPP ( (0000072)</t>
  </si>
  <si>
    <t>MRE FERRAMENTAS COMERCIAL LTDA (0000089)</t>
  </si>
  <si>
    <t>PRODUTOS ELETRONICOS METALTEX LTDA (0000063)</t>
  </si>
  <si>
    <t>TELKO ELETRONICA LTDA (0000067)</t>
  </si>
  <si>
    <t>DIGICOMP ELETRONICA EIRELI (0000279)</t>
  </si>
  <si>
    <t>DV TECNOLOGIA ELETROELETRONICA LTDA (0000025)</t>
  </si>
  <si>
    <t>CIRCUITRONIX ELETRO ELETRONICA LTDA (0000442)</t>
  </si>
  <si>
    <t>IMPLASTEC</t>
  </si>
  <si>
    <t>justificativa de nfs</t>
  </si>
  <si>
    <t>COMLINK EQUIPAMENTOS ELETRONICOS LTDA (0000028)</t>
  </si>
  <si>
    <t>GISLENE JAEN (0000084)</t>
  </si>
  <si>
    <t>cancelada</t>
  </si>
  <si>
    <t>EDERSON VARANDA BORGES LTDA (0000785)</t>
  </si>
  <si>
    <t>NEW-TEC COMERCIO DE ELETRONICOS LTDA (0000944)</t>
  </si>
  <si>
    <t>E DE OLIVEIRA BARBOSA ELETRONICA (0000898)</t>
  </si>
  <si>
    <t>CP DOS SANTOS (0000438)</t>
  </si>
  <si>
    <t>DEVOLUÇÕES RECEBIDAS</t>
  </si>
  <si>
    <t>NIATRON IND. E COM. DE EQUIP. ELETRO. (0000143)</t>
  </si>
  <si>
    <t>FIBERWAN IND. DE EQUIP. ELETTR. LTDA-EPP (0000411)</t>
  </si>
  <si>
    <t>WKS TECHNOLOGY DO BRASIL (0000208)</t>
  </si>
  <si>
    <t>DEVOLUÇÕES</t>
  </si>
  <si>
    <t>SEBASTIAO CESAR GRASSI ELETRONICOS - M.. (0000279)</t>
  </si>
  <si>
    <t>CRISTOFOLI EQUIP. DE BIOSSEGURANÇA LTDA (0000146)</t>
  </si>
  <si>
    <t>ARIELTEK INDUSTRIA E COMERCIO LTDA (0000314)</t>
  </si>
  <si>
    <t>JAIRO FURBINO DOS SANTOS (0000739)</t>
  </si>
  <si>
    <t>BASSOMED EQUIPAMENTOS MEDICOS E ODONTOLO (0000660)</t>
  </si>
  <si>
    <t>CONSTRUTEC FACILITIES COM. E SERV. DE EN (0000033)</t>
  </si>
  <si>
    <t>GABRIEL FREITAS DE LIMA MATOS (0000700)</t>
  </si>
  <si>
    <t>MOTOPPAR INDUSTRIA E COMERCIO DE AUTOMAT (0001056)</t>
  </si>
  <si>
    <t>FZW INNOVATION LTDA (0000848)</t>
  </si>
  <si>
    <t>MERCADO FULL</t>
  </si>
  <si>
    <t>EXPOENTE TECNOLOGIA ELETRONICA LTDA (0000079)</t>
  </si>
  <si>
    <t>ROSAIR</t>
  </si>
  <si>
    <t>NEW TRAFFIC CONTROL TEC. E INOVACAO LTDA (0000773)</t>
  </si>
  <si>
    <t>LADEMIR</t>
  </si>
  <si>
    <t>MDI PROD E SISTEMAS LTDA (0000101)</t>
  </si>
  <si>
    <t>ANTONIO</t>
  </si>
  <si>
    <t>RAMOM</t>
  </si>
  <si>
    <t>OSVALDO FULL</t>
  </si>
  <si>
    <t>HIGHZ VALE INDUSTRIA ELETRONICA LTDA (0000526)</t>
  </si>
  <si>
    <t>B. P. S. SISTEMAS DE AUTOMACAO LTDA (0000010)</t>
  </si>
  <si>
    <t>OSVALDO VENTURINI PINTO (0001060)</t>
  </si>
  <si>
    <t>ELIANE APARECIDA RIBEIRO MARTINS (0001059)</t>
  </si>
  <si>
    <t>PRODUTOS ELETRONICOS FRATA LTDA (0000223)</t>
  </si>
  <si>
    <t>CITTA ELETRONICA IND. E COM. LTDA ME (0000532)</t>
  </si>
  <si>
    <t>SSAT SINALIZACAO E ADESIVOS EIRELI EPP (0000072)</t>
  </si>
  <si>
    <t>CONDUVOX TELEMATICA LTDA (0000031)</t>
  </si>
  <si>
    <t>EVOLUTEC INDUSTRIA E COMERCIO DE ELETROA (0000229)</t>
  </si>
  <si>
    <t>VALNEI VIEIRA DA SILVA 00391345630 (0000070)</t>
  </si>
  <si>
    <t>VINTEK IND., COMERCIO E SERVICOS LTDA (0000894)</t>
  </si>
  <si>
    <t>S.T.E.E. TECNOLOGIA ELETROELETRONICA LT (0000062)</t>
  </si>
  <si>
    <t>ZILOCCHI ELETRONICA LTDA - EPP (0000130)</t>
  </si>
  <si>
    <t>CURTIS ELETRONICA INDUSTRIA E COMERCIO A (0000295)</t>
  </si>
  <si>
    <t>REVAL INDUSTRIA E COMERCIO DE EQUIPAMENA (0000416)</t>
  </si>
  <si>
    <t>L S R COMERCIO DE TECNOLOGIA LTDA (0000565)</t>
  </si>
  <si>
    <t>FOCUS TECNOLOGIA E SOLUCOES LTDA (0000742)</t>
  </si>
  <si>
    <t>TAIKON INDUSTRIA E COM DE APARELHOS ELET (0001061)</t>
  </si>
  <si>
    <t>MARCIO JOSE DE MORAES (0001073)</t>
  </si>
  <si>
    <t>VAGNER RIBEIRO DE CARVALHO 97776688568 (0001069)</t>
  </si>
  <si>
    <t>JULIANA CHIARETTI NOVI (0001071)</t>
  </si>
  <si>
    <t>HELIO JOSE MOREIRA (0001067)</t>
  </si>
  <si>
    <t>GUILHERME NOBORU ISIRI TADA (0001066)</t>
  </si>
  <si>
    <t>ROBERTO GADDUCCI (0001070)</t>
  </si>
  <si>
    <t>VALMIR OLIVEIRA SOARES (0001075)</t>
  </si>
  <si>
    <t>ANDRE MAURO DE ANDRADE SILVEIRA (0001081)</t>
  </si>
  <si>
    <t>BRUNA DOS SANTOS CABOATAN (0001077)</t>
  </si>
  <si>
    <t>JAMILI ROBERTA MOURO (0001078)</t>
  </si>
  <si>
    <t>ELIAS MATIAS ROCHA (0001076)</t>
  </si>
  <si>
    <t>CESAR AUGUSTO ALVES DE LIMA (0001083)</t>
  </si>
  <si>
    <t>SILVIA FELIPE COSTA (0001084)</t>
  </si>
  <si>
    <t>NANOTEC ELETRONICA DIGITAL LTDA (0001082)</t>
  </si>
  <si>
    <t>BRASMEDICAL IND. E COM. DE PRODUTOS PAR (0000017)</t>
  </si>
  <si>
    <t>CITHEC CIENCIAS E TECNOLOGYA EIRELI (0000027)</t>
  </si>
  <si>
    <t>MCM TECNOLOGIA INDUSTRIAL (0000460)</t>
  </si>
  <si>
    <t>BING COMERCIO DE COMPONENTES ELETRONICOS (0001085)</t>
  </si>
  <si>
    <t>TRANSCICAP COM. DE COMP. ELETR. LTDA (0000661)</t>
  </si>
  <si>
    <t>SULAMERICANA DE FIEIRAS INDUSTRIA E COME (0001089)</t>
  </si>
  <si>
    <t>JESSE SMILE DANIEL (0001088)</t>
  </si>
  <si>
    <t>BRUNO AUGUSTO PINTO CORREIA (0001093)</t>
  </si>
  <si>
    <t>HEMILLY CHRISTINA CORTE SPERTINI D (0001090)</t>
  </si>
  <si>
    <t>BPM INDUSTRIA E COMERCIO (0000541)</t>
  </si>
  <si>
    <t>ASOR ELETROMEDICA EQUIP. ELETRO. E ELETO (0000246)</t>
  </si>
  <si>
    <t>DANYELLA BARROSO DE OLIVEIRA (0001096)</t>
  </si>
  <si>
    <t>JOSE BENATTI DE MOURA (0001095)</t>
  </si>
  <si>
    <t>MARIO DOS SANTOS RATTO FILHO (0001098)</t>
  </si>
  <si>
    <t>EWERTON WILLIAN DA SILVA (0001097)</t>
  </si>
  <si>
    <t>NEXXO EQUIPAMENTOS ELETRONICOS LTDA (0000225)</t>
  </si>
  <si>
    <t>GEORGE BROERING KOERICH (0001100)</t>
  </si>
  <si>
    <t>CASH EQUIPAMENTOS MEDICOS ODONTOLOGICOS (0001014)</t>
  </si>
  <si>
    <t>MS TECNOPON EQUIPAMENTOS ESPECIAIS LTDA (0000373)</t>
  </si>
  <si>
    <t>RALCOMP COMP. ELETRONICOS EIRELI ME (0000474)</t>
  </si>
  <si>
    <t>GGP INDUSTRIA E COMERCIO (0000204)</t>
  </si>
  <si>
    <t>VIEWMED IND. A E COM. DE PROD. MEDICOSA (0000343)</t>
  </si>
  <si>
    <t>CHAVE DIGITAL TECNOLOGIA ELETRONICA LTDA (0000022)</t>
  </si>
  <si>
    <t>ALEX SANDRO FRANCA (0001102)</t>
  </si>
  <si>
    <t>JOAO COSTA CARDOSO (0001103)</t>
  </si>
  <si>
    <t>JOAO FERNANDO CALCAGNO CAMARGO (0001106)</t>
  </si>
  <si>
    <t>BIQUAD TECNOLOGIA LTDA (0000013)</t>
  </si>
  <si>
    <t>MARCOS JADIR WOLFART SEIDEL (0001111)</t>
  </si>
  <si>
    <t>RUSSER BRASIL EIRELI (0000403)</t>
  </si>
  <si>
    <t>RYON MAQUINAS LTDA (0000662)</t>
  </si>
  <si>
    <t>PREMIX INDUSTRIA ELETROMECANIA LTDA (0000047)</t>
  </si>
  <si>
    <t>DOUGLAS FLORENCIO (0001112)</t>
  </si>
  <si>
    <t>ERICA FEITOSA DOS ANJOS, 378 (0001114)</t>
  </si>
  <si>
    <t>L G NOVA COMERCIAL IMPORT. E EXPORT. LTD (0000124)</t>
  </si>
  <si>
    <t>INELTEC TECNOLOGIAS LTDA (0000193)</t>
  </si>
  <si>
    <t>SAYRON RIBEIRO MARCELINO (0001116)</t>
  </si>
  <si>
    <t>PAULO HENRIQUE SOUSA LIMA (0001117)</t>
  </si>
  <si>
    <t>ISRAEL RODRIGUES DE CARVALHO (0001119)</t>
  </si>
  <si>
    <t>49.639.358 VINICIUS RENATO TIMI (0001121)</t>
  </si>
  <si>
    <t>BALMARC SOLUCOES EIRELI (0000011)</t>
  </si>
  <si>
    <t>J. M. MAQUINAS E EQUIPAMENTOS EIRELI (0000091)</t>
  </si>
  <si>
    <t>ROGERIO NOVAES BUENO (0001133)</t>
  </si>
  <si>
    <t>R E M COMPONENTES COMERCIAL ELETRONICA L (0000826)</t>
  </si>
  <si>
    <t>NILTON TADEU HENRIQUE DA SILVA (0001125)</t>
  </si>
  <si>
    <t>SONIA DE SOUZA SANTOS (0001130)</t>
  </si>
  <si>
    <t>PIRASSUNUNGA SUPERMERCADO DO ARTESANATO (0001126)</t>
  </si>
  <si>
    <t>JONATHAN DA SILVA OLIVEIRA (0001144)</t>
  </si>
  <si>
    <t>ANTONIO JOSE LOPES (0001141)</t>
  </si>
  <si>
    <t>EDSON GOMES DE SOUSA (0001137)</t>
  </si>
  <si>
    <t>LUCAS SANCHES MIRALHAS (0001136)</t>
  </si>
  <si>
    <t>LP INDUSTRIA TECNOLOGICA LTDA (0000495)</t>
  </si>
  <si>
    <t>EDSON LUIS DIOGO (0001132)</t>
  </si>
  <si>
    <t>JOSE LUIS MAMANI CABEZAS (0001122)</t>
  </si>
  <si>
    <t>AMAURI FERREIRA DE MOURA (0001127)</t>
  </si>
  <si>
    <t>AWA EQUIPAMENTOS E SISTEMA (0000433)</t>
  </si>
  <si>
    <t>SOLSUSTENTAVEL PROD. ELETRO ELETRONICOS (0000125)</t>
  </si>
  <si>
    <t>DF AUTOMACAO INDUSTRIA E COMERCIO LTDA (0000434)</t>
  </si>
  <si>
    <t>SPECTO PAINEIS ELETRONICO LTDA (0000071)</t>
  </si>
  <si>
    <t>SISTRANS SISTEMA DE SIN. DE TRANSITO LTA (0000067)</t>
  </si>
  <si>
    <t>CJS DOS SANTOS GONDOLAS (0000637)</t>
  </si>
  <si>
    <t>PAULO ALEXANDRE BRITA (0001124)</t>
  </si>
  <si>
    <t>RASATRONIC ELETRÔNICA INDUSTRIAL LTDA (0000057)</t>
  </si>
  <si>
    <t>ITA FRIA INDUSTRIA E COMERCIO LTDA (0001151)</t>
  </si>
  <si>
    <t>DGL SOLUÇÕES EM ELETRONICA LTDA (0000564)</t>
  </si>
  <si>
    <t>JOSE MARTINHO DA SILVA (0001154)</t>
  </si>
  <si>
    <t>JOSE FRANCISCO XAVIER (0001152)</t>
  </si>
  <si>
    <t>RAFAEL RODRIGUES GURGEL GOMES (0001149)</t>
  </si>
  <si>
    <t>LUCINEI POSSAMAI (0001150)</t>
  </si>
  <si>
    <t>ANTONIO CARLOS DIAS JUNIOR (0001153)</t>
  </si>
  <si>
    <t>MARCIO REIS PEREIRA DE SOUSA (0001155)</t>
  </si>
  <si>
    <t>WILLIAM SANTOS BEZERRA (0001156)</t>
  </si>
  <si>
    <t>GRANDE TECH COM, IMPORT, E EXPORT, DE CA (0000506)</t>
  </si>
  <si>
    <t>CARINE G RODRIGUES (0000764)</t>
  </si>
  <si>
    <t>MARIO SERGIO TWARDOWSCH (0001159)</t>
  </si>
  <si>
    <t>L.M.K. COMERCIO E SERVICOS TECNOLOGICOS (0001162)</t>
  </si>
  <si>
    <t>LEOPOLDO FERNANDES PASSOS (0001160)</t>
  </si>
  <si>
    <t>ANDERSON SERRANO DE SOUSA (0001157)</t>
  </si>
  <si>
    <t>ZILMAR RIBEIRO DE LIMA (0001161)</t>
  </si>
  <si>
    <t>ROYALCOMP COMPONENTES ELETR. LTDA (0000570)</t>
  </si>
  <si>
    <t>ZENER COMPONENTES ELETRONICOS LTDA - ME (0000142)</t>
  </si>
  <si>
    <t>ELIEZER LOPES BUENO (0001164)</t>
  </si>
  <si>
    <t>POWERFLEET BRASIL LTDA (0000692)</t>
  </si>
  <si>
    <t>EXODO TECNOLOGIA EM SISTEMAS ELETRICOS L (0000851)</t>
  </si>
  <si>
    <t>DUNEXA ENGENHARIA ELETRICA LTDA (0001170)</t>
  </si>
  <si>
    <t>JOSE GERONIMO ALVES DA PAZ (0001169)</t>
  </si>
  <si>
    <t>DARIO GEOVANIO DO NASCIMENTO (0001167)</t>
  </si>
  <si>
    <t>CARLOS CESAR CAIRES (0001168)</t>
  </si>
  <si>
    <t>R.B. DA SILVA AUTOMAÇÕES (0000562)</t>
  </si>
  <si>
    <t>ENGEMED INDUSTRIA E COMERCIO LTDA (0000663)</t>
  </si>
  <si>
    <t>CARLOS HENRIQUE COSTA (0001172)</t>
  </si>
  <si>
    <t>UPSAI SISTEMAS DE ENERGIA LTD (0000485)</t>
  </si>
  <si>
    <t>MARCIO WELLINTON FERREIRA OLIVEIRA (0001176)</t>
  </si>
  <si>
    <t>RENILSON JOSE TEIXEIRA (0001178)</t>
  </si>
  <si>
    <t>BIZMAQ INDUSTRIA DE IMPLEMENTOS AGROFLOR (0001175)</t>
  </si>
  <si>
    <t>FERNANDO DA SILVA SENA (0001173)</t>
  </si>
  <si>
    <t>HERNANI JUNIOR DE CASTRO (0001174)</t>
  </si>
  <si>
    <t>ROGERIO GULARTE ANDREOLI - (0001177)</t>
  </si>
  <si>
    <t>HTR EQUIPAMENTOS ELETRONICOS LTDA (0000268)</t>
  </si>
  <si>
    <t>ANTONIO HOLTZ (0001180)</t>
  </si>
  <si>
    <t>KAIQUE SILVEIRA SAMPAIO (0001182)</t>
  </si>
  <si>
    <t>CARLA NAISA DE OLIVEIRA NEGRAO (0001183)</t>
  </si>
  <si>
    <t>RENATO MENDES MOURAO (0001184)</t>
  </si>
  <si>
    <t>SABRINA SANTIAGO DE MORAES (0001166)</t>
  </si>
  <si>
    <t>NUTRIEX INDUSTRIA DE NUTRACEUTICOS LTDA (0000988)</t>
  </si>
  <si>
    <t>CVF MEDICAL MANUTENCAO EM EQUIPAMENTOS C (0001186)</t>
  </si>
  <si>
    <t>JOSE CARLOS DA SILVA (0001189)</t>
  </si>
  <si>
    <t>OSVALDO GOMES DE SOUSA NETO (0001187)</t>
  </si>
  <si>
    <t>ESDRAS DO NASCIMENTO ANJOS (0001192)</t>
  </si>
  <si>
    <t>SIDNEI DOS SANTOS (0001193)</t>
  </si>
  <si>
    <t>LEO MACIEL DO AMPAR (0001191)</t>
  </si>
  <si>
    <t>ANDERSON LUIZ SILVA DE SOUZA (0001190)</t>
  </si>
  <si>
    <t>ALIGERA EQUIPAMENTOS DIGITAIS LTDA (0000188)</t>
  </si>
  <si>
    <t>MARCELO DIOGO DA SILVA HAYDEN 0419442197 (0001194)</t>
  </si>
  <si>
    <t>EDER SILVA DE OLIVEIRA (0001197)</t>
  </si>
  <si>
    <t>HELIVANDER DE FREITAS LIMA (0001196)</t>
  </si>
  <si>
    <t>MEGAPIX COMPONENTES ELETRONICOS EIRELLI (0000325)</t>
  </si>
  <si>
    <t>R &amp; M COMPONENTES COMERCIAL ELETRONICA L (0000826)</t>
  </si>
  <si>
    <t>LUIZ FERNANDO PAITER (0001202)</t>
  </si>
  <si>
    <t>GUSTAVO CORREA SILVANO (0001198)</t>
  </si>
  <si>
    <t>FERNANDA KARINA DA COSTA (0001199)</t>
  </si>
  <si>
    <t>WASHINGTON LUIZ DA CRUZ (0001205)</t>
  </si>
  <si>
    <t>FELIPE CARLSON ELOY DE ANDRADE (0001204)</t>
  </si>
  <si>
    <t>RUFINA M (0001203)</t>
  </si>
  <si>
    <t>ELESSANDRO DA CUNHA PEREIRA (0001206)</t>
  </si>
  <si>
    <t>DIOGO ROSA SILVEIRA (0001207)</t>
  </si>
  <si>
    <t>REGINALDO DA SILVA LOPE (0001208)</t>
  </si>
  <si>
    <t>MULTICRAFT ELECTRONICS DO BRASIL LTDA (0001209)</t>
  </si>
  <si>
    <t>ACBAL RUCAS ANDRADE ACHY (0001200)</t>
  </si>
  <si>
    <t>WGV SISTEMAS NACIONAIS ELETRO ELETRONICS (0000220)</t>
  </si>
  <si>
    <t>ROBERTO APARECIDO DA SILVA PEDRO (0001217)</t>
  </si>
  <si>
    <t>TOMAS DALLA VALLE (0001221)</t>
  </si>
  <si>
    <t>LEONARDO SOUZA SILVA (0001216)</t>
  </si>
  <si>
    <t>TAULIO FILIPE SOARES DA SILVA (0001219)</t>
  </si>
  <si>
    <t>CICERO ROGERIO FERREIRA (0001215)</t>
  </si>
  <si>
    <t>CINTIA NUNES LEITE (0001214)</t>
  </si>
  <si>
    <t>FATIMA APARECIDA SOARES DOS SANTOS (0001210)</t>
  </si>
  <si>
    <t>M M MARTINS COMERCIAL LTDA (0001211)</t>
  </si>
  <si>
    <t>VALERIA AJAJ KEZAM PEREIRA (0001212)</t>
  </si>
  <si>
    <t>ALVARO TAKANOBU UWADA (0001222)</t>
  </si>
  <si>
    <t>EVALDO LUIS MARSON &amp; CIA LTDA (0001224)</t>
  </si>
  <si>
    <t>SAMUEL ELETROTECNICA (0000041)</t>
  </si>
  <si>
    <t>AC/DC (0000218)</t>
  </si>
  <si>
    <t>CARLOS MARTINS (0001227)</t>
  </si>
  <si>
    <t>MARCIO HIROSHI TSUNO (0001229)</t>
  </si>
  <si>
    <t>LUCIANO ANDRE PINNO (0001226)</t>
  </si>
  <si>
    <t>PATRICIA MARA SILVA DEBIQUE (0001225)</t>
  </si>
  <si>
    <t>IMPROEL - INDUSTRIA E PROJ. ELETRO-ELET (0000118)</t>
  </si>
  <si>
    <t>RAFAEL PERTILE CARNEIRO (0001238)</t>
  </si>
  <si>
    <t>JOSE FRANCINALDO DA SILVA SOUZA (0001235)</t>
  </si>
  <si>
    <t>FRANCISCO SHIMBA OTAKE (0001232)</t>
  </si>
  <si>
    <t>ELOI BANDEIRA JUNIOR (0001234)</t>
  </si>
  <si>
    <t>CARLOS ROBERTO GALBI (0001236)</t>
  </si>
  <si>
    <t>VICTOR BRUNO DIAS DE MELO (0001230)</t>
  </si>
  <si>
    <t>C R D MONTAGEM (0000200)</t>
  </si>
  <si>
    <t>MATHEUS DA MATA DAIBERT DO VAL (0000599)</t>
  </si>
  <si>
    <t>JOSE LUIZ MORENO JUNIOR (0001243)</t>
  </si>
  <si>
    <t>THIAGO HENRIQUE MATSUI CUSTODIO (0001241)</t>
  </si>
  <si>
    <t>NIVALDO DE JESUS DA SILVA (0001242)</t>
  </si>
  <si>
    <t>LUAN DE OLIVEIRA GALLEGO (0001239)</t>
  </si>
  <si>
    <t>CILMARIA BARBOSA DA SILVA (0001245)</t>
  </si>
  <si>
    <t>RENILSON DELARMELINA PEREIRA (0001246)</t>
  </si>
  <si>
    <t>ANTONIO CARLOS DOS SANTOS (0001231)</t>
  </si>
  <si>
    <t>CARLOS ROBERTO RODRIGUES SANCHES (0001247)</t>
  </si>
  <si>
    <t>ANTONIO EDFESON MARQUES RAMOS (0001249)</t>
  </si>
  <si>
    <t>TENISON NAKANO (0000682)</t>
  </si>
  <si>
    <t>LUCAS BOARIM PALUDO (0001248)</t>
  </si>
  <si>
    <t>EDSON SCHROEDER (0001251)</t>
  </si>
  <si>
    <t>WALMAR DE PAULA (0001258)</t>
  </si>
  <si>
    <t>VICTOR LUIZ (0001253)</t>
  </si>
  <si>
    <t>ANDRE KEIGO YOSHIKAWA (0001264)</t>
  </si>
  <si>
    <t>JOSE MARIO DA SILVA JUNIOR (0001256)</t>
  </si>
  <si>
    <t>ASSOCIACAO PORTO MARINA GUARATUBA (0001260)</t>
  </si>
  <si>
    <t>RICARDO VIANA PEREIRA (0001255)</t>
  </si>
  <si>
    <t>GILBERTO MARCOS DE CASTRO (0001257)</t>
  </si>
  <si>
    <t>MARIA PAULA FERNANDES FRANCO MARTIS (0001261)</t>
  </si>
  <si>
    <t>MARTEC MED INDUSTRIA E COMERCIO DE EQUIP (0000788)</t>
  </si>
  <si>
    <t>TEC INSIDE COM. E PROJ. DE EQUIP. ELETR (0000333)</t>
  </si>
  <si>
    <t>JOAO CARLOS IZIDORIO (0001270)</t>
  </si>
  <si>
    <t>VALDIR RODRIGUES FERREIRA (0001269)</t>
  </si>
  <si>
    <t>SISPONTO SISTEMAS INTELIGENTES LTDA (0000066)</t>
  </si>
  <si>
    <t>JOAO RODRIGO FILIPE SILVA (0001272)</t>
  </si>
  <si>
    <t>GESINI INDUSTRIA E COMERCIO LTDA (0001271)</t>
  </si>
  <si>
    <t>INLINE GERENC. EM PROJETOS LTDA (0000441)</t>
  </si>
  <si>
    <t>ALL BATTERY C T DE AZEVEDO LTDA (0001273)</t>
  </si>
  <si>
    <t>ANTONIO SPADIM (0001274)</t>
  </si>
  <si>
    <t>EDUARDO DE FIGUEIREDO GOMES (0001275)</t>
  </si>
  <si>
    <t>ELISEU R (0001276)</t>
  </si>
  <si>
    <t>UBALDINO NUNES ARAGAO (0001278)</t>
  </si>
  <si>
    <t>EDSON BATISTA (0001279)</t>
  </si>
  <si>
    <t>CLG GUINDASTES SERVICO DE TESTES E ANALI (0001280)</t>
  </si>
  <si>
    <t>ADRIANO APARECIDO DE OLIVEIRA CORRE (0001281)</t>
  </si>
  <si>
    <t>NAYRA TALYTA MELO COELHO (0001285)</t>
  </si>
  <si>
    <t>RENTELCK ELETRONICA INDUSTRIAL LTDA (0001282)</t>
  </si>
  <si>
    <t>FABIO SENA DA CRUZ (0001283)</t>
  </si>
  <si>
    <t>LUIZ PEREIRA BALMANT (0001287)</t>
  </si>
  <si>
    <t>DARCI SCHAEFER (0001286)</t>
  </si>
  <si>
    <t>JHR-COMERCIO  DE COMP. ELETRONICOS LTDA (0000131)</t>
  </si>
  <si>
    <t>SIGMA TRANSFORMADORES (0000063)</t>
  </si>
  <si>
    <t>TFCOMP COMERCIO ELETRO ELETRONICOS E INF (0000849)</t>
  </si>
  <si>
    <t>DIEGO PALHARES (0001293)</t>
  </si>
  <si>
    <t>VITOR MAURICIO DOS SANTOS LYRA DE (0001294)</t>
  </si>
  <si>
    <t>GISELE FABIANA NOVAKOSKI 22591430837 (0001291)</t>
  </si>
  <si>
    <t>MERCANTIL UNIAO COMERCIO DE MATERIAIS PA (0001292)</t>
  </si>
  <si>
    <t>NEWTESC TECNOLOGIA E COMERCIO LTDA (0000106)</t>
  </si>
  <si>
    <t>ADRIANO SILVEIRA KRAUTHEIN (0001295)</t>
  </si>
  <si>
    <t>BINDING ENERGY COMERCIO E SERVICOS EIREL (0000489)</t>
  </si>
  <si>
    <t>ANTONIO ROHRBACHER JUNIOR (0001297)</t>
  </si>
  <si>
    <t>CARLOS JORGE DE PAULO (0001298)</t>
  </si>
  <si>
    <t>SUPRIDATA NO-BREAKS (0000499)</t>
  </si>
  <si>
    <t>PSV MATERIAIS ELETRICOS AUTOMACAO E ROBO (0001299)</t>
  </si>
  <si>
    <t>TIPTRONIC INDUSTRIA DE TECNOLOGIA ELETRO (0001289)</t>
  </si>
  <si>
    <t>GENERALTECH SISTEMAS INDUSTRIAIS LTDA (0001301)</t>
  </si>
  <si>
    <t>ANDERSON DONIZETE DE SOUZA (0001300)</t>
  </si>
  <si>
    <t>BRASIL IMPLANTES COMERCIO, IMPORTACAO E (0001302)</t>
  </si>
  <si>
    <t>RAFAEL OLIVEIRA DA MOTA (0001303)</t>
  </si>
  <si>
    <t>ELETRONICA SIMAO EIRELI EPP. (0000576)</t>
  </si>
  <si>
    <t>VITORIA INDUSTRIA ELETRONICA LTDA (0001305)</t>
  </si>
  <si>
    <t>LEANDRO GOMES FERRAZ (0001309)</t>
  </si>
  <si>
    <t>RENAN GABRIEL CORREA DE LI (0001307)</t>
  </si>
  <si>
    <t>SEMI-DIGITAL LTDA (0000450)</t>
  </si>
  <si>
    <t>FABIO CRISTIAN LOBATO FREITAS (0001312)</t>
  </si>
  <si>
    <t>WANDERSON SANTOS FEITOSA (0001311)</t>
  </si>
  <si>
    <t>JAIRO PEREIRA BARBOSA COELHO (0001313)</t>
  </si>
  <si>
    <t>CARLOS RODRIGUES DA COSTA (0001308)</t>
  </si>
  <si>
    <t>PRODUPARK EQUIP. ELETRO. E IMP. LTDA (0000056)</t>
  </si>
  <si>
    <t>GAMA COMERCIO E SERVICOS DE INSTRUMENTOS (0001314)</t>
  </si>
  <si>
    <t>JOELSON ALVES FERREIRA (0001310)</t>
  </si>
  <si>
    <t>INFOLITE TECNOLOGIA EM INFORMACAO (0000540)</t>
  </si>
  <si>
    <t>ANA LUCIA ALEXANDRE ALVINO (0001315)</t>
  </si>
  <si>
    <t>ANTONIO VICENTE DOS SANTOS (0001320)</t>
  </si>
  <si>
    <t>ANDRE VAZ NETO (0001319)</t>
  </si>
  <si>
    <t>ARTHUR MOURA DE SOUZA DE ARRUDA (0001321)</t>
  </si>
  <si>
    <t>DERIEL DIEGO DA SILVA (0001323)</t>
  </si>
  <si>
    <t>RUBEM LEITE BARRETTO JUNIOR (0001325)</t>
  </si>
  <si>
    <t>AVTRON COMPONENTES ELETRONICOS LTDA (0000472)</t>
  </si>
  <si>
    <t>VALEXCELL (0000166)</t>
  </si>
  <si>
    <t>ELVIS REGINALDO DE HOLANDA SANTOS (0001328)</t>
  </si>
  <si>
    <t>DR FAROL OSASCO SERVICOS AUTOMOTIVOS LTD (0001329)</t>
  </si>
  <si>
    <t>CLIP INDUSTRIA IMPORTACAO E EXPORTACAO L (0001330)</t>
  </si>
  <si>
    <t>PEDRO HENRIQUE DA MATA (0001332)</t>
  </si>
  <si>
    <t>GERALDO ROCHA RIBEIRO (0001334)</t>
  </si>
  <si>
    <t>HUDSON FERNANDES BARBOSA (0001335)</t>
  </si>
  <si>
    <t>VICENTE JOAO OLIVERIO JUNIOR LTDA (0001336)</t>
  </si>
  <si>
    <t>HUMBERTO BECK (0001339)</t>
  </si>
  <si>
    <t>TRIAL ELETRONICA INDUSTRIAL (0000309)</t>
  </si>
  <si>
    <t>AGENOR ZAMPIER (0001337)</t>
  </si>
  <si>
    <t>ACCURACY EQUIPAMENTOS DE AUTOMACAO INDUS (0001340)</t>
  </si>
  <si>
    <t>CUSTOM AMPS HAND BUILD (0000392)</t>
  </si>
  <si>
    <t>MARCIO HIROSHI TSUNO PECAS ACESSORIOS E (0001341)</t>
  </si>
  <si>
    <t>HCM MALTA INDUSTRIA DE BRINQUEDOS (0000181)</t>
  </si>
  <si>
    <t>EDMILSON DA COSTA NUNES (0001343)</t>
  </si>
  <si>
    <t>ADB SERVICOS INDUSTRIAIS LTDA (0001345)</t>
  </si>
  <si>
    <t>MS ELETRONICA INDUSTRIA E COMERCIO LTDA (0000528)</t>
  </si>
  <si>
    <t>ELIO ULLIAM CALDAS (0001346)</t>
  </si>
  <si>
    <t>Empresa</t>
  </si>
  <si>
    <t>Mês Previsto</t>
  </si>
  <si>
    <t>Valor Previsto</t>
  </si>
  <si>
    <t>Status</t>
  </si>
  <si>
    <t>I10</t>
  </si>
  <si>
    <t>SIMENTOR / MAX LED (0000445)</t>
  </si>
  <si>
    <t>MAIO</t>
  </si>
  <si>
    <t>LS COMPONENTES ELETRONICOS LTDA (0000197)</t>
  </si>
  <si>
    <t>maio</t>
  </si>
  <si>
    <t>IOF NEGATIVO</t>
  </si>
  <si>
    <t>ZÉ MARIA</t>
  </si>
  <si>
    <t>LEO</t>
  </si>
  <si>
    <t>ADRIANA BOLO</t>
  </si>
  <si>
    <t>PARCELA GIRO</t>
  </si>
  <si>
    <t>MARIA ROCHA</t>
  </si>
  <si>
    <t>ADRIELE COMISSÃO</t>
  </si>
  <si>
    <t>SERVIÇOS</t>
  </si>
  <si>
    <t>M MARTINS</t>
  </si>
  <si>
    <t>Max(bruno)</t>
  </si>
  <si>
    <t>I11</t>
  </si>
  <si>
    <t>CENTRAL ELETRONICA (0000215)</t>
  </si>
  <si>
    <t>JCL ELETRONICA INDUSTRIAL EIRELE -ME (0001288)</t>
  </si>
  <si>
    <t>CR ENERGIA E INFORMATICA LTDA (0001356)</t>
  </si>
  <si>
    <t>TAP ELETRO SISTEMAS LTDA. (0000202)</t>
  </si>
  <si>
    <t>UNYLYNER SERVICE COMERCIO E SERVICOS EII (0000261)</t>
  </si>
  <si>
    <t>MARTINS MARTINS SERVICOS ASSOCIADOS LTDA (0001381)</t>
  </si>
  <si>
    <t>ARIELTEK</t>
  </si>
  <si>
    <t>GISLANE</t>
  </si>
  <si>
    <t>12577 12608</t>
  </si>
  <si>
    <t>TIPTRONIC INDUSTRIA DE TECNOLOGIA ELETRO - 0001289</t>
  </si>
  <si>
    <t>12509/01</t>
  </si>
  <si>
    <t>12436/01</t>
  </si>
  <si>
    <t>ELETRONICA SIMAO EIRELI EPP. - 0000576</t>
  </si>
  <si>
    <t>12429/01</t>
  </si>
  <si>
    <t>12428/01</t>
  </si>
  <si>
    <t>12424/01</t>
  </si>
  <si>
    <t>VITORIA INDUSTRIA ELETRONICA LTDA - 0001305</t>
  </si>
  <si>
    <t>12432/01</t>
  </si>
  <si>
    <t>12398/02</t>
  </si>
  <si>
    <t>12358/02</t>
  </si>
  <si>
    <t>12348/02</t>
  </si>
  <si>
    <t>12341/02</t>
  </si>
  <si>
    <t xml:space="preserve">PROVOLT </t>
  </si>
  <si>
    <t>12262/03</t>
  </si>
  <si>
    <t>12445/01</t>
  </si>
  <si>
    <t>12458/01</t>
  </si>
  <si>
    <t>12412/02</t>
  </si>
  <si>
    <t>12437/01</t>
  </si>
  <si>
    <t>12443/01</t>
  </si>
  <si>
    <t>12444/01</t>
  </si>
  <si>
    <t>12492/01</t>
  </si>
  <si>
    <t>12492/02</t>
  </si>
  <si>
    <t>12541/01</t>
  </si>
  <si>
    <t>12429/02</t>
  </si>
  <si>
    <t>12454/01</t>
  </si>
  <si>
    <t>12460/01</t>
  </si>
  <si>
    <t>VALEXCELL</t>
  </si>
  <si>
    <t>CENTRAL= MLG</t>
  </si>
  <si>
    <t>12450 / 12451</t>
  </si>
  <si>
    <t>NEW-TEC</t>
  </si>
  <si>
    <t>12654 / 12565</t>
  </si>
  <si>
    <t>TELEXTRONICA</t>
  </si>
  <si>
    <t>12584 E 822</t>
  </si>
  <si>
    <t>12462/01</t>
  </si>
  <si>
    <t>12461/01</t>
  </si>
  <si>
    <t>12427/02</t>
  </si>
  <si>
    <t>12430/02</t>
  </si>
  <si>
    <t>12385/03</t>
  </si>
  <si>
    <t>12289/02</t>
  </si>
  <si>
    <t>ELETROFELIX INDUSTRIA E COMERC</t>
  </si>
  <si>
    <t>12353/02</t>
  </si>
  <si>
    <t>12398/03</t>
  </si>
  <si>
    <t>12448/01</t>
  </si>
  <si>
    <t>12457/01</t>
  </si>
  <si>
    <t>INFOLITE TECNOLOGIA EM INFORMACAO - 0000540</t>
  </si>
  <si>
    <t>12464/01</t>
  </si>
  <si>
    <t>12466/01</t>
  </si>
  <si>
    <t>12470/01</t>
  </si>
  <si>
    <t>12289/03</t>
  </si>
  <si>
    <t>12387/02</t>
  </si>
  <si>
    <t>12390/02</t>
  </si>
  <si>
    <t>12402/02</t>
  </si>
  <si>
    <t>12465/01</t>
  </si>
  <si>
    <t>12486/01</t>
  </si>
  <si>
    <t>CLIP INDUSTRIA IMP</t>
  </si>
  <si>
    <t>12510/01</t>
  </si>
  <si>
    <t>CRISTOFOLI EQUIP.</t>
  </si>
  <si>
    <t>12484/01</t>
  </si>
  <si>
    <t xml:space="preserve">JOELSON ALVES </t>
  </si>
  <si>
    <t>12463/01</t>
  </si>
  <si>
    <t>SOLSUSTENTAVEL PROD.</t>
  </si>
  <si>
    <t>12445/02</t>
  </si>
  <si>
    <t>EVOLUTEC INDUSTRIA</t>
  </si>
  <si>
    <t>12305/02</t>
  </si>
  <si>
    <t>12487/01</t>
  </si>
  <si>
    <t>12488/01</t>
  </si>
  <si>
    <t>12485/01</t>
  </si>
  <si>
    <t>BIQUAD TECNOLOGIA</t>
  </si>
  <si>
    <t>12490/01</t>
  </si>
  <si>
    <t>12452/01</t>
  </si>
  <si>
    <t>12453/01</t>
  </si>
  <si>
    <t>12460/02</t>
  </si>
  <si>
    <t>12477/01</t>
  </si>
  <si>
    <t>12489/01</t>
  </si>
  <si>
    <t>12492/03</t>
  </si>
  <si>
    <t>12493/01</t>
  </si>
  <si>
    <t>12494/01</t>
  </si>
  <si>
    <t>12495/01</t>
  </si>
  <si>
    <t>12500/01</t>
  </si>
  <si>
    <t>12385/04</t>
  </si>
  <si>
    <t>BINDING ENERGY COMERCIO E SERVICOS EIREL - 0000489</t>
  </si>
  <si>
    <t>12407/02</t>
  </si>
  <si>
    <t>12430/03</t>
  </si>
  <si>
    <t>VALEXCELL - 0000166</t>
  </si>
  <si>
    <t>12502/01</t>
  </si>
  <si>
    <t>12503/01</t>
  </si>
  <si>
    <t>12506/01</t>
  </si>
  <si>
    <t>12513/01</t>
  </si>
  <si>
    <t>12566/01</t>
  </si>
  <si>
    <t>12330/03</t>
  </si>
  <si>
    <t>12334/03</t>
  </si>
  <si>
    <t>RYON MAQUINAS LTDA - 0000662</t>
  </si>
  <si>
    <t>12414/02</t>
  </si>
  <si>
    <t>12464/02</t>
  </si>
  <si>
    <t>HIGHZ VALE INDUSTRIA ELETRONICA LTDA - 0000526</t>
  </si>
  <si>
    <t>12514/01</t>
  </si>
  <si>
    <t>AVTRON COMPONENTES ELETRONICOS LTDA - 0000472</t>
  </si>
  <si>
    <t>12499/01</t>
  </si>
  <si>
    <t>12404/02</t>
  </si>
  <si>
    <t xml:space="preserve">ROYAL </t>
  </si>
  <si>
    <t>12515/01</t>
  </si>
  <si>
    <t>12501/01</t>
  </si>
  <si>
    <t>12428/02</t>
  </si>
  <si>
    <t>12424/02</t>
  </si>
  <si>
    <t>12507/01</t>
  </si>
  <si>
    <t>12496/01</t>
  </si>
  <si>
    <t>12353/03</t>
  </si>
  <si>
    <t>12348/03</t>
  </si>
  <si>
    <t>12358/03</t>
  </si>
  <si>
    <t>12445/03</t>
  </si>
  <si>
    <t>12523/01</t>
  </si>
  <si>
    <t>DATAPOOL</t>
  </si>
  <si>
    <t>12262/04</t>
  </si>
  <si>
    <t>12493/02</t>
  </si>
  <si>
    <t>12494/02</t>
  </si>
  <si>
    <t>TRIAL</t>
  </si>
  <si>
    <t>PROMAX</t>
  </si>
  <si>
    <t>HCM</t>
  </si>
  <si>
    <t>12539/01</t>
  </si>
  <si>
    <t>12538/01</t>
  </si>
  <si>
    <t>12488/02</t>
  </si>
  <si>
    <t>12465/02</t>
  </si>
  <si>
    <t>Energy</t>
  </si>
  <si>
    <t>12555/01</t>
  </si>
  <si>
    <t>12551/01</t>
  </si>
  <si>
    <t>12488/03</t>
  </si>
  <si>
    <t>12546/01</t>
  </si>
  <si>
    <t>12507/02</t>
  </si>
  <si>
    <t>12390/03</t>
  </si>
  <si>
    <t>12166/03</t>
  </si>
  <si>
    <t>12559/01</t>
  </si>
  <si>
    <t>12558/01</t>
  </si>
  <si>
    <t>12557/01</t>
  </si>
  <si>
    <t>12550/01</t>
  </si>
  <si>
    <t>12540/01</t>
  </si>
  <si>
    <t>12494/03</t>
  </si>
  <si>
    <t>12493/03</t>
  </si>
  <si>
    <t>12567/01</t>
  </si>
  <si>
    <t>12560/01</t>
  </si>
  <si>
    <t>12556/01</t>
  </si>
  <si>
    <t>12554/01</t>
  </si>
  <si>
    <t>12553/01</t>
  </si>
  <si>
    <t>12542/01</t>
  </si>
  <si>
    <t>12506/03</t>
  </si>
  <si>
    <t>BALMARC SOLUCOES EIRELI</t>
  </si>
  <si>
    <t>PSV</t>
  </si>
  <si>
    <t>TAXA MENSAL</t>
  </si>
  <si>
    <t>CONSORCIO</t>
  </si>
  <si>
    <t>CASTROPIL</t>
  </si>
  <si>
    <t>INSUMOS</t>
  </si>
  <si>
    <t>IOF</t>
  </si>
  <si>
    <t>EMPRESA BRASILEIRA DE CORREIOS</t>
  </si>
  <si>
    <t>PROSPERCLOUD - SISTEMA</t>
  </si>
  <si>
    <t>PROSPERCLOUD  SISTEMA</t>
  </si>
  <si>
    <t>GEO ELETRON S LTDA</t>
  </si>
  <si>
    <t>PROD ELETRONICOS METALTEX LTDA</t>
  </si>
  <si>
    <t>MATHEUS S</t>
  </si>
  <si>
    <t xml:space="preserve">MATHEUS ROCHA </t>
  </si>
  <si>
    <t>OHMEGA</t>
  </si>
  <si>
    <t xml:space="preserve">PORTO SEGURO </t>
  </si>
  <si>
    <t>JOMACLER IND</t>
  </si>
  <si>
    <t>PLUXEE BENEF</t>
  </si>
  <si>
    <t>DISTRIBUIDORA Castropil</t>
  </si>
  <si>
    <t>COMP TOTAL COM</t>
  </si>
  <si>
    <t>SINDICATO DOS COM</t>
  </si>
  <si>
    <t>BING COMERCIO </t>
  </si>
  <si>
    <t>LIMACOM</t>
  </si>
  <si>
    <t>ETHERIC LIGTH</t>
  </si>
  <si>
    <t>TRYNIT-CREDERE</t>
  </si>
  <si>
    <t>FILLCRIL</t>
  </si>
  <si>
    <t>DIGICOMP</t>
  </si>
  <si>
    <t>PROELETRONICA</t>
  </si>
  <si>
    <t>FERA COMP</t>
  </si>
  <si>
    <t>CIRCUITRONIX</t>
  </si>
  <si>
    <t>DV TECNOLOGIA</t>
  </si>
  <si>
    <t>IMPLASTEC PLASTICOS TECNICOS E LUBRIFICA (0000308)</t>
  </si>
  <si>
    <t>ETHERIC LIGHT COMERCIO DE MATERIAIS ELET (0000300)</t>
  </si>
  <si>
    <t>FAST COMP COMERCIAL ELETRONICA LTDA. (0000215)</t>
  </si>
  <si>
    <t>BING COMERCIO DE COMPONENTES ELETRONICOS (0000177)</t>
  </si>
  <si>
    <t>ORIELEC  COM. IMP. COMP. ELETRONICOS LTD (0000257)</t>
  </si>
  <si>
    <t>ERICA FEITOSA DOS ANJOS, 378 (C) (0001114)</t>
  </si>
  <si>
    <t>EDMILSON DA COSTA NUNES (C) (0001343)</t>
  </si>
  <si>
    <t>DISTER DISTRIBUIDORA ELETRICA LTDA (0000446)</t>
  </si>
  <si>
    <t>TOTALITY COMERCIO TECNICO EM SEMICONDUTO (0000316)</t>
  </si>
  <si>
    <t>INOVE TECNOLOGIA E DIVERSOS LTDA (0000448)</t>
  </si>
  <si>
    <t>AIB COMERCIAL IMPORTACAO E EXPORTACAO (0000395)</t>
  </si>
  <si>
    <t>DMAX COMPONENTES ELETRONICOS LTDA (0000451)</t>
  </si>
  <si>
    <t>GG INDUSTRIA DE EQUIPAMENTOS MEDICOS LA (0000592)</t>
  </si>
  <si>
    <t>VALEXCELL INDUSTRIA E COMERCIO ELETRO (0000166)</t>
  </si>
  <si>
    <t>DENILSON APARECIDO BATISTA (0001352)</t>
  </si>
  <si>
    <t>GIOVANNA NASCIMENTO GIMENEZ MORA (0001353)</t>
  </si>
  <si>
    <t>RQS SERVICOS DE MANUTENCAO INDUSTRIAL LT (0001357)</t>
  </si>
  <si>
    <t>PRIMUS IMPORT COMERCIO DE IMPORTADOS (0000048)</t>
  </si>
  <si>
    <t>SEC POWER PAINEIS ELETRICOS LTDA (0001355)</t>
  </si>
  <si>
    <t>NATAN CARVALHO CARVALHO (0001359)</t>
  </si>
  <si>
    <t>IGOR MARINHO CAVALCANTE (0001358)</t>
  </si>
  <si>
    <t>ROSELI SANTINA CERQUEIRA DE CAMARGO (0001360)</t>
  </si>
  <si>
    <t>FAST COMP COMERCIAL ELETRONICA LTDA (0000569)</t>
  </si>
  <si>
    <t>DATAPOOL ELETRONICA LTDA - EPP (0000038)</t>
  </si>
  <si>
    <t>ARSTA (0000095)</t>
  </si>
  <si>
    <t>RASATRONIC ELETRONICA INDUSTRIAL LTDA (0000057)</t>
  </si>
  <si>
    <t>EDWIN MAURICIO LOBOSCHI (0001364)</t>
  </si>
  <si>
    <t>WEVERSON FERNANDO BRAGANCA CARDOSO (0001362)</t>
  </si>
  <si>
    <t>LUIZ CLAUDIO MARTINES (0001365)</t>
  </si>
  <si>
    <t>DGL SOLUCOES EM ELETRONICA LTDA (0000564)</t>
  </si>
  <si>
    <t>JRC COMERCIO E SERVICOS ELETRO ELETRONIC (0001366)</t>
  </si>
  <si>
    <t>HERBERT LUIZ PESSOA (0001367)</t>
  </si>
  <si>
    <t>PROSPER-CARMON CONTROLES ELETRONICOS LTD (0001324)</t>
  </si>
  <si>
    <t>JOSÉ ALVES DE OLIVEIRA (0001369)</t>
  </si>
  <si>
    <t>CLEYTON RAMOS NOGUEIRA (0001370)</t>
  </si>
  <si>
    <t>THIAGO UDO RIBEIRO HENGSTMANN (0001374)</t>
  </si>
  <si>
    <t>ENERGYSPOT LTDA (0001371)</t>
  </si>
  <si>
    <t>ROSANA SALVATERRA CURSI (0001376)</t>
  </si>
  <si>
    <t>MERCANTIL UNIAO COMERCIO DE MATERIAIS PA (0001378)</t>
  </si>
  <si>
    <t>ATUAL EQUIPAMENTOS DE SOLDAS LTDA (0001377)</t>
  </si>
  <si>
    <t>PROMAX PRODUTOS MAXIMOS S A INDUSTRIA E (0001368)</t>
  </si>
  <si>
    <t>LEONILDO GUALDI (0001380)</t>
  </si>
  <si>
    <t>EDUARDO APARECIDO DA SILVA (0001379)</t>
  </si>
  <si>
    <t>PLANO DE SAÚDE</t>
  </si>
  <si>
    <t xml:space="preserve">PLANO DE SAÚDE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</si>
</sst>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 &quot;[$R$-416]&quot; &quot;* #,##0.00&quot; &quot;;&quot;-&quot;[$R$-416]&quot; &quot;* #,##0.00&quot; &quot;;&quot; &quot;[$R$-416]&quot; &quot;* &quot;-&quot;#&quot; &quot;;&quot; &quot;@&quot; &quot;"/>
    <numFmt numFmtId="165" formatCode="&quot; &quot;[$R$-416]&quot; &quot;#,##0.00&quot; &quot;;&quot;-&quot;[$R$-416]&quot; &quot;#,##0.00&quot; &quot;;&quot; &quot;[$R$-416]&quot; -&quot;00&quot; &quot;;&quot; &quot;@&quot; &quot;"/>
    <numFmt numFmtId="166" formatCode="#,##0.00;[Red]&quot;(&quot;#,##0.00&quot;)&quot;;"/>
    <numFmt numFmtId="167" formatCode="_-[$R$-416]\ * #,##0.00_-;\-[$R$-416]\ * #,##0.00_-;_-[$R$-416]\ * &quot;-&quot;??_-;_-@_-"/>
    <numFmt numFmtId="168" formatCode="&quot;R$&quot;\ #,##0.00"/>
  </numFmts>
  <fonts count="7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464646"/>
      <name val="Aptos Narrow"/>
      <family val="2"/>
    </font>
    <font>
      <sz val="11"/>
      <color rgb="FF231D19"/>
      <name val="Aptos Narrow"/>
      <family val="2"/>
    </font>
    <font>
      <sz val="11"/>
      <color rgb="FF56504C"/>
      <name val="Aptos Narrow"/>
      <family val="2"/>
    </font>
    <font>
      <sz val="11"/>
      <color rgb="FF333333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9C0006"/>
      <name val="Aptos Narrow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0"/>
      <color rgb="FF000000"/>
      <name val="Calibri"/>
      <family val="2"/>
    </font>
    <font>
      <sz val="11"/>
      <color rgb="FF3F3F76"/>
      <name val="Calibri"/>
      <family val="2"/>
      <scheme val="minor"/>
    </font>
    <font>
      <sz val="10"/>
      <color rgb="FF3F3F76"/>
      <name val="Calibri"/>
      <family val="2"/>
      <scheme val="minor"/>
    </font>
    <font>
      <sz val="11"/>
      <color rgb="FF46464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31D19"/>
      <name val="Calibri"/>
      <family val="2"/>
      <scheme val="minor"/>
    </font>
    <font>
      <sz val="9"/>
      <color rgb="FF333333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56504C"/>
      <name val="Calibri"/>
      <family val="2"/>
      <scheme val="minor"/>
    </font>
    <font>
      <sz val="11"/>
      <color rgb="FF56504C"/>
      <name val="Inherit"/>
    </font>
    <font>
      <sz val="11"/>
      <color rgb="FF231D19"/>
      <name val="Inherit"/>
    </font>
    <font>
      <sz val="9"/>
      <color rgb="FF000000"/>
      <name val="Inherit"/>
    </font>
    <font>
      <sz val="11"/>
      <color rgb="FF000000"/>
      <name val="Inherit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"/>
      <family val="2"/>
    </font>
    <font>
      <sz val="14"/>
      <color theme="5" tint="-0.249977111117893"/>
      <name val="Calibri"/>
      <family val="2"/>
      <scheme val="minor"/>
    </font>
    <font>
      <sz val="11"/>
      <color theme="0"/>
      <name val="Consolas"/>
      <family val="3"/>
    </font>
    <font>
      <sz val="36"/>
      <color theme="1"/>
      <name val="Bell MT"/>
      <family val="1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1"/>
      <name val="Calibri"/>
      <family val="2"/>
      <scheme val="minor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sz val="9"/>
      <color rgb="FF464646"/>
      <name val="Inherit"/>
    </font>
    <font>
      <sz val="12"/>
      <color rgb="FF464646"/>
      <name val="Inherit"/>
    </font>
    <font>
      <sz val="12"/>
      <color rgb="FF000000"/>
      <name val="Inherit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333333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AF7F5"/>
        <bgColor rgb="FFFAF7F5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</patternFill>
    </fill>
    <fill>
      <patternFill patternType="solid">
        <fgColor rgb="FFEFE9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7F5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AF7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FE9E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rgb="FF000000"/>
      </patternFill>
    </fill>
  </fills>
  <borders count="1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/>
      </bottom>
      <diagonal/>
    </border>
    <border>
      <left/>
      <right style="thin">
        <color theme="0" tint="-0.249977111117893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/>
      <diagonal/>
    </border>
    <border>
      <left style="thin">
        <color theme="0" tint="-0.249977111117893"/>
      </left>
      <right/>
      <top style="thin">
        <color theme="0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6D0CC"/>
      </left>
      <right style="medium">
        <color rgb="FFD6D0CC"/>
      </right>
      <top style="medium">
        <color rgb="FFD6D0CC"/>
      </top>
      <bottom style="medium">
        <color rgb="FFD6D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D6D0CC"/>
      </left>
      <right style="medium">
        <color rgb="FFD6D0CC"/>
      </right>
      <top/>
      <bottom style="medium">
        <color rgb="FFD6D0CC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B8B8B8"/>
      </right>
      <top/>
      <bottom/>
      <diagonal/>
    </border>
    <border>
      <left/>
      <right/>
      <top/>
      <bottom style="medium">
        <color rgb="FFD6D0CC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0"/>
      </right>
      <top style="thin">
        <color theme="0"/>
      </top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 style="thin">
        <color theme="0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/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0"/>
      </right>
      <top/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0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 style="thin">
        <color theme="0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0"/>
      </left>
      <right style="thin">
        <color theme="5" tint="-0.249977111117893"/>
      </right>
      <top style="thin">
        <color theme="0"/>
      </top>
      <bottom style="thin">
        <color theme="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0"/>
      </top>
      <bottom/>
      <diagonal/>
    </border>
    <border>
      <left style="thin">
        <color rgb="FFC00000"/>
      </left>
      <right style="thin">
        <color theme="0"/>
      </right>
      <top style="thin">
        <color rgb="FFC00000"/>
      </top>
      <bottom/>
      <diagonal/>
    </border>
    <border>
      <left style="thin">
        <color theme="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theme="5" tint="-0.249977111117893"/>
      </top>
      <bottom style="thin">
        <color theme="0"/>
      </bottom>
      <diagonal/>
    </border>
    <border>
      <left style="thin">
        <color rgb="FFC00000"/>
      </left>
      <right style="thin">
        <color theme="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 style="thin">
        <color theme="0"/>
      </top>
      <bottom style="thin">
        <color rgb="FFC00000"/>
      </bottom>
      <diagonal/>
    </border>
    <border>
      <left/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0"/>
      </right>
      <top style="thin">
        <color theme="5" tint="-0.249977111117893"/>
      </top>
      <bottom/>
      <diagonal/>
    </border>
    <border>
      <left style="thin">
        <color theme="0"/>
      </left>
      <right/>
      <top style="thin">
        <color theme="5" tint="-0.249977111117893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 style="thin">
        <color theme="5" tint="-0.249977111117893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77111117893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medium">
        <color rgb="FF000000"/>
      </top>
      <bottom/>
      <diagonal/>
    </border>
    <border>
      <left style="thin">
        <color theme="5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51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20" fillId="33" borderId="0" applyNumberFormat="0" applyBorder="0" applyAlignment="0" applyProtection="0"/>
    <xf numFmtId="0" fontId="17" fillId="32" borderId="1" applyNumberFormat="0" applyAlignment="0" applyProtection="0"/>
    <xf numFmtId="0" fontId="21" fillId="30" borderId="2" applyNumberFormat="0" applyAlignment="0" applyProtection="0"/>
    <xf numFmtId="0" fontId="14" fillId="30" borderId="1" applyNumberFormat="0" applyAlignment="0" applyProtection="0"/>
    <xf numFmtId="0" fontId="16" fillId="0" borderId="3" applyNumberFormat="0" applyFill="0" applyAlignment="0" applyProtection="0"/>
    <xf numFmtId="0" fontId="15" fillId="31" borderId="4" applyNumberFormat="0" applyAlignment="0" applyProtection="0"/>
    <xf numFmtId="0" fontId="26" fillId="0" borderId="0" applyNumberFormat="0" applyFill="0" applyBorder="0" applyAlignment="0" applyProtection="0"/>
    <xf numFmtId="0" fontId="5" fillId="35" borderId="5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5" fillId="11" borderId="0" applyNumberFormat="0" applyFont="0" applyBorder="0" applyAlignment="0" applyProtection="0"/>
    <xf numFmtId="0" fontId="5" fillId="17" borderId="0" applyNumberFormat="0" applyFont="0" applyBorder="0" applyAlignment="0" applyProtection="0"/>
    <xf numFmtId="0" fontId="12" fillId="23" borderId="0" applyNumberFormat="0" applyBorder="0" applyAlignment="0" applyProtection="0"/>
    <xf numFmtId="0" fontId="12" fillId="6" borderId="0" applyNumberFormat="0" applyBorder="0" applyAlignment="0" applyProtection="0"/>
    <xf numFmtId="0" fontId="5" fillId="12" borderId="0" applyNumberFormat="0" applyFont="0" applyBorder="0" applyAlignment="0" applyProtection="0"/>
    <xf numFmtId="0" fontId="5" fillId="18" borderId="0" applyNumberFormat="0" applyFont="0" applyBorder="0" applyAlignment="0" applyProtection="0"/>
    <xf numFmtId="0" fontId="12" fillId="24" borderId="0" applyNumberFormat="0" applyBorder="0" applyAlignment="0" applyProtection="0"/>
    <xf numFmtId="0" fontId="12" fillId="7" borderId="0" applyNumberFormat="0" applyBorder="0" applyAlignment="0" applyProtection="0"/>
    <xf numFmtId="0" fontId="5" fillId="13" borderId="0" applyNumberFormat="0" applyFont="0" applyBorder="0" applyAlignment="0" applyProtection="0"/>
    <xf numFmtId="0" fontId="5" fillId="19" borderId="0" applyNumberFormat="0" applyFont="0" applyBorder="0" applyAlignment="0" applyProtection="0"/>
    <xf numFmtId="0" fontId="12" fillId="25" borderId="0" applyNumberFormat="0" applyBorder="0" applyAlignment="0" applyProtection="0"/>
    <xf numFmtId="0" fontId="12" fillId="8" borderId="0" applyNumberFormat="0" applyBorder="0" applyAlignment="0" applyProtection="0"/>
    <xf numFmtId="0" fontId="5" fillId="14" borderId="0" applyNumberFormat="0" applyFont="0" applyBorder="0" applyAlignment="0" applyProtection="0"/>
    <xf numFmtId="0" fontId="5" fillId="20" borderId="0" applyNumberFormat="0" applyFont="0" applyBorder="0" applyAlignment="0" applyProtection="0"/>
    <xf numFmtId="0" fontId="12" fillId="26" borderId="0" applyNumberFormat="0" applyBorder="0" applyAlignment="0" applyProtection="0"/>
    <xf numFmtId="0" fontId="12" fillId="9" borderId="0" applyNumberFormat="0" applyBorder="0" applyAlignment="0" applyProtection="0"/>
    <xf numFmtId="0" fontId="5" fillId="15" borderId="0" applyNumberFormat="0" applyFont="0" applyBorder="0" applyAlignment="0" applyProtection="0"/>
    <xf numFmtId="0" fontId="5" fillId="21" borderId="0" applyNumberFormat="0" applyFont="0" applyBorder="0" applyAlignment="0" applyProtection="0"/>
    <xf numFmtId="0" fontId="12" fillId="27" borderId="0" applyNumberFormat="0" applyBorder="0" applyAlignment="0" applyProtection="0"/>
    <xf numFmtId="0" fontId="12" fillId="10" borderId="0" applyNumberFormat="0" applyBorder="0" applyAlignment="0" applyProtection="0"/>
    <xf numFmtId="0" fontId="5" fillId="16" borderId="0" applyNumberFormat="0" applyFont="0" applyBorder="0" applyAlignment="0" applyProtection="0"/>
    <xf numFmtId="0" fontId="5" fillId="22" borderId="0" applyNumberFormat="0" applyFont="0" applyBorder="0" applyAlignment="0" applyProtection="0"/>
    <xf numFmtId="0" fontId="12" fillId="28" borderId="0" applyNumberFormat="0" applyBorder="0" applyAlignment="0" applyProtection="0"/>
    <xf numFmtId="0" fontId="18" fillId="33" borderId="0" applyNumberFormat="0" applyBorder="0" applyAlignment="0" applyProtection="0"/>
    <xf numFmtId="0" fontId="19" fillId="34" borderId="0" applyNumberFormat="0" applyBorder="0" applyAlignment="0" applyProtection="0"/>
    <xf numFmtId="0" fontId="31" fillId="44" borderId="1" applyNumberFormat="0" applyAlignment="0" applyProtection="0"/>
    <xf numFmtId="0" fontId="2" fillId="0" borderId="0"/>
    <xf numFmtId="44" fontId="2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688">
    <xf numFmtId="0" fontId="0" fillId="0" borderId="0" xfId="0"/>
    <xf numFmtId="0" fontId="1" fillId="0" borderId="0" xfId="0" applyFont="1"/>
    <xf numFmtId="14" fontId="6" fillId="2" borderId="6" xfId="3" applyNumberFormat="1" applyFont="1" applyFill="1" applyBorder="1" applyAlignment="1">
      <alignment horizontal="left" vertical="center" wrapText="1"/>
    </xf>
    <xf numFmtId="0" fontId="5" fillId="0" borderId="6" xfId="3" applyBorder="1"/>
    <xf numFmtId="1" fontId="5" fillId="0" borderId="6" xfId="3" applyNumberFormat="1" applyBorder="1" applyAlignment="1">
      <alignment horizontal="left"/>
    </xf>
    <xf numFmtId="164" fontId="5" fillId="0" borderId="6" xfId="3" applyNumberFormat="1" applyBorder="1"/>
    <xf numFmtId="0" fontId="5" fillId="0" borderId="6" xfId="3" applyBorder="1" applyAlignment="1">
      <alignment horizontal="left"/>
    </xf>
    <xf numFmtId="0" fontId="5" fillId="3" borderId="6" xfId="3" applyFill="1" applyBorder="1" applyAlignment="1">
      <alignment vertical="center"/>
    </xf>
    <xf numFmtId="0" fontId="5" fillId="3" borderId="6" xfId="3" applyFill="1" applyBorder="1" applyAlignment="1">
      <alignment horizontal="left" vertical="center" wrapText="1"/>
    </xf>
    <xf numFmtId="0" fontId="5" fillId="4" borderId="6" xfId="3" applyFill="1" applyBorder="1" applyAlignment="1">
      <alignment vertical="center"/>
    </xf>
    <xf numFmtId="0" fontId="5" fillId="4" borderId="6" xfId="3" applyFill="1" applyBorder="1" applyAlignment="1">
      <alignment horizontal="left" vertical="center" wrapText="1"/>
    </xf>
    <xf numFmtId="14" fontId="5" fillId="2" borderId="6" xfId="3" applyNumberFormat="1" applyFill="1" applyBorder="1" applyAlignment="1">
      <alignment horizontal="left" vertical="center" wrapText="1"/>
    </xf>
    <xf numFmtId="0" fontId="7" fillId="4" borderId="6" xfId="3" applyFont="1" applyFill="1" applyBorder="1" applyAlignment="1">
      <alignment vertical="center"/>
    </xf>
    <xf numFmtId="0" fontId="7" fillId="4" borderId="6" xfId="3" applyFont="1" applyFill="1" applyBorder="1" applyAlignment="1">
      <alignment horizontal="left" vertical="center" wrapText="1"/>
    </xf>
    <xf numFmtId="0" fontId="8" fillId="3" borderId="6" xfId="3" applyFont="1" applyFill="1" applyBorder="1" applyAlignment="1">
      <alignment vertical="center"/>
    </xf>
    <xf numFmtId="0" fontId="8" fillId="3" borderId="6" xfId="3" applyFont="1" applyFill="1" applyBorder="1" applyAlignment="1">
      <alignment horizontal="left" vertical="center" wrapText="1"/>
    </xf>
    <xf numFmtId="0" fontId="5" fillId="0" borderId="6" xfId="3" applyBorder="1" applyAlignment="1">
      <alignment horizontal="right"/>
    </xf>
    <xf numFmtId="164" fontId="5" fillId="0" borderId="6" xfId="3" applyNumberFormat="1" applyBorder="1" applyAlignment="1">
      <alignment horizontal="right"/>
    </xf>
    <xf numFmtId="0" fontId="9" fillId="3" borderId="6" xfId="3" applyFont="1" applyFill="1" applyBorder="1" applyAlignment="1">
      <alignment vertical="top" wrapText="1"/>
    </xf>
    <xf numFmtId="0" fontId="9" fillId="3" borderId="6" xfId="3" applyFont="1" applyFill="1" applyBorder="1" applyAlignment="1">
      <alignment horizontal="right" vertical="top" wrapText="1"/>
    </xf>
    <xf numFmtId="164" fontId="9" fillId="3" borderId="6" xfId="3" applyNumberFormat="1" applyFont="1" applyFill="1" applyBorder="1" applyAlignment="1">
      <alignment vertical="top" wrapText="1"/>
    </xf>
    <xf numFmtId="14" fontId="7" fillId="3" borderId="6" xfId="3" applyNumberFormat="1" applyFont="1" applyFill="1" applyBorder="1" applyAlignment="1">
      <alignment horizontal="left" vertical="center"/>
    </xf>
    <xf numFmtId="0" fontId="10" fillId="0" borderId="6" xfId="3" applyFont="1" applyBorder="1"/>
    <xf numFmtId="0" fontId="10" fillId="0" borderId="6" xfId="3" applyFont="1" applyBorder="1" applyAlignment="1">
      <alignment horizontal="left"/>
    </xf>
    <xf numFmtId="164" fontId="10" fillId="0" borderId="6" xfId="4" applyNumberFormat="1" applyFont="1" applyBorder="1"/>
    <xf numFmtId="0" fontId="7" fillId="4" borderId="6" xfId="3" applyFont="1" applyFill="1" applyBorder="1" applyAlignment="1">
      <alignment horizontal="left" vertical="center"/>
    </xf>
    <xf numFmtId="164" fontId="7" fillId="4" borderId="6" xfId="3" applyNumberFormat="1" applyFont="1" applyFill="1" applyBorder="1" applyAlignment="1">
      <alignment horizontal="right" vertical="center"/>
    </xf>
    <xf numFmtId="0" fontId="7" fillId="3" borderId="6" xfId="3" applyFont="1" applyFill="1" applyBorder="1" applyAlignment="1">
      <alignment horizontal="left" vertical="center"/>
    </xf>
    <xf numFmtId="164" fontId="7" fillId="3" borderId="6" xfId="3" applyNumberFormat="1" applyFont="1" applyFill="1" applyBorder="1" applyAlignment="1">
      <alignment horizontal="right" vertical="center"/>
    </xf>
    <xf numFmtId="0" fontId="5" fillId="0" borderId="6" xfId="3" applyBorder="1" applyAlignment="1">
      <alignment horizontal="left" vertical="center" wrapText="1"/>
    </xf>
    <xf numFmtId="164" fontId="5" fillId="0" borderId="6" xfId="3" applyNumberFormat="1" applyBorder="1" applyAlignment="1">
      <alignment horizontal="center" vertical="center" wrapText="1"/>
    </xf>
    <xf numFmtId="14" fontId="7" fillId="4" borderId="6" xfId="3" applyNumberFormat="1" applyFont="1" applyFill="1" applyBorder="1" applyAlignment="1">
      <alignment horizontal="left" vertical="center"/>
    </xf>
    <xf numFmtId="164" fontId="10" fillId="0" borderId="6" xfId="4" applyNumberFormat="1" applyFont="1" applyBorder="1" applyAlignment="1">
      <alignment horizontal="left"/>
    </xf>
    <xf numFmtId="0" fontId="0" fillId="0" borderId="11" xfId="0" applyBorder="1"/>
    <xf numFmtId="44" fontId="0" fillId="0" borderId="11" xfId="1" applyFon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44" fontId="0" fillId="0" borderId="14" xfId="1" applyFont="1" applyBorder="1"/>
    <xf numFmtId="44" fontId="0" fillId="0" borderId="13" xfId="1" applyFont="1" applyBorder="1"/>
    <xf numFmtId="44" fontId="0" fillId="0" borderId="0" xfId="1" applyFont="1"/>
    <xf numFmtId="0" fontId="5" fillId="0" borderId="0" xfId="3"/>
    <xf numFmtId="14" fontId="5" fillId="0" borderId="0" xfId="3" applyNumberFormat="1"/>
    <xf numFmtId="14" fontId="5" fillId="0" borderId="0" xfId="3" applyNumberFormat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0" xfId="3" applyAlignment="1">
      <alignment horizontal="left" vertical="center"/>
    </xf>
    <xf numFmtId="0" fontId="5" fillId="39" borderId="6" xfId="3" applyFill="1" applyBorder="1"/>
    <xf numFmtId="14" fontId="5" fillId="39" borderId="6" xfId="3" applyNumberFormat="1" applyFill="1" applyBorder="1"/>
    <xf numFmtId="0" fontId="0" fillId="0" borderId="25" xfId="0" applyBorder="1"/>
    <xf numFmtId="0" fontId="30" fillId="39" borderId="6" xfId="3" applyFont="1" applyFill="1" applyBorder="1"/>
    <xf numFmtId="14" fontId="30" fillId="39" borderId="6" xfId="3" applyNumberFormat="1" applyFont="1" applyFill="1" applyBorder="1" applyAlignment="1">
      <alignment horizontal="left" vertical="top"/>
    </xf>
    <xf numFmtId="0" fontId="30" fillId="39" borderId="6" xfId="3" applyFont="1" applyFill="1" applyBorder="1" applyAlignment="1">
      <alignment horizontal="center" vertical="center"/>
    </xf>
    <xf numFmtId="164" fontId="30" fillId="39" borderId="18" xfId="4" applyNumberFormat="1" applyFont="1" applyFill="1" applyBorder="1"/>
    <xf numFmtId="165" fontId="30" fillId="39" borderId="6" xfId="4" applyFont="1" applyFill="1" applyBorder="1"/>
    <xf numFmtId="165" fontId="5" fillId="0" borderId="0" xfId="4"/>
    <xf numFmtId="0" fontId="5" fillId="0" borderId="19" xfId="3" applyBorder="1"/>
    <xf numFmtId="14" fontId="5" fillId="0" borderId="6" xfId="3" applyNumberFormat="1" applyBorder="1" applyAlignment="1">
      <alignment horizontal="left" vertical="center"/>
    </xf>
    <xf numFmtId="0" fontId="5" fillId="0" borderId="6" xfId="3" applyBorder="1" applyAlignment="1">
      <alignment vertical="center"/>
    </xf>
    <xf numFmtId="0" fontId="5" fillId="0" borderId="6" xfId="3" applyBorder="1" applyAlignment="1">
      <alignment horizontal="left" vertical="center"/>
    </xf>
    <xf numFmtId="164" fontId="5" fillId="0" borderId="6" xfId="3" applyNumberFormat="1" applyBorder="1" applyAlignment="1">
      <alignment vertical="center"/>
    </xf>
    <xf numFmtId="14" fontId="5" fillId="0" borderId="6" xfId="3" applyNumberFormat="1" applyBorder="1" applyAlignment="1">
      <alignment horizontal="left"/>
    </xf>
    <xf numFmtId="165" fontId="5" fillId="0" borderId="6" xfId="3" applyNumberFormat="1" applyBorder="1"/>
    <xf numFmtId="165" fontId="5" fillId="39" borderId="6" xfId="3" applyNumberFormat="1" applyFill="1" applyBorder="1"/>
    <xf numFmtId="14" fontId="5" fillId="0" borderId="6" xfId="3" applyNumberFormat="1" applyBorder="1" applyAlignment="1">
      <alignment horizontal="center" vertical="center"/>
    </xf>
    <xf numFmtId="0" fontId="5" fillId="0" borderId="6" xfId="3" applyBorder="1" applyAlignment="1">
      <alignment horizontal="center" vertical="center"/>
    </xf>
    <xf numFmtId="166" fontId="5" fillId="0" borderId="6" xfId="3" applyNumberFormat="1" applyBorder="1" applyAlignment="1">
      <alignment vertical="center"/>
    </xf>
    <xf numFmtId="166" fontId="5" fillId="39" borderId="6" xfId="3" applyNumberFormat="1" applyFill="1" applyBorder="1"/>
    <xf numFmtId="14" fontId="5" fillId="39" borderId="0" xfId="3" applyNumberFormat="1" applyFill="1" applyAlignment="1">
      <alignment horizontal="left" vertical="top"/>
    </xf>
    <xf numFmtId="0" fontId="5" fillId="39" borderId="0" xfId="3" applyFill="1"/>
    <xf numFmtId="164" fontId="5" fillId="39" borderId="0" xfId="4" applyNumberFormat="1" applyFill="1"/>
    <xf numFmtId="0" fontId="5" fillId="39" borderId="0" xfId="3" applyFill="1" applyAlignment="1">
      <alignment horizontal="left" vertical="top"/>
    </xf>
    <xf numFmtId="0" fontId="32" fillId="44" borderId="34" xfId="47" applyFont="1" applyBorder="1" applyAlignment="1">
      <alignment horizontal="center"/>
    </xf>
    <xf numFmtId="0" fontId="32" fillId="44" borderId="34" xfId="47" applyFont="1" applyBorder="1" applyAlignment="1"/>
    <xf numFmtId="0" fontId="31" fillId="44" borderId="34" xfId="47" applyBorder="1" applyAlignment="1">
      <alignment horizontal="left"/>
    </xf>
    <xf numFmtId="167" fontId="31" fillId="44" borderId="34" xfId="1" applyNumberFormat="1" applyFont="1" applyFill="1" applyBorder="1"/>
    <xf numFmtId="14" fontId="33" fillId="45" borderId="34" xfId="0" applyNumberFormat="1" applyFont="1" applyFill="1" applyBorder="1" applyAlignment="1">
      <alignment horizontal="left" vertical="center" wrapText="1"/>
    </xf>
    <xf numFmtId="0" fontId="2" fillId="0" borderId="34" xfId="0" applyFont="1" applyBorder="1"/>
    <xf numFmtId="0" fontId="2" fillId="0" borderId="34" xfId="0" applyFont="1" applyBorder="1" applyAlignment="1">
      <alignment horizontal="left"/>
    </xf>
    <xf numFmtId="167" fontId="2" fillId="0" borderId="34" xfId="1" applyNumberFormat="1" applyFont="1" applyBorder="1"/>
    <xf numFmtId="0" fontId="34" fillId="46" borderId="34" xfId="0" applyFont="1" applyFill="1" applyBorder="1" applyAlignment="1">
      <alignment horizontal="left" vertical="center" wrapText="1"/>
    </xf>
    <xf numFmtId="167" fontId="35" fillId="43" borderId="34" xfId="0" applyNumberFormat="1" applyFont="1" applyFill="1" applyBorder="1" applyAlignment="1">
      <alignment horizontal="right" vertical="center"/>
    </xf>
    <xf numFmtId="0" fontId="35" fillId="47" borderId="34" xfId="0" applyFont="1" applyFill="1" applyBorder="1" applyAlignment="1">
      <alignment horizontal="left" vertical="center"/>
    </xf>
    <xf numFmtId="167" fontId="35" fillId="47" borderId="34" xfId="0" applyNumberFormat="1" applyFont="1" applyFill="1" applyBorder="1" applyAlignment="1">
      <alignment horizontal="right" vertical="center"/>
    </xf>
    <xf numFmtId="0" fontId="35" fillId="43" borderId="34" xfId="0" applyFont="1" applyFill="1" applyBorder="1" applyAlignment="1">
      <alignment horizontal="left" vertical="center"/>
    </xf>
    <xf numFmtId="0" fontId="34" fillId="43" borderId="34" xfId="0" applyFont="1" applyFill="1" applyBorder="1" applyAlignment="1">
      <alignment horizontal="left" vertical="center" wrapText="1"/>
    </xf>
    <xf numFmtId="0" fontId="36" fillId="43" borderId="34" xfId="0" applyFont="1" applyFill="1" applyBorder="1" applyAlignment="1">
      <alignment horizontal="left" vertical="center" wrapText="1"/>
    </xf>
    <xf numFmtId="0" fontId="36" fillId="46" borderId="34" xfId="0" applyFont="1" applyFill="1" applyBorder="1" applyAlignment="1">
      <alignment horizontal="left" vertical="center" wrapText="1"/>
    </xf>
    <xf numFmtId="0" fontId="34" fillId="43" borderId="35" xfId="0" applyFont="1" applyFill="1" applyBorder="1" applyAlignment="1">
      <alignment horizontal="left" vertical="center" wrapText="1"/>
    </xf>
    <xf numFmtId="0" fontId="34" fillId="46" borderId="35" xfId="0" applyFont="1" applyFill="1" applyBorder="1" applyAlignment="1">
      <alignment horizontal="left" vertical="center" wrapText="1"/>
    </xf>
    <xf numFmtId="167" fontId="35" fillId="47" borderId="35" xfId="0" applyNumberFormat="1" applyFont="1" applyFill="1" applyBorder="1" applyAlignment="1">
      <alignment horizontal="right" vertical="center"/>
    </xf>
    <xf numFmtId="0" fontId="35" fillId="47" borderId="36" xfId="0" applyFont="1" applyFill="1" applyBorder="1" applyAlignment="1">
      <alignment horizontal="left" vertical="center"/>
    </xf>
    <xf numFmtId="0" fontId="36" fillId="46" borderId="0" xfId="0" applyFont="1" applyFill="1" applyAlignment="1">
      <alignment horizontal="left" vertical="center" wrapText="1"/>
    </xf>
    <xf numFmtId="167" fontId="35" fillId="47" borderId="36" xfId="0" applyNumberFormat="1" applyFont="1" applyFill="1" applyBorder="1" applyAlignment="1">
      <alignment horizontal="right" vertical="center"/>
    </xf>
    <xf numFmtId="0" fontId="31" fillId="44" borderId="34" xfId="47" applyBorder="1" applyAlignment="1">
      <alignment horizontal="center"/>
    </xf>
    <xf numFmtId="167" fontId="31" fillId="44" borderId="34" xfId="1" applyNumberFormat="1" applyFont="1" applyFill="1" applyBorder="1" applyAlignment="1">
      <alignment horizontal="left"/>
    </xf>
    <xf numFmtId="0" fontId="33" fillId="45" borderId="34" xfId="0" applyFont="1" applyFill="1" applyBorder="1" applyAlignment="1">
      <alignment vertical="center" wrapText="1"/>
    </xf>
    <xf numFmtId="0" fontId="33" fillId="45" borderId="34" xfId="0" applyFont="1" applyFill="1" applyBorder="1" applyAlignment="1">
      <alignment horizontal="center" vertical="center" wrapText="1"/>
    </xf>
    <xf numFmtId="167" fontId="33" fillId="45" borderId="34" xfId="0" applyNumberFormat="1" applyFont="1" applyFill="1" applyBorder="1" applyAlignment="1">
      <alignment horizontal="right" vertical="center" wrapText="1"/>
    </xf>
    <xf numFmtId="14" fontId="33" fillId="45" borderId="37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7" fontId="2" fillId="0" borderId="0" xfId="1" applyNumberFormat="1" applyFont="1" applyAlignment="1">
      <alignment horizontal="left"/>
    </xf>
    <xf numFmtId="0" fontId="2" fillId="0" borderId="34" xfId="0" applyFont="1" applyBorder="1" applyAlignment="1">
      <alignment horizontal="center"/>
    </xf>
    <xf numFmtId="167" fontId="2" fillId="0" borderId="34" xfId="1" applyNumberFormat="1" applyFont="1" applyBorder="1" applyAlignment="1">
      <alignment horizontal="left"/>
    </xf>
    <xf numFmtId="14" fontId="30" fillId="39" borderId="38" xfId="0" applyNumberFormat="1" applyFont="1" applyFill="1" applyBorder="1" applyAlignment="1">
      <alignment horizontal="left"/>
    </xf>
    <xf numFmtId="0" fontId="30" fillId="39" borderId="6" xfId="0" applyFont="1" applyFill="1" applyBorder="1" applyAlignment="1">
      <alignment horizontal="center"/>
    </xf>
    <xf numFmtId="0" fontId="30" fillId="39" borderId="6" xfId="0" applyFont="1" applyFill="1" applyBorder="1"/>
    <xf numFmtId="164" fontId="30" fillId="39" borderId="6" xfId="4" applyNumberFormat="1" applyFont="1" applyFill="1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14" fontId="30" fillId="39" borderId="6" xfId="0" applyNumberFormat="1" applyFont="1" applyFill="1" applyBorder="1" applyAlignment="1">
      <alignment horizontal="left" vertical="top"/>
    </xf>
    <xf numFmtId="0" fontId="30" fillId="39" borderId="6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8" fontId="40" fillId="0" borderId="0" xfId="0" applyNumberFormat="1" applyFont="1" applyAlignment="1">
      <alignment vertical="center"/>
    </xf>
    <xf numFmtId="44" fontId="30" fillId="39" borderId="18" xfId="1" applyFont="1" applyFill="1" applyBorder="1"/>
    <xf numFmtId="44" fontId="5" fillId="0" borderId="0" xfId="1" applyFont="1" applyAlignment="1">
      <alignment vertical="center"/>
    </xf>
    <xf numFmtId="44" fontId="40" fillId="0" borderId="0" xfId="1" applyFont="1" applyAlignment="1">
      <alignment vertical="center"/>
    </xf>
    <xf numFmtId="14" fontId="40" fillId="0" borderId="6" xfId="0" applyNumberFormat="1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left" vertical="center"/>
    </xf>
    <xf numFmtId="0" fontId="40" fillId="0" borderId="0" xfId="0" applyFont="1"/>
    <xf numFmtId="44" fontId="1" fillId="0" borderId="0" xfId="1" applyFont="1"/>
    <xf numFmtId="14" fontId="33" fillId="48" borderId="34" xfId="0" applyNumberFormat="1" applyFont="1" applyFill="1" applyBorder="1" applyAlignment="1">
      <alignment horizontal="left" vertical="center" wrapText="1"/>
    </xf>
    <xf numFmtId="0" fontId="35" fillId="49" borderId="34" xfId="0" applyFont="1" applyFill="1" applyBorder="1" applyAlignment="1">
      <alignment horizontal="left" vertical="center"/>
    </xf>
    <xf numFmtId="0" fontId="40" fillId="0" borderId="34" xfId="0" applyFont="1" applyBorder="1"/>
    <xf numFmtId="8" fontId="35" fillId="49" borderId="34" xfId="0" applyNumberFormat="1" applyFont="1" applyFill="1" applyBorder="1" applyAlignment="1">
      <alignment horizontal="right" vertical="center"/>
    </xf>
    <xf numFmtId="0" fontId="40" fillId="0" borderId="41" xfId="0" applyFont="1" applyBorder="1"/>
    <xf numFmtId="0" fontId="35" fillId="50" borderId="34" xfId="0" applyFont="1" applyFill="1" applyBorder="1" applyAlignment="1">
      <alignment horizontal="left" vertical="center"/>
    </xf>
    <xf numFmtId="8" fontId="35" fillId="50" borderId="34" xfId="0" applyNumberFormat="1" applyFont="1" applyFill="1" applyBorder="1" applyAlignment="1">
      <alignment horizontal="right" vertical="center"/>
    </xf>
    <xf numFmtId="0" fontId="40" fillId="0" borderId="34" xfId="0" applyFont="1" applyBorder="1" applyAlignment="1">
      <alignment horizontal="left"/>
    </xf>
    <xf numFmtId="8" fontId="40" fillId="0" borderId="34" xfId="0" applyNumberFormat="1" applyFont="1" applyBorder="1"/>
    <xf numFmtId="0" fontId="41" fillId="0" borderId="6" xfId="0" applyFont="1" applyBorder="1" applyAlignment="1">
      <alignment horizontal="left" vertical="center" wrapText="1"/>
    </xf>
    <xf numFmtId="8" fontId="41" fillId="0" borderId="6" xfId="0" applyNumberFormat="1" applyFont="1" applyBorder="1" applyAlignment="1">
      <alignment horizontal="center" vertical="center" wrapText="1"/>
    </xf>
    <xf numFmtId="0" fontId="41" fillId="0" borderId="34" xfId="0" applyFont="1" applyBorder="1" applyAlignment="1">
      <alignment horizontal="left" vertical="center" wrapText="1"/>
    </xf>
    <xf numFmtId="8" fontId="41" fillId="0" borderId="34" xfId="0" applyNumberFormat="1" applyFont="1" applyBorder="1" applyAlignment="1">
      <alignment horizontal="center" vertical="center" wrapText="1"/>
    </xf>
    <xf numFmtId="14" fontId="33" fillId="48" borderId="37" xfId="0" applyNumberFormat="1" applyFont="1" applyFill="1" applyBorder="1" applyAlignment="1">
      <alignment horizontal="left" vertical="center" wrapText="1"/>
    </xf>
    <xf numFmtId="0" fontId="35" fillId="50" borderId="37" xfId="0" applyFont="1" applyFill="1" applyBorder="1" applyAlignment="1">
      <alignment horizontal="left" vertical="center"/>
    </xf>
    <xf numFmtId="0" fontId="40" fillId="0" borderId="37" xfId="0" applyFont="1" applyBorder="1"/>
    <xf numFmtId="8" fontId="35" fillId="50" borderId="37" xfId="0" applyNumberFormat="1" applyFont="1" applyFill="1" applyBorder="1" applyAlignment="1">
      <alignment horizontal="right" vertical="center"/>
    </xf>
    <xf numFmtId="14" fontId="35" fillId="49" borderId="34" xfId="0" applyNumberFormat="1" applyFont="1" applyFill="1" applyBorder="1" applyAlignment="1">
      <alignment horizontal="left" vertical="center"/>
    </xf>
    <xf numFmtId="14" fontId="35" fillId="50" borderId="34" xfId="0" applyNumberFormat="1" applyFont="1" applyFill="1" applyBorder="1" applyAlignment="1">
      <alignment horizontal="left" vertical="center"/>
    </xf>
    <xf numFmtId="14" fontId="35" fillId="50" borderId="42" xfId="0" applyNumberFormat="1" applyFont="1" applyFill="1" applyBorder="1" applyAlignment="1">
      <alignment horizontal="left" vertical="center"/>
    </xf>
    <xf numFmtId="0" fontId="35" fillId="50" borderId="42" xfId="0" applyFont="1" applyFill="1" applyBorder="1" applyAlignment="1">
      <alignment horizontal="left" vertical="center"/>
    </xf>
    <xf numFmtId="8" fontId="35" fillId="50" borderId="42" xfId="0" applyNumberFormat="1" applyFont="1" applyFill="1" applyBorder="1" applyAlignment="1">
      <alignment horizontal="right" vertical="center"/>
    </xf>
    <xf numFmtId="14" fontId="35" fillId="49" borderId="36" xfId="0" applyNumberFormat="1" applyFont="1" applyFill="1" applyBorder="1" applyAlignment="1">
      <alignment horizontal="left" vertical="center"/>
    </xf>
    <xf numFmtId="0" fontId="35" fillId="49" borderId="36" xfId="0" applyFont="1" applyFill="1" applyBorder="1" applyAlignment="1">
      <alignment horizontal="left" vertical="center"/>
    </xf>
    <xf numFmtId="8" fontId="35" fillId="49" borderId="36" xfId="0" applyNumberFormat="1" applyFont="1" applyFill="1" applyBorder="1" applyAlignment="1">
      <alignment horizontal="right" vertical="center"/>
    </xf>
    <xf numFmtId="14" fontId="35" fillId="50" borderId="36" xfId="0" applyNumberFormat="1" applyFont="1" applyFill="1" applyBorder="1" applyAlignment="1">
      <alignment horizontal="left" vertical="center"/>
    </xf>
    <xf numFmtId="0" fontId="35" fillId="50" borderId="36" xfId="0" applyFont="1" applyFill="1" applyBorder="1" applyAlignment="1">
      <alignment horizontal="left" vertical="center"/>
    </xf>
    <xf numFmtId="8" fontId="35" fillId="50" borderId="36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left"/>
    </xf>
    <xf numFmtId="8" fontId="40" fillId="0" borderId="0" xfId="0" applyNumberFormat="1" applyFont="1"/>
    <xf numFmtId="8" fontId="34" fillId="50" borderId="43" xfId="0" applyNumberFormat="1" applyFont="1" applyFill="1" applyBorder="1" applyAlignment="1">
      <alignment horizontal="right" vertical="center" wrapText="1"/>
    </xf>
    <xf numFmtId="8" fontId="34" fillId="48" borderId="43" xfId="0" applyNumberFormat="1" applyFont="1" applyFill="1" applyBorder="1" applyAlignment="1">
      <alignment horizontal="right" vertical="center" wrapText="1"/>
    </xf>
    <xf numFmtId="0" fontId="40" fillId="0" borderId="37" xfId="0" applyFont="1" applyBorder="1" applyAlignment="1">
      <alignment horizontal="left"/>
    </xf>
    <xf numFmtId="0" fontId="34" fillId="50" borderId="37" xfId="0" applyFont="1" applyFill="1" applyBorder="1" applyAlignment="1">
      <alignment vertical="top" wrapText="1"/>
    </xf>
    <xf numFmtId="0" fontId="34" fillId="50" borderId="37" xfId="0" applyFont="1" applyFill="1" applyBorder="1" applyAlignment="1">
      <alignment horizontal="left" vertical="top" wrapText="1"/>
    </xf>
    <xf numFmtId="8" fontId="34" fillId="50" borderId="37" xfId="0" applyNumberFormat="1" applyFont="1" applyFill="1" applyBorder="1" applyAlignment="1">
      <alignment vertical="top" wrapText="1"/>
    </xf>
    <xf numFmtId="8" fontId="40" fillId="0" borderId="34" xfId="0" applyNumberFormat="1" applyFont="1" applyBorder="1" applyAlignment="1">
      <alignment vertical="center"/>
    </xf>
    <xf numFmtId="0" fontId="33" fillId="48" borderId="34" xfId="0" applyFont="1" applyFill="1" applyBorder="1" applyAlignment="1">
      <alignment horizontal="left" vertical="center" wrapText="1"/>
    </xf>
    <xf numFmtId="8" fontId="34" fillId="50" borderId="34" xfId="0" applyNumberFormat="1" applyFont="1" applyFill="1" applyBorder="1" applyAlignment="1">
      <alignment horizontal="right" vertical="center" wrapText="1"/>
    </xf>
    <xf numFmtId="8" fontId="34" fillId="48" borderId="34" xfId="0" applyNumberFormat="1" applyFont="1" applyFill="1" applyBorder="1" applyAlignment="1">
      <alignment horizontal="right" vertical="center" wrapText="1"/>
    </xf>
    <xf numFmtId="0" fontId="40" fillId="0" borderId="44" xfId="0" applyFont="1" applyBorder="1" applyAlignment="1">
      <alignment horizontal="left"/>
    </xf>
    <xf numFmtId="8" fontId="34" fillId="50" borderId="45" xfId="0" applyNumberFormat="1" applyFont="1" applyFill="1" applyBorder="1" applyAlignment="1">
      <alignment horizontal="right" vertical="center" wrapText="1"/>
    </xf>
    <xf numFmtId="0" fontId="42" fillId="50" borderId="34" xfId="0" applyFont="1" applyFill="1" applyBorder="1" applyAlignment="1">
      <alignment vertical="center"/>
    </xf>
    <xf numFmtId="0" fontId="42" fillId="50" borderId="34" xfId="0" applyFont="1" applyFill="1" applyBorder="1" applyAlignment="1">
      <alignment horizontal="left" vertical="center" wrapText="1"/>
    </xf>
    <xf numFmtId="0" fontId="35" fillId="49" borderId="34" xfId="0" applyFont="1" applyFill="1" applyBorder="1" applyAlignment="1">
      <alignment vertical="center"/>
    </xf>
    <xf numFmtId="0" fontId="35" fillId="49" borderId="34" xfId="0" applyFont="1" applyFill="1" applyBorder="1" applyAlignment="1">
      <alignment horizontal="left" vertical="center"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left" vertical="center" wrapText="1"/>
    </xf>
    <xf numFmtId="0" fontId="35" fillId="49" borderId="0" xfId="0" applyFont="1" applyFill="1" applyAlignment="1">
      <alignment vertical="center"/>
    </xf>
    <xf numFmtId="0" fontId="35" fillId="49" borderId="0" xfId="0" applyFont="1" applyFill="1" applyAlignment="1">
      <alignment horizontal="left" vertical="center" wrapText="1"/>
    </xf>
    <xf numFmtId="0" fontId="42" fillId="0" borderId="46" xfId="0" applyFont="1" applyBorder="1" applyAlignment="1">
      <alignment vertical="center"/>
    </xf>
    <xf numFmtId="0" fontId="42" fillId="0" borderId="46" xfId="0" applyFont="1" applyBorder="1" applyAlignment="1">
      <alignment horizontal="left" vertical="center" wrapText="1"/>
    </xf>
    <xf numFmtId="0" fontId="40" fillId="50" borderId="34" xfId="0" applyFont="1" applyFill="1" applyBorder="1" applyAlignment="1">
      <alignment vertical="center"/>
    </xf>
    <xf numFmtId="0" fontId="40" fillId="50" borderId="34" xfId="0" applyFont="1" applyFill="1" applyBorder="1" applyAlignment="1">
      <alignment horizontal="left" vertical="center" wrapText="1"/>
    </xf>
    <xf numFmtId="0" fontId="40" fillId="49" borderId="34" xfId="0" applyFont="1" applyFill="1" applyBorder="1" applyAlignment="1">
      <alignment vertical="center"/>
    </xf>
    <xf numFmtId="0" fontId="40" fillId="49" borderId="34" xfId="0" applyFont="1" applyFill="1" applyBorder="1" applyAlignment="1">
      <alignment horizontal="left" vertical="center" wrapText="1"/>
    </xf>
    <xf numFmtId="0" fontId="43" fillId="50" borderId="34" xfId="0" applyFont="1" applyFill="1" applyBorder="1" applyAlignment="1">
      <alignment vertical="center"/>
    </xf>
    <xf numFmtId="0" fontId="43" fillId="50" borderId="34" xfId="0" applyFont="1" applyFill="1" applyBorder="1" applyAlignment="1">
      <alignment horizontal="left" vertical="center" wrapText="1"/>
    </xf>
    <xf numFmtId="0" fontId="44" fillId="49" borderId="34" xfId="0" applyFont="1" applyFill="1" applyBorder="1" applyAlignment="1">
      <alignment vertical="center"/>
    </xf>
    <xf numFmtId="0" fontId="44" fillId="49" borderId="34" xfId="0" applyFont="1" applyFill="1" applyBorder="1" applyAlignment="1">
      <alignment horizontal="left" vertical="center" wrapText="1"/>
    </xf>
    <xf numFmtId="14" fontId="33" fillId="48" borderId="35" xfId="0" applyNumberFormat="1" applyFont="1" applyFill="1" applyBorder="1" applyAlignment="1">
      <alignment horizontal="left" vertical="center" wrapText="1"/>
    </xf>
    <xf numFmtId="0" fontId="43" fillId="50" borderId="46" xfId="0" applyFont="1" applyFill="1" applyBorder="1" applyAlignment="1">
      <alignment vertical="center"/>
    </xf>
    <xf numFmtId="0" fontId="43" fillId="50" borderId="46" xfId="0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 wrapText="1"/>
    </xf>
    <xf numFmtId="0" fontId="44" fillId="49" borderId="0" xfId="0" applyFont="1" applyFill="1" applyAlignment="1">
      <alignment vertical="center"/>
    </xf>
    <xf numFmtId="0" fontId="44" fillId="49" borderId="0" xfId="0" applyFont="1" applyFill="1" applyAlignment="1">
      <alignment horizontal="left" vertical="center" wrapText="1"/>
    </xf>
    <xf numFmtId="0" fontId="44" fillId="49" borderId="46" xfId="0" applyFont="1" applyFill="1" applyBorder="1" applyAlignment="1">
      <alignment vertical="center"/>
    </xf>
    <xf numFmtId="0" fontId="44" fillId="49" borderId="46" xfId="0" applyFont="1" applyFill="1" applyBorder="1" applyAlignment="1">
      <alignment horizontal="left" vertical="center" wrapText="1"/>
    </xf>
    <xf numFmtId="0" fontId="40" fillId="0" borderId="34" xfId="0" applyFont="1" applyBorder="1" applyAlignment="1">
      <alignment horizontal="center"/>
    </xf>
    <xf numFmtId="0" fontId="42" fillId="50" borderId="34" xfId="0" applyFont="1" applyFill="1" applyBorder="1" applyAlignment="1">
      <alignment horizontal="center" vertical="center" wrapText="1"/>
    </xf>
    <xf numFmtId="0" fontId="35" fillId="49" borderId="34" xfId="0" applyFont="1" applyFill="1" applyBorder="1" applyAlignment="1">
      <alignment horizontal="center" vertical="center" wrapText="1"/>
    </xf>
    <xf numFmtId="0" fontId="42" fillId="0" borderId="34" xfId="0" applyFont="1" applyBorder="1" applyAlignment="1">
      <alignment vertical="center"/>
    </xf>
    <xf numFmtId="0" fontId="42" fillId="0" borderId="34" xfId="0" applyFont="1" applyBorder="1" applyAlignment="1">
      <alignment horizontal="center" vertical="center" wrapText="1"/>
    </xf>
    <xf numFmtId="0" fontId="42" fillId="50" borderId="0" xfId="0" applyFont="1" applyFill="1" applyAlignment="1">
      <alignment vertical="center"/>
    </xf>
    <xf numFmtId="0" fontId="42" fillId="50" borderId="0" xfId="0" applyFont="1" applyFill="1" applyAlignment="1">
      <alignment horizontal="center" vertical="center" wrapText="1"/>
    </xf>
    <xf numFmtId="0" fontId="35" fillId="49" borderId="0" xfId="0" applyFont="1" applyFill="1" applyAlignment="1">
      <alignment horizontal="center" vertical="center" wrapText="1"/>
    </xf>
    <xf numFmtId="0" fontId="44" fillId="49" borderId="34" xfId="0" applyFont="1" applyFill="1" applyBorder="1" applyAlignment="1">
      <alignment horizontal="center" vertical="center" wrapText="1"/>
    </xf>
    <xf numFmtId="0" fontId="43" fillId="0" borderId="34" xfId="0" applyFont="1" applyBorder="1" applyAlignment="1">
      <alignment vertical="center"/>
    </xf>
    <xf numFmtId="0" fontId="43" fillId="0" borderId="34" xfId="0" applyFont="1" applyBorder="1" applyAlignment="1">
      <alignment horizontal="center" vertical="center" wrapText="1"/>
    </xf>
    <xf numFmtId="0" fontId="43" fillId="50" borderId="34" xfId="0" applyFont="1" applyFill="1" applyBorder="1" applyAlignment="1">
      <alignment horizontal="center" vertical="center" wrapText="1"/>
    </xf>
    <xf numFmtId="0" fontId="34" fillId="50" borderId="34" xfId="0" applyFont="1" applyFill="1" applyBorder="1" applyAlignment="1">
      <alignment vertical="top" wrapText="1"/>
    </xf>
    <xf numFmtId="0" fontId="34" fillId="50" borderId="34" xfId="0" applyFont="1" applyFill="1" applyBorder="1" applyAlignment="1">
      <alignment horizontal="right" vertical="top" wrapText="1"/>
    </xf>
    <xf numFmtId="8" fontId="34" fillId="50" borderId="34" xfId="0" applyNumberFormat="1" applyFont="1" applyFill="1" applyBorder="1" applyAlignment="1">
      <alignment vertical="top" wrapText="1"/>
    </xf>
    <xf numFmtId="0" fontId="40" fillId="0" borderId="34" xfId="0" applyFont="1" applyBorder="1" applyAlignment="1">
      <alignment horizontal="right"/>
    </xf>
    <xf numFmtId="8" fontId="40" fillId="0" borderId="34" xfId="0" applyNumberFormat="1" applyFont="1" applyBorder="1" applyAlignment="1">
      <alignment horizontal="right"/>
    </xf>
    <xf numFmtId="14" fontId="40" fillId="0" borderId="0" xfId="0" applyNumberFormat="1" applyFont="1"/>
    <xf numFmtId="0" fontId="40" fillId="0" borderId="0" xfId="0" applyFont="1" applyAlignment="1">
      <alignment horizontal="center"/>
    </xf>
    <xf numFmtId="14" fontId="33" fillId="51" borderId="34" xfId="0" applyNumberFormat="1" applyFont="1" applyFill="1" applyBorder="1" applyAlignment="1">
      <alignment horizontal="left" vertical="center" wrapText="1"/>
    </xf>
    <xf numFmtId="0" fontId="34" fillId="48" borderId="34" xfId="0" applyFont="1" applyFill="1" applyBorder="1" applyAlignment="1">
      <alignment horizontal="left" vertical="center" wrapText="1"/>
    </xf>
    <xf numFmtId="0" fontId="34" fillId="50" borderId="34" xfId="0" applyFont="1" applyFill="1" applyBorder="1" applyAlignment="1">
      <alignment horizontal="left" vertical="center" wrapText="1"/>
    </xf>
    <xf numFmtId="0" fontId="36" fillId="50" borderId="34" xfId="0" applyFont="1" applyFill="1" applyBorder="1" applyAlignment="1">
      <alignment horizontal="left" vertical="center" wrapText="1"/>
    </xf>
    <xf numFmtId="0" fontId="36" fillId="48" borderId="34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44" fontId="5" fillId="39" borderId="6" xfId="1" applyFont="1" applyFill="1" applyBorder="1"/>
    <xf numFmtId="44" fontId="5" fillId="0" borderId="6" xfId="1" applyFont="1" applyBorder="1" applyAlignment="1">
      <alignment vertical="center"/>
    </xf>
    <xf numFmtId="44" fontId="5" fillId="0" borderId="6" xfId="1" applyFont="1" applyBorder="1"/>
    <xf numFmtId="44" fontId="40" fillId="0" borderId="6" xfId="1" applyFont="1" applyBorder="1" applyAlignment="1">
      <alignment vertical="center"/>
    </xf>
    <xf numFmtId="0" fontId="0" fillId="40" borderId="11" xfId="0" applyFill="1" applyBorder="1"/>
    <xf numFmtId="44" fontId="0" fillId="0" borderId="48" xfId="1" applyFont="1" applyBorder="1"/>
    <xf numFmtId="0" fontId="0" fillId="40" borderId="17" xfId="0" applyFill="1" applyBorder="1"/>
    <xf numFmtId="0" fontId="0" fillId="0" borderId="13" xfId="0" applyBorder="1" applyAlignment="1">
      <alignment horizontal="center" vertical="center"/>
    </xf>
    <xf numFmtId="0" fontId="0" fillId="0" borderId="48" xfId="0" applyBorder="1"/>
    <xf numFmtId="0" fontId="0" fillId="40" borderId="51" xfId="0" applyFill="1" applyBorder="1"/>
    <xf numFmtId="44" fontId="0" fillId="0" borderId="48" xfId="1" applyFont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44" fontId="0" fillId="0" borderId="51" xfId="1" applyFont="1" applyBorder="1"/>
    <xf numFmtId="44" fontId="0" fillId="0" borderId="53" xfId="1" applyFont="1" applyBorder="1"/>
    <xf numFmtId="44" fontId="0" fillId="0" borderId="52" xfId="1" applyFont="1" applyBorder="1"/>
    <xf numFmtId="0" fontId="0" fillId="0" borderId="54" xfId="0" applyBorder="1"/>
    <xf numFmtId="14" fontId="0" fillId="0" borderId="54" xfId="0" applyNumberFormat="1" applyBorder="1"/>
    <xf numFmtId="0" fontId="0" fillId="0" borderId="55" xfId="0" applyBorder="1"/>
    <xf numFmtId="44" fontId="0" fillId="0" borderId="55" xfId="1" applyFont="1" applyBorder="1"/>
    <xf numFmtId="44" fontId="4" fillId="0" borderId="55" xfId="1" applyFont="1" applyBorder="1"/>
    <xf numFmtId="0" fontId="0" fillId="0" borderId="34" xfId="0" applyBorder="1"/>
    <xf numFmtId="0" fontId="44" fillId="47" borderId="34" xfId="0" applyFont="1" applyFill="1" applyBorder="1" applyAlignment="1">
      <alignment vertical="center"/>
    </xf>
    <xf numFmtId="0" fontId="44" fillId="47" borderId="34" xfId="0" applyFont="1" applyFill="1" applyBorder="1" applyAlignment="1">
      <alignment horizontal="left" vertical="center" wrapText="1"/>
    </xf>
    <xf numFmtId="167" fontId="0" fillId="0" borderId="34" xfId="0" applyNumberFormat="1" applyBorder="1"/>
    <xf numFmtId="0" fontId="43" fillId="43" borderId="34" xfId="0" applyFont="1" applyFill="1" applyBorder="1" applyAlignment="1">
      <alignment vertical="center"/>
    </xf>
    <xf numFmtId="0" fontId="43" fillId="43" borderId="34" xfId="0" applyFont="1" applyFill="1" applyBorder="1" applyAlignment="1">
      <alignment horizontal="left" vertical="center" wrapText="1"/>
    </xf>
    <xf numFmtId="0" fontId="0" fillId="0" borderId="34" xfId="0" applyBorder="1" applyAlignment="1">
      <alignment horizontal="left"/>
    </xf>
    <xf numFmtId="14" fontId="33" fillId="52" borderId="34" xfId="0" applyNumberFormat="1" applyFont="1" applyFill="1" applyBorder="1" applyAlignment="1">
      <alignment horizontal="left" vertical="center" wrapText="1"/>
    </xf>
    <xf numFmtId="0" fontId="2" fillId="52" borderId="34" xfId="0" applyFont="1" applyFill="1" applyBorder="1" applyAlignment="1">
      <alignment horizontal="left"/>
    </xf>
    <xf numFmtId="167" fontId="2" fillId="52" borderId="34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vertical="center"/>
    </xf>
    <xf numFmtId="14" fontId="0" fillId="0" borderId="0" xfId="0" applyNumberFormat="1"/>
    <xf numFmtId="167" fontId="0" fillId="0" borderId="0" xfId="0" applyNumberFormat="1"/>
    <xf numFmtId="14" fontId="33" fillId="46" borderId="34" xfId="0" applyNumberFormat="1" applyFont="1" applyFill="1" applyBorder="1" applyAlignment="1">
      <alignment horizontal="left" vertical="center" wrapText="1"/>
    </xf>
    <xf numFmtId="1" fontId="0" fillId="0" borderId="34" xfId="0" applyNumberFormat="1" applyBorder="1" applyAlignment="1">
      <alignment horizontal="center"/>
    </xf>
    <xf numFmtId="0" fontId="40" fillId="0" borderId="41" xfId="3" applyFont="1" applyBorder="1"/>
    <xf numFmtId="0" fontId="0" fillId="0" borderId="34" xfId="0" applyBorder="1" applyAlignment="1">
      <alignment horizontal="center"/>
    </xf>
    <xf numFmtId="0" fontId="42" fillId="43" borderId="34" xfId="0" applyFont="1" applyFill="1" applyBorder="1" applyAlignment="1">
      <alignment horizontal="center" vertical="center" wrapText="1"/>
    </xf>
    <xf numFmtId="0" fontId="35" fillId="47" borderId="34" xfId="0" applyFont="1" applyFill="1" applyBorder="1" applyAlignment="1">
      <alignment vertical="center"/>
    </xf>
    <xf numFmtId="0" fontId="35" fillId="47" borderId="34" xfId="0" applyFont="1" applyFill="1" applyBorder="1" applyAlignment="1">
      <alignment horizontal="center" vertical="center" wrapText="1"/>
    </xf>
    <xf numFmtId="0" fontId="42" fillId="43" borderId="34" xfId="0" applyFont="1" applyFill="1" applyBorder="1" applyAlignment="1">
      <alignment vertical="center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4" xfId="0" applyBorder="1"/>
    <xf numFmtId="0" fontId="2" fillId="0" borderId="44" xfId="0" applyFont="1" applyBorder="1"/>
    <xf numFmtId="0" fontId="0" fillId="0" borderId="34" xfId="0" applyBorder="1" applyAlignment="1">
      <alignment horizontal="right"/>
    </xf>
    <xf numFmtId="167" fontId="0" fillId="0" borderId="34" xfId="0" applyNumberFormat="1" applyBorder="1" applyAlignment="1">
      <alignment horizontal="right"/>
    </xf>
    <xf numFmtId="0" fontId="5" fillId="0" borderId="56" xfId="3" applyBorder="1"/>
    <xf numFmtId="14" fontId="33" fillId="46" borderId="37" xfId="0" applyNumberFormat="1" applyFont="1" applyFill="1" applyBorder="1" applyAlignment="1">
      <alignment horizontal="left" vertical="center" wrapText="1"/>
    </xf>
    <xf numFmtId="0" fontId="0" fillId="0" borderId="37" xfId="0" applyBorder="1"/>
    <xf numFmtId="167" fontId="0" fillId="0" borderId="37" xfId="0" applyNumberFormat="1" applyBorder="1"/>
    <xf numFmtId="167" fontId="0" fillId="0" borderId="44" xfId="0" applyNumberFormat="1" applyBorder="1"/>
    <xf numFmtId="0" fontId="0" fillId="0" borderId="35" xfId="0" applyBorder="1"/>
    <xf numFmtId="167" fontId="0" fillId="0" borderId="35" xfId="0" applyNumberFormat="1" applyBorder="1"/>
    <xf numFmtId="167" fontId="2" fillId="0" borderId="34" xfId="0" applyNumberFormat="1" applyFont="1" applyBorder="1" applyAlignment="1">
      <alignment vertical="center"/>
    </xf>
    <xf numFmtId="14" fontId="33" fillId="40" borderId="34" xfId="0" applyNumberFormat="1" applyFont="1" applyFill="1" applyBorder="1" applyAlignment="1">
      <alignment horizontal="left" vertical="center" wrapText="1"/>
    </xf>
    <xf numFmtId="0" fontId="0" fillId="40" borderId="34" xfId="0" applyFill="1" applyBorder="1"/>
    <xf numFmtId="167" fontId="2" fillId="40" borderId="34" xfId="0" applyNumberFormat="1" applyFont="1" applyFill="1" applyBorder="1" applyAlignment="1">
      <alignment vertical="center"/>
    </xf>
    <xf numFmtId="0" fontId="35" fillId="40" borderId="34" xfId="0" applyFont="1" applyFill="1" applyBorder="1" applyAlignment="1">
      <alignment horizontal="left" vertical="center"/>
    </xf>
    <xf numFmtId="167" fontId="35" fillId="40" borderId="34" xfId="0" applyNumberFormat="1" applyFont="1" applyFill="1" applyBorder="1" applyAlignment="1">
      <alignment horizontal="right" vertical="center"/>
    </xf>
    <xf numFmtId="167" fontId="34" fillId="43" borderId="34" xfId="0" applyNumberFormat="1" applyFont="1" applyFill="1" applyBorder="1" applyAlignment="1">
      <alignment horizontal="right" vertical="center" wrapText="1"/>
    </xf>
    <xf numFmtId="0" fontId="0" fillId="0" borderId="44" xfId="0" applyBorder="1" applyAlignment="1">
      <alignment horizontal="left"/>
    </xf>
    <xf numFmtId="167" fontId="34" fillId="46" borderId="45" xfId="0" applyNumberFormat="1" applyFont="1" applyFill="1" applyBorder="1" applyAlignment="1">
      <alignment horizontal="right" vertical="center" wrapText="1"/>
    </xf>
    <xf numFmtId="167" fontId="34" fillId="46" borderId="34" xfId="0" applyNumberFormat="1" applyFont="1" applyFill="1" applyBorder="1" applyAlignment="1">
      <alignment horizontal="right" vertical="center" wrapText="1"/>
    </xf>
    <xf numFmtId="167" fontId="34" fillId="46" borderId="43" xfId="0" applyNumberFormat="1" applyFont="1" applyFill="1" applyBorder="1" applyAlignment="1">
      <alignment horizontal="right" vertical="center" wrapText="1"/>
    </xf>
    <xf numFmtId="167" fontId="34" fillId="43" borderId="43" xfId="0" applyNumberFormat="1" applyFont="1" applyFill="1" applyBorder="1" applyAlignment="1">
      <alignment horizontal="right" vertical="center" wrapText="1"/>
    </xf>
    <xf numFmtId="167" fontId="48" fillId="0" borderId="34" xfId="0" applyNumberFormat="1" applyFont="1" applyBorder="1" applyAlignment="1">
      <alignment horizontal="center" vertical="center"/>
    </xf>
    <xf numFmtId="167" fontId="47" fillId="0" borderId="34" xfId="0" applyNumberFormat="1" applyFont="1" applyBorder="1"/>
    <xf numFmtId="164" fontId="0" fillId="0" borderId="0" xfId="0" applyNumberFormat="1"/>
    <xf numFmtId="44" fontId="0" fillId="0" borderId="11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49" fillId="0" borderId="11" xfId="1" applyFont="1" applyBorder="1" applyAlignment="1">
      <alignment horizontal="center" vertical="center"/>
    </xf>
    <xf numFmtId="8" fontId="0" fillId="0" borderId="0" xfId="0" applyNumberFormat="1"/>
    <xf numFmtId="0" fontId="4" fillId="54" borderId="12" xfId="0" applyFont="1" applyFill="1" applyBorder="1" applyAlignment="1">
      <alignment horizontal="center" vertical="center"/>
    </xf>
    <xf numFmtId="167" fontId="4" fillId="54" borderId="12" xfId="0" applyNumberFormat="1" applyFont="1" applyFill="1" applyBorder="1" applyAlignment="1">
      <alignment horizontal="center" vertical="center"/>
    </xf>
    <xf numFmtId="44" fontId="51" fillId="40" borderId="12" xfId="1" applyFont="1" applyFill="1" applyBorder="1" applyAlignment="1">
      <alignment horizontal="right" vertical="center"/>
    </xf>
    <xf numFmtId="0" fontId="52" fillId="40" borderId="12" xfId="0" applyFont="1" applyFill="1" applyBorder="1" applyAlignment="1">
      <alignment horizontal="right" vertical="center"/>
    </xf>
    <xf numFmtId="44" fontId="0" fillId="0" borderId="11" xfId="1" applyFont="1" applyBorder="1" applyAlignment="1">
      <alignment vertical="center"/>
    </xf>
    <xf numFmtId="0" fontId="4" fillId="54" borderId="11" xfId="0" applyFont="1" applyFill="1" applyBorder="1" applyAlignment="1">
      <alignment horizontal="center" vertical="center"/>
    </xf>
    <xf numFmtId="44" fontId="54" fillId="54" borderId="57" xfId="1" applyFont="1" applyFill="1" applyBorder="1" applyAlignment="1">
      <alignment horizontal="center" vertical="center"/>
    </xf>
    <xf numFmtId="0" fontId="0" fillId="0" borderId="72" xfId="0" applyBorder="1"/>
    <xf numFmtId="44" fontId="0" fillId="0" borderId="73" xfId="0" applyNumberFormat="1" applyBorder="1"/>
    <xf numFmtId="0" fontId="0" fillId="0" borderId="6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69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67" xfId="0" applyNumberFormat="1" applyBorder="1"/>
    <xf numFmtId="0" fontId="0" fillId="0" borderId="28" xfId="0" applyBorder="1"/>
    <xf numFmtId="0" fontId="0" fillId="0" borderId="74" xfId="0" applyBorder="1"/>
    <xf numFmtId="167" fontId="0" fillId="0" borderId="75" xfId="0" applyNumberFormat="1" applyBorder="1"/>
    <xf numFmtId="0" fontId="0" fillId="0" borderId="51" xfId="0" applyBorder="1"/>
    <xf numFmtId="0" fontId="4" fillId="40" borderId="11" xfId="0" applyFont="1" applyFill="1" applyBorder="1"/>
    <xf numFmtId="0" fontId="0" fillId="0" borderId="39" xfId="0" applyBorder="1"/>
    <xf numFmtId="44" fontId="0" fillId="0" borderId="40" xfId="1" applyFont="1" applyBorder="1"/>
    <xf numFmtId="0" fontId="0" fillId="0" borderId="79" xfId="0" applyBorder="1"/>
    <xf numFmtId="44" fontId="0" fillId="0" borderId="80" xfId="0" applyNumberFormat="1" applyBorder="1"/>
    <xf numFmtId="0" fontId="0" fillId="0" borderId="83" xfId="0" applyBorder="1"/>
    <xf numFmtId="44" fontId="0" fillId="0" borderId="47" xfId="1" applyFont="1" applyBorder="1"/>
    <xf numFmtId="0" fontId="0" fillId="0" borderId="86" xfId="0" applyBorder="1"/>
    <xf numFmtId="0" fontId="0" fillId="0" borderId="88" xfId="0" applyBorder="1"/>
    <xf numFmtId="44" fontId="51" fillId="0" borderId="89" xfId="1" applyFont="1" applyBorder="1" applyAlignment="1">
      <alignment horizontal="right" vertical="center"/>
    </xf>
    <xf numFmtId="167" fontId="0" fillId="0" borderId="87" xfId="0" applyNumberFormat="1" applyBorder="1"/>
    <xf numFmtId="0" fontId="53" fillId="0" borderId="90" xfId="50" applyFont="1" applyBorder="1" applyAlignment="1">
      <alignment horizontal="center"/>
    </xf>
    <xf numFmtId="0" fontId="53" fillId="0" borderId="91" xfId="50" applyFont="1" applyBorder="1" applyAlignment="1">
      <alignment horizontal="center"/>
    </xf>
    <xf numFmtId="0" fontId="0" fillId="0" borderId="9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93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95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39" fillId="0" borderId="53" xfId="0" applyFont="1" applyBorder="1" applyAlignment="1">
      <alignment vertical="center"/>
    </xf>
    <xf numFmtId="0" fontId="0" fillId="0" borderId="24" xfId="0" applyBorder="1"/>
    <xf numFmtId="0" fontId="0" fillId="0" borderId="16" xfId="0" applyBorder="1"/>
    <xf numFmtId="44" fontId="0" fillId="0" borderId="39" xfId="1" applyFont="1" applyBorder="1"/>
    <xf numFmtId="0" fontId="0" fillId="0" borderId="17" xfId="0" applyBorder="1"/>
    <xf numFmtId="0" fontId="0" fillId="0" borderId="15" xfId="0" applyBorder="1"/>
    <xf numFmtId="14" fontId="0" fillId="0" borderId="101" xfId="0" applyNumberFormat="1" applyBorder="1"/>
    <xf numFmtId="14" fontId="0" fillId="0" borderId="102" xfId="0" applyNumberFormat="1" applyBorder="1"/>
    <xf numFmtId="14" fontId="0" fillId="0" borderId="12" xfId="0" applyNumberFormat="1" applyBorder="1"/>
    <xf numFmtId="0" fontId="0" fillId="0" borderId="5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54" borderId="84" xfId="0" applyFill="1" applyBorder="1"/>
    <xf numFmtId="0" fontId="55" fillId="0" borderId="11" xfId="0" applyFont="1" applyBorder="1"/>
    <xf numFmtId="0" fontId="0" fillId="54" borderId="104" xfId="0" applyFill="1" applyBorder="1"/>
    <xf numFmtId="0" fontId="4" fillId="40" borderId="86" xfId="0" applyFont="1" applyFill="1" applyBorder="1"/>
    <xf numFmtId="14" fontId="4" fillId="40" borderId="48" xfId="0" applyNumberFormat="1" applyFont="1" applyFill="1" applyBorder="1"/>
    <xf numFmtId="0" fontId="4" fillId="40" borderId="48" xfId="0" applyFont="1" applyFill="1" applyBorder="1"/>
    <xf numFmtId="0" fontId="0" fillId="0" borderId="105" xfId="0" applyBorder="1" applyAlignment="1">
      <alignment vertical="center"/>
    </xf>
    <xf numFmtId="0" fontId="0" fillId="40" borderId="55" xfId="0" applyFill="1" applyBorder="1" applyAlignment="1">
      <alignment vertical="center"/>
    </xf>
    <xf numFmtId="44" fontId="0" fillId="0" borderId="78" xfId="0" applyNumberFormat="1" applyBorder="1"/>
    <xf numFmtId="0" fontId="3" fillId="0" borderId="78" xfId="0" applyFont="1" applyBorder="1" applyAlignment="1">
      <alignment horizontal="center" vertical="center"/>
    </xf>
    <xf numFmtId="44" fontId="0" fillId="53" borderId="78" xfId="0" applyNumberFormat="1" applyFill="1" applyBorder="1"/>
    <xf numFmtId="44" fontId="0" fillId="0" borderId="78" xfId="1" applyFont="1" applyBorder="1"/>
    <xf numFmtId="44" fontId="1" fillId="0" borderId="78" xfId="1" applyFont="1" applyBorder="1"/>
    <xf numFmtId="0" fontId="1" fillId="0" borderId="78" xfId="0" applyFont="1" applyBorder="1"/>
    <xf numFmtId="0" fontId="0" fillId="0" borderId="78" xfId="0" applyBorder="1"/>
    <xf numFmtId="44" fontId="0" fillId="0" borderId="78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40" borderId="78" xfId="0" applyNumberFormat="1" applyFill="1" applyBorder="1"/>
    <xf numFmtId="17" fontId="0" fillId="0" borderId="78" xfId="0" applyNumberFormat="1" applyBorder="1"/>
    <xf numFmtId="9" fontId="0" fillId="0" borderId="78" xfId="2" applyFont="1" applyBorder="1"/>
    <xf numFmtId="17" fontId="0" fillId="0" borderId="0" xfId="0" applyNumberFormat="1"/>
    <xf numFmtId="44" fontId="0" fillId="0" borderId="0" xfId="0" applyNumberFormat="1"/>
    <xf numFmtId="0" fontId="51" fillId="0" borderId="57" xfId="0" applyFont="1" applyBorder="1" applyAlignment="1">
      <alignment horizontal="right" vertical="center"/>
    </xf>
    <xf numFmtId="0" fontId="52" fillId="0" borderId="57" xfId="0" applyFont="1" applyBorder="1" applyAlignment="1">
      <alignment horizontal="right" vertical="center"/>
    </xf>
    <xf numFmtId="44" fontId="51" fillId="0" borderId="57" xfId="1" applyFont="1" applyBorder="1" applyAlignment="1">
      <alignment horizontal="right" vertical="center"/>
    </xf>
    <xf numFmtId="9" fontId="0" fillId="0" borderId="0" xfId="2" applyFont="1"/>
    <xf numFmtId="17" fontId="0" fillId="37" borderId="78" xfId="1" applyNumberFormat="1" applyFont="1" applyFill="1" applyBorder="1"/>
    <xf numFmtId="44" fontId="0" fillId="37" borderId="78" xfId="1" applyFont="1" applyFill="1" applyBorder="1"/>
    <xf numFmtId="17" fontId="0" fillId="37" borderId="76" xfId="1" applyNumberFormat="1" applyFont="1" applyFill="1" applyBorder="1"/>
    <xf numFmtId="44" fontId="0" fillId="37" borderId="76" xfId="1" applyFont="1" applyFill="1" applyBorder="1"/>
    <xf numFmtId="17" fontId="0" fillId="56" borderId="111" xfId="1" applyNumberFormat="1" applyFont="1" applyFill="1" applyBorder="1"/>
    <xf numFmtId="44" fontId="0" fillId="56" borderId="111" xfId="1" applyFont="1" applyFill="1" applyBorder="1"/>
    <xf numFmtId="0" fontId="0" fillId="0" borderId="112" xfId="0" applyBorder="1"/>
    <xf numFmtId="0" fontId="0" fillId="0" borderId="117" xfId="0" applyBorder="1"/>
    <xf numFmtId="17" fontId="0" fillId="56" borderId="112" xfId="1" applyNumberFormat="1" applyFont="1" applyFill="1" applyBorder="1"/>
    <xf numFmtId="0" fontId="0" fillId="0" borderId="113" xfId="0" applyBorder="1"/>
    <xf numFmtId="2" fontId="0" fillId="0" borderId="0" xfId="0" applyNumberFormat="1"/>
    <xf numFmtId="17" fontId="0" fillId="57" borderId="113" xfId="0" applyNumberFormat="1" applyFill="1" applyBorder="1"/>
    <xf numFmtId="0" fontId="0" fillId="57" borderId="113" xfId="0" applyFill="1" applyBorder="1"/>
    <xf numFmtId="44" fontId="0" fillId="57" borderId="113" xfId="1" applyFont="1" applyFill="1" applyBorder="1"/>
    <xf numFmtId="44" fontId="0" fillId="57" borderId="113" xfId="0" applyNumberFormat="1" applyFill="1" applyBorder="1"/>
    <xf numFmtId="17" fontId="0" fillId="37" borderId="113" xfId="0" applyNumberFormat="1" applyFill="1" applyBorder="1"/>
    <xf numFmtId="44" fontId="0" fillId="0" borderId="13" xfId="0" applyNumberFormat="1" applyBorder="1"/>
    <xf numFmtId="44" fontId="0" fillId="37" borderId="113" xfId="1" applyFont="1" applyFill="1" applyBorder="1"/>
    <xf numFmtId="44" fontId="0" fillId="37" borderId="113" xfId="0" applyNumberFormat="1" applyFill="1" applyBorder="1"/>
    <xf numFmtId="0" fontId="57" fillId="58" borderId="34" xfId="0" applyFont="1" applyFill="1" applyBorder="1"/>
    <xf numFmtId="49" fontId="0" fillId="0" borderId="34" xfId="0" applyNumberFormat="1" applyBorder="1"/>
    <xf numFmtId="168" fontId="0" fillId="0" borderId="34" xfId="0" applyNumberFormat="1" applyBorder="1"/>
    <xf numFmtId="0" fontId="3" fillId="59" borderId="34" xfId="0" applyFont="1" applyFill="1" applyBorder="1"/>
    <xf numFmtId="168" fontId="3" fillId="59" borderId="34" xfId="0" applyNumberFormat="1" applyFont="1" applyFill="1" applyBorder="1"/>
    <xf numFmtId="168" fontId="0" fillId="37" borderId="113" xfId="1" applyNumberFormat="1" applyFont="1" applyFill="1" applyBorder="1"/>
    <xf numFmtId="168" fontId="0" fillId="37" borderId="113" xfId="0" applyNumberFormat="1" applyFill="1" applyBorder="1"/>
    <xf numFmtId="16" fontId="0" fillId="0" borderId="34" xfId="0" applyNumberFormat="1" applyBorder="1" applyAlignment="1">
      <alignment horizontal="left"/>
    </xf>
    <xf numFmtId="0" fontId="3" fillId="59" borderId="34" xfId="0" applyFont="1" applyFill="1" applyBorder="1" applyAlignment="1">
      <alignment horizontal="left"/>
    </xf>
    <xf numFmtId="44" fontId="0" fillId="0" borderId="34" xfId="1" applyFont="1" applyBorder="1"/>
    <xf numFmtId="44" fontId="3" fillId="59" borderId="34" xfId="1" applyFont="1" applyFill="1" applyBorder="1"/>
    <xf numFmtId="168" fontId="0" fillId="0" borderId="11" xfId="0" applyNumberFormat="1" applyBorder="1"/>
    <xf numFmtId="168" fontId="3" fillId="59" borderId="34" xfId="1" applyNumberFormat="1" applyFont="1" applyFill="1" applyBorder="1"/>
    <xf numFmtId="9" fontId="0" fillId="0" borderId="11" xfId="2" applyFont="1" applyBorder="1"/>
    <xf numFmtId="168" fontId="0" fillId="37" borderId="76" xfId="1" applyNumberFormat="1" applyFont="1" applyFill="1" applyBorder="1"/>
    <xf numFmtId="168" fontId="0" fillId="37" borderId="78" xfId="1" applyNumberFormat="1" applyFont="1" applyFill="1" applyBorder="1"/>
    <xf numFmtId="0" fontId="3" fillId="0" borderId="78" xfId="0" applyFont="1" applyBorder="1"/>
    <xf numFmtId="0" fontId="53" fillId="0" borderId="70" xfId="50" applyFont="1" applyBorder="1" applyAlignment="1">
      <alignment horizontal="center"/>
    </xf>
    <xf numFmtId="0" fontId="53" fillId="0" borderId="71" xfId="50" applyFont="1" applyBorder="1" applyAlignment="1">
      <alignment horizontal="center"/>
    </xf>
    <xf numFmtId="0" fontId="52" fillId="0" borderId="57" xfId="0" applyFont="1" applyBorder="1" applyAlignment="1">
      <alignment horizontal="left" vertical="center"/>
    </xf>
    <xf numFmtId="44" fontId="52" fillId="0" borderId="57" xfId="1" applyFont="1" applyBorder="1" applyAlignment="1">
      <alignment horizontal="right" vertical="center"/>
    </xf>
    <xf numFmtId="0" fontId="52" fillId="0" borderId="57" xfId="0" applyFont="1" applyBorder="1" applyAlignment="1">
      <alignment vertical="center"/>
    </xf>
    <xf numFmtId="44" fontId="51" fillId="0" borderId="57" xfId="0" applyNumberFormat="1" applyFont="1" applyBorder="1" applyAlignment="1">
      <alignment horizontal="right" vertical="center"/>
    </xf>
    <xf numFmtId="8" fontId="41" fillId="0" borderId="34" xfId="0" applyNumberFormat="1" applyFont="1" applyBorder="1" applyAlignment="1">
      <alignment horizontal="left"/>
    </xf>
    <xf numFmtId="8" fontId="41" fillId="0" borderId="0" xfId="0" applyNumberFormat="1" applyFont="1" applyAlignment="1">
      <alignment horizontal="left"/>
    </xf>
    <xf numFmtId="8" fontId="41" fillId="0" borderId="37" xfId="0" applyNumberFormat="1" applyFont="1" applyBorder="1" applyAlignment="1">
      <alignment horizontal="left"/>
    </xf>
    <xf numFmtId="0" fontId="10" fillId="0" borderId="6" xfId="3" applyFont="1" applyBorder="1" applyAlignment="1">
      <alignment horizontal="left" wrapText="1"/>
    </xf>
    <xf numFmtId="0" fontId="40" fillId="0" borderId="34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0" fillId="40" borderId="34" xfId="0" applyFill="1" applyBorder="1" applyAlignment="1">
      <alignment horizontal="left"/>
    </xf>
    <xf numFmtId="0" fontId="35" fillId="47" borderId="34" xfId="0" applyFont="1" applyFill="1" applyBorder="1" applyAlignment="1">
      <alignment horizontal="left" vertical="center" wrapText="1"/>
    </xf>
    <xf numFmtId="0" fontId="42" fillId="43" borderId="34" xfId="0" applyFont="1" applyFill="1" applyBorder="1" applyAlignment="1">
      <alignment horizontal="left" vertical="center" wrapText="1"/>
    </xf>
    <xf numFmtId="0" fontId="4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/>
    </xf>
    <xf numFmtId="0" fontId="2" fillId="0" borderId="34" xfId="0" applyFont="1" applyBorder="1" applyAlignment="1">
      <alignment horizontal="left" wrapText="1"/>
    </xf>
    <xf numFmtId="0" fontId="0" fillId="40" borderId="48" xfId="0" applyFill="1" applyBorder="1"/>
    <xf numFmtId="0" fontId="0" fillId="40" borderId="13" xfId="0" applyFill="1" applyBorder="1"/>
    <xf numFmtId="0" fontId="0" fillId="40" borderId="52" xfId="0" applyFill="1" applyBorder="1"/>
    <xf numFmtId="0" fontId="0" fillId="40" borderId="53" xfId="0" applyFill="1" applyBorder="1"/>
    <xf numFmtId="0" fontId="0" fillId="0" borderId="47" xfId="0" applyBorder="1"/>
    <xf numFmtId="0" fontId="0" fillId="0" borderId="40" xfId="0" applyBorder="1"/>
    <xf numFmtId="0" fontId="0" fillId="0" borderId="105" xfId="0" applyBorder="1"/>
    <xf numFmtId="0" fontId="0" fillId="40" borderId="47" xfId="0" applyFill="1" applyBorder="1"/>
    <xf numFmtId="0" fontId="0" fillId="0" borderId="14" xfId="0" applyBorder="1" applyAlignment="1">
      <alignment horizontal="center" vertical="center"/>
    </xf>
    <xf numFmtId="0" fontId="40" fillId="0" borderId="6" xfId="0" applyFont="1" applyBorder="1" applyAlignment="1">
      <alignment horizontal="left"/>
    </xf>
    <xf numFmtId="0" fontId="10" fillId="0" borderId="34" xfId="3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0" fillId="0" borderId="6" xfId="0" applyFont="1" applyBorder="1" applyAlignment="1">
      <alignment horizontal="left" wrapText="1"/>
    </xf>
    <xf numFmtId="0" fontId="5" fillId="0" borderId="34" xfId="3" applyBorder="1" applyAlignment="1">
      <alignment horizontal="left"/>
    </xf>
    <xf numFmtId="0" fontId="40" fillId="0" borderId="37" xfId="0" applyFont="1" applyBorder="1" applyAlignment="1">
      <alignment horizontal="left" wrapText="1"/>
    </xf>
    <xf numFmtId="0" fontId="5" fillId="0" borderId="35" xfId="3" applyBorder="1" applyAlignment="1">
      <alignment horizontal="left"/>
    </xf>
    <xf numFmtId="0" fontId="34" fillId="50" borderId="34" xfId="0" applyFont="1" applyFill="1" applyBorder="1" applyAlignment="1">
      <alignment horizontal="left" vertical="top" wrapText="1"/>
    </xf>
    <xf numFmtId="0" fontId="0" fillId="40" borderId="78" xfId="0" applyFill="1" applyBorder="1"/>
    <xf numFmtId="44" fontId="0" fillId="40" borderId="78" xfId="1" applyFont="1" applyFill="1" applyBorder="1"/>
    <xf numFmtId="14" fontId="0" fillId="40" borderId="78" xfId="0" applyNumberFormat="1" applyFill="1" applyBorder="1"/>
    <xf numFmtId="44" fontId="0" fillId="40" borderId="17" xfId="0" applyNumberFormat="1" applyFill="1" applyBorder="1"/>
    <xf numFmtId="44" fontId="58" fillId="40" borderId="16" xfId="0" applyNumberFormat="1" applyFont="1" applyFill="1" applyBorder="1"/>
    <xf numFmtId="44" fontId="58" fillId="40" borderId="52" xfId="0" applyNumberFormat="1" applyFont="1" applyFill="1" applyBorder="1"/>
    <xf numFmtId="0" fontId="0" fillId="40" borderId="78" xfId="0" applyFill="1" applyBorder="1" applyAlignment="1">
      <alignment horizontal="center" vertical="center"/>
    </xf>
    <xf numFmtId="14" fontId="0" fillId="40" borderId="76" xfId="0" applyNumberFormat="1" applyFill="1" applyBorder="1"/>
    <xf numFmtId="0" fontId="0" fillId="40" borderId="76" xfId="0" applyFill="1" applyBorder="1"/>
    <xf numFmtId="44" fontId="0" fillId="60" borderId="78" xfId="0" applyNumberFormat="1" applyFill="1" applyBorder="1"/>
    <xf numFmtId="0" fontId="0" fillId="60" borderId="78" xfId="0" applyFill="1" applyBorder="1"/>
    <xf numFmtId="44" fontId="0" fillId="60" borderId="78" xfId="1" applyFont="1" applyFill="1" applyBorder="1"/>
    <xf numFmtId="0" fontId="0" fillId="61" borderId="78" xfId="0" applyFill="1" applyBorder="1"/>
    <xf numFmtId="44" fontId="0" fillId="61" borderId="78" xfId="1" applyFont="1" applyFill="1" applyBorder="1"/>
    <xf numFmtId="44" fontId="0" fillId="61" borderId="78" xfId="0" applyNumberFormat="1" applyFill="1" applyBorder="1"/>
    <xf numFmtId="0" fontId="0" fillId="56" borderId="78" xfId="0" applyFill="1" applyBorder="1"/>
    <xf numFmtId="44" fontId="0" fillId="56" borderId="78" xfId="1" applyFont="1" applyFill="1" applyBorder="1"/>
    <xf numFmtId="44" fontId="0" fillId="56" borderId="78" xfId="0" applyNumberFormat="1" applyFill="1" applyBorder="1"/>
    <xf numFmtId="0" fontId="0" fillId="37" borderId="78" xfId="0" applyFill="1" applyBorder="1"/>
    <xf numFmtId="44" fontId="0" fillId="37" borderId="78" xfId="0" applyNumberFormat="1" applyFill="1" applyBorder="1"/>
    <xf numFmtId="44" fontId="61" fillId="0" borderId="14" xfId="1" applyFont="1" applyBorder="1"/>
    <xf numFmtId="0" fontId="61" fillId="0" borderId="11" xfId="0" applyFont="1" applyBorder="1"/>
    <xf numFmtId="44" fontId="61" fillId="0" borderId="11" xfId="1" applyFont="1" applyBorder="1"/>
    <xf numFmtId="44" fontId="61" fillId="0" borderId="13" xfId="1" applyFont="1" applyBorder="1"/>
    <xf numFmtId="44" fontId="61" fillId="0" borderId="55" xfId="1" applyFont="1" applyBorder="1"/>
    <xf numFmtId="0" fontId="60" fillId="62" borderId="78" xfId="0" applyFont="1" applyFill="1" applyBorder="1"/>
    <xf numFmtId="44" fontId="61" fillId="62" borderId="78" xfId="1" applyFont="1" applyFill="1" applyBorder="1"/>
    <xf numFmtId="0" fontId="61" fillId="62" borderId="78" xfId="0" applyFont="1" applyFill="1" applyBorder="1" applyAlignment="1">
      <alignment horizontal="left"/>
    </xf>
    <xf numFmtId="0" fontId="61" fillId="62" borderId="78" xfId="0" applyFont="1" applyFill="1" applyBorder="1" applyAlignment="1">
      <alignment horizontal="left" vertical="center" wrapText="1"/>
    </xf>
    <xf numFmtId="0" fontId="61" fillId="63" borderId="78" xfId="0" applyFont="1" applyFill="1" applyBorder="1" applyAlignment="1">
      <alignment horizontal="left" vertical="center" wrapText="1"/>
    </xf>
    <xf numFmtId="9" fontId="61" fillId="62" borderId="78" xfId="2" applyFont="1" applyFill="1" applyBorder="1"/>
    <xf numFmtId="0" fontId="61" fillId="62" borderId="78" xfId="0" applyFont="1" applyFill="1" applyBorder="1"/>
    <xf numFmtId="44" fontId="61" fillId="62" borderId="78" xfId="0" applyNumberFormat="1" applyFont="1" applyFill="1" applyBorder="1"/>
    <xf numFmtId="0" fontId="0" fillId="62" borderId="78" xfId="0" applyFill="1" applyBorder="1"/>
    <xf numFmtId="44" fontId="63" fillId="0" borderId="14" xfId="1" applyFont="1" applyBorder="1"/>
    <xf numFmtId="0" fontId="63" fillId="62" borderId="78" xfId="0" applyFont="1" applyFill="1" applyBorder="1"/>
    <xf numFmtId="44" fontId="63" fillId="62" borderId="78" xfId="0" applyNumberFormat="1" applyFont="1" applyFill="1" applyBorder="1"/>
    <xf numFmtId="44" fontId="63" fillId="0" borderId="48" xfId="1" applyFont="1" applyBorder="1"/>
    <xf numFmtId="44" fontId="63" fillId="0" borderId="13" xfId="1" applyFont="1" applyBorder="1"/>
    <xf numFmtId="0" fontId="63" fillId="62" borderId="78" xfId="0" applyFont="1" applyFill="1" applyBorder="1" applyAlignment="1">
      <alignment horizontal="left"/>
    </xf>
    <xf numFmtId="0" fontId="63" fillId="0" borderId="13" xfId="0" applyFont="1" applyBorder="1"/>
    <xf numFmtId="0" fontId="63" fillId="0" borderId="55" xfId="0" applyFont="1" applyBorder="1"/>
    <xf numFmtId="0" fontId="63" fillId="0" borderId="11" xfId="0" applyFont="1" applyBorder="1"/>
    <xf numFmtId="44" fontId="63" fillId="0" borderId="55" xfId="1" applyFont="1" applyBorder="1"/>
    <xf numFmtId="0" fontId="63" fillId="0" borderId="53" xfId="0" applyFont="1" applyBorder="1"/>
    <xf numFmtId="0" fontId="64" fillId="62" borderId="78" xfId="0" applyFont="1" applyFill="1" applyBorder="1"/>
    <xf numFmtId="44" fontId="63" fillId="62" borderId="78" xfId="1" applyFont="1" applyFill="1" applyBorder="1"/>
    <xf numFmtId="0" fontId="64" fillId="0" borderId="55" xfId="0" applyFont="1" applyBorder="1"/>
    <xf numFmtId="0" fontId="63" fillId="62" borderId="78" xfId="3" applyFont="1" applyFill="1" applyBorder="1" applyAlignment="1">
      <alignment horizontal="left"/>
    </xf>
    <xf numFmtId="0" fontId="63" fillId="62" borderId="78" xfId="0" applyFont="1" applyFill="1" applyBorder="1" applyAlignment="1">
      <alignment horizontal="left" wrapText="1"/>
    </xf>
    <xf numFmtId="0" fontId="63" fillId="62" borderId="78" xfId="3" applyFont="1" applyFill="1" applyBorder="1" applyAlignment="1">
      <alignment horizontal="left" wrapText="1"/>
    </xf>
    <xf numFmtId="9" fontId="63" fillId="62" borderId="78" xfId="2" applyFont="1" applyFill="1" applyBorder="1"/>
    <xf numFmtId="167" fontId="0" fillId="62" borderId="78" xfId="0" applyNumberFormat="1" applyFill="1" applyBorder="1"/>
    <xf numFmtId="44" fontId="0" fillId="40" borderId="78" xfId="0" applyNumberFormat="1" applyFill="1" applyBorder="1" applyAlignment="1">
      <alignment horizontal="center" vertical="center"/>
    </xf>
    <xf numFmtId="44" fontId="64" fillId="62" borderId="78" xfId="1" applyFont="1" applyFill="1" applyBorder="1"/>
    <xf numFmtId="44" fontId="0" fillId="0" borderId="122" xfId="1" applyFont="1" applyBorder="1"/>
    <xf numFmtId="0" fontId="0" fillId="40" borderId="14" xfId="0" applyFill="1" applyBorder="1"/>
    <xf numFmtId="0" fontId="0" fillId="0" borderId="62" xfId="0" applyBorder="1"/>
    <xf numFmtId="0" fontId="29" fillId="0" borderId="105" xfId="0" applyFont="1" applyBorder="1"/>
    <xf numFmtId="0" fontId="4" fillId="0" borderId="0" xfId="0" applyFont="1"/>
    <xf numFmtId="44" fontId="4" fillId="0" borderId="0" xfId="1" applyFont="1" applyBorder="1"/>
    <xf numFmtId="0" fontId="29" fillId="0" borderId="0" xfId="0" applyFont="1"/>
    <xf numFmtId="0" fontId="0" fillId="43" borderId="105" xfId="0" applyFill="1" applyBorder="1"/>
    <xf numFmtId="44" fontId="0" fillId="43" borderId="123" xfId="0" applyNumberFormat="1" applyFill="1" applyBorder="1"/>
    <xf numFmtId="0" fontId="59" fillId="62" borderId="78" xfId="0" applyFont="1" applyFill="1" applyBorder="1"/>
    <xf numFmtId="44" fontId="0" fillId="62" borderId="78" xfId="1" applyFont="1" applyFill="1" applyBorder="1"/>
    <xf numFmtId="9" fontId="0" fillId="62" borderId="78" xfId="2" applyFont="1" applyFill="1" applyBorder="1"/>
    <xf numFmtId="0" fontId="3" fillId="60" borderId="78" xfId="0" applyFont="1" applyFill="1" applyBorder="1"/>
    <xf numFmtId="0" fontId="3" fillId="61" borderId="78" xfId="0" applyFont="1" applyFill="1" applyBorder="1"/>
    <xf numFmtId="0" fontId="3" fillId="56" borderId="78" xfId="0" applyFont="1" applyFill="1" applyBorder="1"/>
    <xf numFmtId="0" fontId="3" fillId="37" borderId="78" xfId="0" applyFont="1" applyFill="1" applyBorder="1"/>
    <xf numFmtId="4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4" fontId="33" fillId="51" borderId="35" xfId="0" applyNumberFormat="1" applyFont="1" applyFill="1" applyBorder="1" applyAlignment="1">
      <alignment horizontal="left" vertical="center" wrapText="1"/>
    </xf>
    <xf numFmtId="0" fontId="40" fillId="0" borderId="44" xfId="0" applyFont="1" applyBorder="1"/>
    <xf numFmtId="0" fontId="40" fillId="0" borderId="56" xfId="0" applyFont="1" applyBorder="1"/>
    <xf numFmtId="0" fontId="65" fillId="0" borderId="34" xfId="0" applyFont="1" applyBorder="1" applyAlignment="1">
      <alignment horizontal="left" vertical="center" wrapText="1"/>
    </xf>
    <xf numFmtId="0" fontId="66" fillId="0" borderId="34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left" vertical="center" wrapText="1"/>
    </xf>
    <xf numFmtId="0" fontId="67" fillId="0" borderId="34" xfId="0" applyFont="1" applyBorder="1" applyAlignment="1">
      <alignment horizontal="center" vertical="center" wrapText="1"/>
    </xf>
    <xf numFmtId="0" fontId="68" fillId="0" borderId="34" xfId="0" applyFont="1" applyBorder="1" applyAlignment="1">
      <alignment horizontal="left" vertical="center" wrapText="1"/>
    </xf>
    <xf numFmtId="8" fontId="67" fillId="0" borderId="34" xfId="0" applyNumberFormat="1" applyFont="1" applyBorder="1" applyAlignment="1">
      <alignment vertical="center" wrapText="1"/>
    </xf>
    <xf numFmtId="8" fontId="48" fillId="0" borderId="34" xfId="0" applyNumberFormat="1" applyFont="1" applyBorder="1" applyAlignment="1">
      <alignment horizontal="center" vertical="center"/>
    </xf>
    <xf numFmtId="8" fontId="47" fillId="0" borderId="34" xfId="0" applyNumberFormat="1" applyFont="1" applyBorder="1" applyAlignment="1">
      <alignment horizontal="left"/>
    </xf>
    <xf numFmtId="8" fontId="69" fillId="0" borderId="34" xfId="0" applyNumberFormat="1" applyFont="1" applyBorder="1"/>
    <xf numFmtId="8" fontId="69" fillId="48" borderId="34" xfId="0" applyNumberFormat="1" applyFont="1" applyFill="1" applyBorder="1" applyAlignment="1">
      <alignment horizontal="right" vertical="center" wrapText="1"/>
    </xf>
    <xf numFmtId="8" fontId="69" fillId="50" borderId="34" xfId="0" applyNumberFormat="1" applyFont="1" applyFill="1" applyBorder="1" applyAlignment="1">
      <alignment horizontal="right" vertical="center" wrapText="1"/>
    </xf>
    <xf numFmtId="0" fontId="40" fillId="0" borderId="35" xfId="0" applyFont="1" applyBorder="1"/>
    <xf numFmtId="8" fontId="40" fillId="0" borderId="35" xfId="0" applyNumberFormat="1" applyFont="1" applyBorder="1"/>
    <xf numFmtId="0" fontId="70" fillId="50" borderId="34" xfId="0" applyFont="1" applyFill="1" applyBorder="1" applyAlignment="1">
      <alignment horizontal="left" vertical="center" wrapText="1"/>
    </xf>
    <xf numFmtId="0" fontId="70" fillId="48" borderId="34" xfId="0" applyFont="1" applyFill="1" applyBorder="1" applyAlignment="1">
      <alignment horizontal="left" vertical="center" wrapText="1"/>
    </xf>
    <xf numFmtId="8" fontId="40" fillId="0" borderId="37" xfId="0" applyNumberFormat="1" applyFont="1" applyBorder="1"/>
    <xf numFmtId="0" fontId="40" fillId="50" borderId="34" xfId="0" applyFont="1" applyFill="1" applyBorder="1"/>
    <xf numFmtId="8" fontId="40" fillId="50" borderId="34" xfId="0" applyNumberFormat="1" applyFont="1" applyFill="1" applyBorder="1" applyAlignment="1">
      <alignment vertical="center"/>
    </xf>
    <xf numFmtId="0" fontId="40" fillId="50" borderId="34" xfId="0" applyFont="1" applyFill="1" applyBorder="1" applyAlignment="1">
      <alignment horizontal="left"/>
    </xf>
    <xf numFmtId="167" fontId="40" fillId="0" borderId="34" xfId="0" applyNumberFormat="1" applyFont="1" applyBorder="1" applyAlignment="1">
      <alignment horizontal="left"/>
    </xf>
    <xf numFmtId="167" fontId="40" fillId="0" borderId="34" xfId="0" applyNumberFormat="1" applyFont="1" applyBorder="1"/>
    <xf numFmtId="167" fontId="40" fillId="0" borderId="0" xfId="0" applyNumberFormat="1" applyFont="1"/>
    <xf numFmtId="167" fontId="35" fillId="50" borderId="34" xfId="0" applyNumberFormat="1" applyFont="1" applyFill="1" applyBorder="1" applyAlignment="1">
      <alignment horizontal="right" vertical="center"/>
    </xf>
    <xf numFmtId="167" fontId="35" fillId="49" borderId="34" xfId="0" applyNumberFormat="1" applyFont="1" applyFill="1" applyBorder="1" applyAlignment="1">
      <alignment horizontal="right" vertical="center"/>
    </xf>
    <xf numFmtId="0" fontId="0" fillId="40" borderId="103" xfId="0" applyFill="1" applyBorder="1" applyAlignment="1">
      <alignment horizontal="center"/>
    </xf>
    <xf numFmtId="0" fontId="0" fillId="40" borderId="84" xfId="0" applyFill="1" applyBorder="1" applyAlignment="1">
      <alignment horizontal="center"/>
    </xf>
    <xf numFmtId="44" fontId="0" fillId="40" borderId="103" xfId="1" applyFont="1" applyFill="1" applyBorder="1" applyAlignment="1">
      <alignment horizontal="center" vertical="center"/>
    </xf>
    <xf numFmtId="44" fontId="0" fillId="40" borderId="84" xfId="1" applyFont="1" applyFill="1" applyBorder="1" applyAlignment="1">
      <alignment horizontal="center" vertical="center"/>
    </xf>
    <xf numFmtId="0" fontId="0" fillId="40" borderId="104" xfId="0" applyFill="1" applyBorder="1" applyAlignment="1">
      <alignment horizontal="center"/>
    </xf>
    <xf numFmtId="0" fontId="62" fillId="40" borderId="88" xfId="0" applyFont="1" applyFill="1" applyBorder="1" applyAlignment="1">
      <alignment horizontal="center" vertical="center"/>
    </xf>
    <xf numFmtId="0" fontId="62" fillId="40" borderId="106" xfId="0" applyFont="1" applyFill="1" applyBorder="1" applyAlignment="1">
      <alignment horizontal="center" vertical="center"/>
    </xf>
    <xf numFmtId="0" fontId="62" fillId="40" borderId="107" xfId="0" applyFont="1" applyFill="1" applyBorder="1" applyAlignment="1">
      <alignment horizontal="center" vertical="center"/>
    </xf>
    <xf numFmtId="0" fontId="62" fillId="40" borderId="99" xfId="0" applyFont="1" applyFill="1" applyBorder="1" applyAlignment="1">
      <alignment horizontal="center" vertical="center"/>
    </xf>
    <xf numFmtId="0" fontId="62" fillId="40" borderId="108" xfId="0" applyFont="1" applyFill="1" applyBorder="1" applyAlignment="1">
      <alignment horizontal="center" vertical="center"/>
    </xf>
    <xf numFmtId="0" fontId="62" fillId="40" borderId="81" xfId="0" applyFont="1" applyFill="1" applyBorder="1" applyAlignment="1">
      <alignment horizontal="center" vertical="center"/>
    </xf>
    <xf numFmtId="44" fontId="0" fillId="0" borderId="78" xfId="1" applyFont="1" applyBorder="1" applyAlignment="1">
      <alignment horizontal="center" vertical="center"/>
    </xf>
    <xf numFmtId="44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44" fontId="56" fillId="0" borderId="78" xfId="1" applyFont="1" applyBorder="1" applyAlignment="1">
      <alignment horizontal="center"/>
    </xf>
    <xf numFmtId="44" fontId="56" fillId="0" borderId="78" xfId="0" applyNumberFormat="1" applyFont="1" applyBorder="1" applyAlignment="1">
      <alignment horizontal="center"/>
    </xf>
    <xf numFmtId="0" fontId="56" fillId="0" borderId="78" xfId="0" applyFont="1" applyBorder="1" applyAlignment="1">
      <alignment horizont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44" fontId="0" fillId="0" borderId="78" xfId="1" applyFont="1" applyBorder="1" applyAlignment="1">
      <alignment horizontal="center"/>
    </xf>
    <xf numFmtId="44" fontId="0" fillId="0" borderId="78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55" fillId="0" borderId="78" xfId="0" applyFont="1" applyBorder="1" applyAlignment="1">
      <alignment horizontal="center"/>
    </xf>
    <xf numFmtId="0" fontId="55" fillId="0" borderId="88" xfId="0" applyFont="1" applyBorder="1" applyAlignment="1">
      <alignment horizontal="center"/>
    </xf>
    <xf numFmtId="0" fontId="55" fillId="0" borderId="106" xfId="0" applyFont="1" applyBorder="1" applyAlignment="1">
      <alignment horizontal="center"/>
    </xf>
    <xf numFmtId="0" fontId="55" fillId="0" borderId="107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82" xfId="0" applyFont="1" applyBorder="1" applyAlignment="1">
      <alignment horizontal="center"/>
    </xf>
    <xf numFmtId="0" fontId="55" fillId="0" borderId="108" xfId="0" applyFont="1" applyBorder="1" applyAlignment="1">
      <alignment horizontal="center"/>
    </xf>
    <xf numFmtId="0" fontId="55" fillId="0" borderId="81" xfId="0" applyFont="1" applyBorder="1" applyAlignment="1">
      <alignment horizontal="center"/>
    </xf>
    <xf numFmtId="44" fontId="0" fillId="38" borderId="78" xfId="1" applyFont="1" applyFill="1" applyBorder="1" applyAlignment="1">
      <alignment horizontal="center" vertical="center"/>
    </xf>
    <xf numFmtId="44" fontId="0" fillId="0" borderId="75" xfId="1" applyFont="1" applyBorder="1" applyAlignment="1">
      <alignment horizontal="center" vertical="center"/>
    </xf>
    <xf numFmtId="44" fontId="0" fillId="0" borderId="77" xfId="1" applyFont="1" applyBorder="1" applyAlignment="1">
      <alignment horizontal="center" vertical="center"/>
    </xf>
    <xf numFmtId="0" fontId="0" fillId="0" borderId="110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38" borderId="85" xfId="1" applyFont="1" applyFill="1" applyBorder="1" applyAlignment="1">
      <alignment horizontal="center" vertical="center"/>
    </xf>
    <xf numFmtId="44" fontId="0" fillId="38" borderId="76" xfId="1" applyFont="1" applyFill="1" applyBorder="1" applyAlignment="1">
      <alignment horizontal="center" vertical="center"/>
    </xf>
    <xf numFmtId="0" fontId="0" fillId="0" borderId="113" xfId="0" applyBorder="1" applyAlignment="1">
      <alignment horizontal="center"/>
    </xf>
    <xf numFmtId="44" fontId="56" fillId="0" borderId="78" xfId="1" applyFont="1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84" xfId="0" applyBorder="1" applyAlignment="1">
      <alignment horizontal="center"/>
    </xf>
    <xf numFmtId="44" fontId="56" fillId="0" borderId="78" xfId="0" applyNumberFormat="1" applyFont="1" applyBorder="1" applyAlignment="1">
      <alignment horizontal="center" vertical="center"/>
    </xf>
    <xf numFmtId="0" fontId="56" fillId="0" borderId="78" xfId="0" applyFont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53" fillId="0" borderId="78" xfId="50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44" fontId="0" fillId="37" borderId="32" xfId="1" applyFont="1" applyFill="1" applyBorder="1" applyAlignment="1">
      <alignment horizontal="center" vertical="center"/>
    </xf>
    <xf numFmtId="44" fontId="0" fillId="37" borderId="33" xfId="1" applyFont="1" applyFill="1" applyBorder="1" applyAlignment="1">
      <alignment horizontal="center" vertical="center"/>
    </xf>
    <xf numFmtId="44" fontId="0" fillId="0" borderId="31" xfId="1" applyFont="1" applyBorder="1" applyAlignment="1">
      <alignment horizontal="center" vertical="center"/>
    </xf>
    <xf numFmtId="0" fontId="0" fillId="42" borderId="49" xfId="0" applyFill="1" applyBorder="1" applyAlignment="1">
      <alignment horizontal="center" vertical="center"/>
    </xf>
    <xf numFmtId="0" fontId="0" fillId="42" borderId="47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0" fillId="36" borderId="40" xfId="0" applyFill="1" applyBorder="1" applyAlignment="1">
      <alignment horizontal="center" vertical="center"/>
    </xf>
    <xf numFmtId="0" fontId="0" fillId="36" borderId="47" xfId="0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0" fillId="41" borderId="24" xfId="0" applyFill="1" applyBorder="1" applyAlignment="1">
      <alignment horizontal="center" vertical="center"/>
    </xf>
    <xf numFmtId="44" fontId="0" fillId="0" borderId="29" xfId="0" applyNumberFormat="1" applyBorder="1" applyAlignment="1">
      <alignment horizontal="center"/>
    </xf>
    <xf numFmtId="44" fontId="0" fillId="0" borderId="51" xfId="0" applyNumberFormat="1" applyBorder="1" applyAlignment="1">
      <alignment horizontal="center"/>
    </xf>
    <xf numFmtId="0" fontId="0" fillId="36" borderId="30" xfId="0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44" fontId="0" fillId="0" borderId="27" xfId="1" applyFont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0" fillId="42" borderId="22" xfId="0" applyFill="1" applyBorder="1" applyAlignment="1">
      <alignment horizontal="center" vertical="center"/>
    </xf>
    <xf numFmtId="0" fontId="0" fillId="42" borderId="23" xfId="0" applyFill="1" applyBorder="1" applyAlignment="1">
      <alignment horizontal="center" vertical="center"/>
    </xf>
    <xf numFmtId="44" fontId="0" fillId="37" borderId="50" xfId="1" applyFont="1" applyFill="1" applyBorder="1" applyAlignment="1">
      <alignment horizontal="center" vertical="center"/>
    </xf>
    <xf numFmtId="44" fontId="0" fillId="37" borderId="0" xfId="1" applyFont="1" applyFill="1" applyBorder="1" applyAlignment="1">
      <alignment horizontal="center" vertical="center"/>
    </xf>
    <xf numFmtId="44" fontId="0" fillId="0" borderId="39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0" fillId="0" borderId="51" xfId="0" applyNumberFormat="1" applyBorder="1" applyAlignment="1">
      <alignment horizontal="center" vertical="center"/>
    </xf>
    <xf numFmtId="44" fontId="0" fillId="0" borderId="17" xfId="0" applyNumberFormat="1" applyBorder="1" applyAlignment="1">
      <alignment horizontal="center" vertical="center"/>
    </xf>
    <xf numFmtId="44" fontId="0" fillId="0" borderId="103" xfId="0" applyNumberFormat="1" applyBorder="1" applyAlignment="1">
      <alignment horizontal="center"/>
    </xf>
    <xf numFmtId="44" fontId="0" fillId="0" borderId="84" xfId="0" applyNumberFormat="1" applyBorder="1" applyAlignment="1">
      <alignment horizontal="center"/>
    </xf>
    <xf numFmtId="0" fontId="0" fillId="0" borderId="114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16" xfId="0" applyBorder="1" applyAlignment="1">
      <alignment horizontal="center"/>
    </xf>
    <xf numFmtId="44" fontId="0" fillId="0" borderId="40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0" borderId="47" xfId="1" applyFont="1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50" xfId="1" applyFont="1" applyBorder="1" applyAlignment="1">
      <alignment horizontal="center" vertical="center"/>
    </xf>
    <xf numFmtId="44" fontId="0" fillId="0" borderId="118" xfId="1" applyFont="1" applyBorder="1" applyAlignment="1">
      <alignment horizontal="center" vertical="center"/>
    </xf>
    <xf numFmtId="44" fontId="0" fillId="0" borderId="88" xfId="1" applyFont="1" applyBorder="1" applyAlignment="1">
      <alignment horizontal="center" vertical="center"/>
    </xf>
    <xf numFmtId="44" fontId="0" fillId="0" borderId="107" xfId="1" applyFont="1" applyBorder="1" applyAlignment="1">
      <alignment horizontal="center" vertical="center"/>
    </xf>
    <xf numFmtId="44" fontId="0" fillId="0" borderId="99" xfId="1" applyFont="1" applyBorder="1" applyAlignment="1">
      <alignment horizontal="center" vertical="center"/>
    </xf>
    <xf numFmtId="44" fontId="0" fillId="0" borderId="81" xfId="1" applyFont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5" xfId="0" applyBorder="1" applyAlignment="1">
      <alignment horizontal="center"/>
    </xf>
    <xf numFmtId="44" fontId="0" fillId="38" borderId="54" xfId="1" applyFont="1" applyFill="1" applyBorder="1" applyAlignment="1">
      <alignment horizontal="center" vertical="center"/>
    </xf>
    <xf numFmtId="44" fontId="0" fillId="0" borderId="54" xfId="1" applyFont="1" applyBorder="1" applyAlignment="1">
      <alignment horizontal="center" vertical="center"/>
    </xf>
    <xf numFmtId="0" fontId="0" fillId="36" borderId="58" xfId="0" applyFill="1" applyBorder="1" applyAlignment="1">
      <alignment horizontal="center" vertical="center"/>
    </xf>
    <xf numFmtId="0" fontId="0" fillId="36" borderId="59" xfId="0" applyFill="1" applyBorder="1" applyAlignment="1">
      <alignment horizontal="center" vertical="center"/>
    </xf>
    <xf numFmtId="44" fontId="0" fillId="0" borderId="58" xfId="1" applyFont="1" applyBorder="1" applyAlignment="1">
      <alignment horizontal="center" vertical="center"/>
    </xf>
    <xf numFmtId="44" fontId="0" fillId="0" borderId="59" xfId="1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49" fillId="0" borderId="64" xfId="50" applyFont="1" applyBorder="1" applyAlignment="1">
      <alignment horizontal="center" vertical="center" wrapText="1"/>
    </xf>
    <xf numFmtId="0" fontId="49" fillId="0" borderId="65" xfId="50" applyFont="1" applyBorder="1" applyAlignment="1">
      <alignment horizontal="center" vertical="center" wrapText="1"/>
    </xf>
    <xf numFmtId="0" fontId="49" fillId="0" borderId="64" xfId="50" applyFont="1" applyBorder="1" applyAlignment="1">
      <alignment horizontal="center" vertical="center"/>
    </xf>
    <xf numFmtId="0" fontId="49" fillId="0" borderId="65" xfId="50" applyFont="1" applyBorder="1" applyAlignment="1">
      <alignment horizontal="center" vertical="center"/>
    </xf>
    <xf numFmtId="0" fontId="0" fillId="42" borderId="54" xfId="0" applyFill="1" applyBorder="1" applyAlignment="1">
      <alignment horizontal="center"/>
    </xf>
    <xf numFmtId="0" fontId="0" fillId="41" borderId="61" xfId="0" applyFill="1" applyBorder="1" applyAlignment="1">
      <alignment horizontal="center" vertical="center"/>
    </xf>
    <xf numFmtId="0" fontId="0" fillId="41" borderId="47" xfId="0" applyFill="1" applyBorder="1" applyAlignment="1">
      <alignment horizontal="center" vertical="center"/>
    </xf>
    <xf numFmtId="44" fontId="0" fillId="0" borderId="61" xfId="0" applyNumberFormat="1" applyBorder="1" applyAlignment="1">
      <alignment horizontal="center"/>
    </xf>
    <xf numFmtId="44" fontId="0" fillId="0" borderId="47" xfId="0" applyNumberFormat="1" applyBorder="1" applyAlignment="1">
      <alignment horizontal="center"/>
    </xf>
    <xf numFmtId="0" fontId="47" fillId="0" borderId="78" xfId="0" applyFont="1" applyBorder="1" applyAlignment="1">
      <alignment horizontal="center"/>
    </xf>
    <xf numFmtId="44" fontId="0" fillId="37" borderId="54" xfId="1" applyFont="1" applyFill="1" applyBorder="1" applyAlignment="1">
      <alignment horizontal="center" vertical="center"/>
    </xf>
    <xf numFmtId="0" fontId="0" fillId="36" borderId="54" xfId="0" applyFill="1" applyBorder="1" applyAlignment="1">
      <alignment horizontal="center" vertical="center"/>
    </xf>
    <xf numFmtId="44" fontId="0" fillId="37" borderId="58" xfId="1" applyFont="1" applyFill="1" applyBorder="1" applyAlignment="1">
      <alignment horizontal="center" vertical="center"/>
    </xf>
    <xf numFmtId="44" fontId="0" fillId="37" borderId="59" xfId="1" applyFont="1" applyFill="1" applyBorder="1" applyAlignment="1">
      <alignment horizontal="center" vertical="center"/>
    </xf>
    <xf numFmtId="44" fontId="0" fillId="40" borderId="49" xfId="0" applyNumberFormat="1" applyFill="1" applyBorder="1" applyAlignment="1">
      <alignment horizontal="center" vertical="center"/>
    </xf>
    <xf numFmtId="44" fontId="0" fillId="40" borderId="60" xfId="0" applyNumberFormat="1" applyFill="1" applyBorder="1" applyAlignment="1">
      <alignment horizontal="center" vertical="center"/>
    </xf>
    <xf numFmtId="0" fontId="0" fillId="55" borderId="49" xfId="0" applyFill="1" applyBorder="1" applyAlignment="1">
      <alignment horizontal="center" vertical="center"/>
    </xf>
    <xf numFmtId="0" fontId="0" fillId="55" borderId="60" xfId="0" applyFill="1" applyBorder="1" applyAlignment="1">
      <alignment horizontal="center" vertical="center"/>
    </xf>
    <xf numFmtId="0" fontId="0" fillId="41" borderId="54" xfId="0" applyFill="1" applyBorder="1" applyAlignment="1">
      <alignment horizontal="center" vertical="center"/>
    </xf>
    <xf numFmtId="44" fontId="0" fillId="0" borderId="54" xfId="0" applyNumberFormat="1" applyBorder="1" applyAlignment="1">
      <alignment horizontal="center"/>
    </xf>
    <xf numFmtId="44" fontId="0" fillId="40" borderId="121" xfId="0" applyNumberFormat="1" applyFill="1" applyBorder="1" applyAlignment="1">
      <alignment horizontal="center" vertical="center"/>
    </xf>
    <xf numFmtId="44" fontId="0" fillId="40" borderId="63" xfId="0" applyNumberFormat="1" applyFill="1" applyBorder="1" applyAlignment="1">
      <alignment horizontal="center" vertical="center"/>
    </xf>
    <xf numFmtId="44" fontId="0" fillId="37" borderId="61" xfId="1" applyFont="1" applyFill="1" applyBorder="1" applyAlignment="1">
      <alignment horizontal="center" vertical="center"/>
    </xf>
    <xf numFmtId="44" fontId="0" fillId="37" borderId="47" xfId="1" applyFont="1" applyFill="1" applyBorder="1" applyAlignment="1">
      <alignment horizontal="center" vertical="center"/>
    </xf>
    <xf numFmtId="44" fontId="0" fillId="0" borderId="49" xfId="0" applyNumberFormat="1" applyBorder="1" applyAlignment="1">
      <alignment horizontal="center" vertical="center"/>
    </xf>
    <xf numFmtId="44" fontId="0" fillId="0" borderId="100" xfId="0" applyNumberFormat="1" applyBorder="1" applyAlignment="1">
      <alignment horizontal="center" vertical="center"/>
    </xf>
    <xf numFmtId="0" fontId="0" fillId="36" borderId="85" xfId="0" applyFill="1" applyBorder="1" applyAlignment="1">
      <alignment horizontal="center" vertical="center"/>
    </xf>
    <xf numFmtId="0" fontId="0" fillId="36" borderId="76" xfId="0" applyFill="1" applyBorder="1" applyAlignment="1">
      <alignment horizontal="center" vertical="center"/>
    </xf>
    <xf numFmtId="44" fontId="0" fillId="0" borderId="119" xfId="1" applyFont="1" applyBorder="1" applyAlignment="1">
      <alignment horizontal="center" vertical="center"/>
    </xf>
    <xf numFmtId="44" fontId="0" fillId="0" borderId="120" xfId="1" applyFont="1" applyBorder="1" applyAlignment="1">
      <alignment horizontal="center" vertical="center"/>
    </xf>
    <xf numFmtId="44" fontId="0" fillId="38" borderId="58" xfId="1" applyFont="1" applyFill="1" applyBorder="1" applyAlignment="1">
      <alignment horizontal="center" vertical="center"/>
    </xf>
    <xf numFmtId="44" fontId="0" fillId="38" borderId="59" xfId="1" applyFont="1" applyFill="1" applyBorder="1" applyAlignment="1">
      <alignment horizontal="center" vertical="center"/>
    </xf>
    <xf numFmtId="0" fontId="3" fillId="0" borderId="64" xfId="50" applyFont="1" applyBorder="1" applyAlignment="1">
      <alignment horizontal="center" vertical="center"/>
    </xf>
    <xf numFmtId="0" fontId="3" fillId="0" borderId="65" xfId="50" applyFont="1" applyBorder="1" applyAlignment="1">
      <alignment horizontal="center" vertical="center"/>
    </xf>
    <xf numFmtId="0" fontId="3" fillId="0" borderId="64" xfId="50" applyFont="1" applyBorder="1" applyAlignment="1">
      <alignment horizontal="center" vertical="center" wrapText="1"/>
    </xf>
    <xf numFmtId="0" fontId="3" fillId="0" borderId="65" xfId="50" applyFont="1" applyBorder="1" applyAlignment="1">
      <alignment horizontal="center" vertical="center" wrapText="1"/>
    </xf>
    <xf numFmtId="44" fontId="0" fillId="0" borderId="61" xfId="1" applyFont="1" applyBorder="1" applyAlignment="1">
      <alignment horizontal="center" vertical="center"/>
    </xf>
  </cellXfs>
  <cellStyles count="51">
    <cellStyle name="20% - Ênfase1 2" xfId="22" xr:uid="{86640C99-3E36-4945-82AD-0854A7531A01}"/>
    <cellStyle name="20% - Ênfase2 2" xfId="26" xr:uid="{8611CA71-7718-4EA5-A395-15119CE3BDF9}"/>
    <cellStyle name="20% - Ênfase3 2" xfId="30" xr:uid="{E3AFC981-F6D2-4602-B9DA-2E7C690F7078}"/>
    <cellStyle name="20% - Ênfase4 2" xfId="34" xr:uid="{691BB94E-C5B4-4A6A-B390-73736522FF20}"/>
    <cellStyle name="20% - Ênfase5 2" xfId="38" xr:uid="{A279BC70-D62C-4593-B907-D84BE6067F44}"/>
    <cellStyle name="20% - Ênfase6 2" xfId="42" xr:uid="{8BDC0BF4-6E7B-40A4-8538-356483280867}"/>
    <cellStyle name="40% - Ênfase1 2" xfId="23" xr:uid="{3B5C576A-9304-47A9-8534-D92AFBAC4575}"/>
    <cellStyle name="40% - Ênfase2 2" xfId="27" xr:uid="{E856D941-8AD2-4D9E-9926-985ABB368A84}"/>
    <cellStyle name="40% - Ênfase3 2" xfId="31" xr:uid="{20262139-6056-4237-A10E-531E85B89F4D}"/>
    <cellStyle name="40% - Ênfase4 2" xfId="35" xr:uid="{702B8F38-2A5B-4437-854A-06D6ADCD8980}"/>
    <cellStyle name="40% - Ênfase5 2" xfId="39" xr:uid="{66B5A1EA-783B-46C9-8BCA-212B20D04649}"/>
    <cellStyle name="40% - Ênfase6 2" xfId="43" xr:uid="{46689240-B95C-4B61-B25A-E64D8CC6EE62}"/>
    <cellStyle name="60% - Ênfase1 2" xfId="24" xr:uid="{A03B260A-3AB5-41EC-BD43-184948AE7E95}"/>
    <cellStyle name="60% - Ênfase2 2" xfId="28" xr:uid="{20EE2348-9ABF-4490-BAF8-9705CB83F0CF}"/>
    <cellStyle name="60% - Ênfase3 2" xfId="32" xr:uid="{1A7F6987-D78E-4D86-911F-FED57AD75518}"/>
    <cellStyle name="60% - Ênfase4 2" xfId="36" xr:uid="{C5C37320-0981-4492-92DC-83D9216C5947}"/>
    <cellStyle name="60% - Ênfase5 2" xfId="40" xr:uid="{5DD08AB0-A7CA-47E3-B898-1B4775668BF8}"/>
    <cellStyle name="60% - Ênfase6 2" xfId="44" xr:uid="{5BDB9C4A-70F9-43BC-82FA-7C00A31DCF04}"/>
    <cellStyle name="Bom 2" xfId="10" xr:uid="{5704B6B4-A020-40DC-9771-38CCC677AA24}"/>
    <cellStyle name="Cálculo 2" xfId="14" xr:uid="{D87E0FEF-0F9C-4664-B588-D5AF3DCE33FD}"/>
    <cellStyle name="Célula de Verificação 2" xfId="16" xr:uid="{CB2381DB-0BDF-4301-B773-E2A9109ED942}"/>
    <cellStyle name="Célula Vinculada 2" xfId="15" xr:uid="{EAD94C5E-6ACC-4A23-B97A-F51192481359}"/>
    <cellStyle name="Ênfase1 2" xfId="21" xr:uid="{C9D234A9-136A-435B-8C9D-A1E051D2B71A}"/>
    <cellStyle name="Ênfase2 2" xfId="25" xr:uid="{7B1676B8-38DD-4E9F-9CBC-5AFAE48BE7EE}"/>
    <cellStyle name="Ênfase3 2" xfId="29" xr:uid="{BACE065B-B383-477E-A23B-17B4EA4B3BB7}"/>
    <cellStyle name="Ênfase4 2" xfId="33" xr:uid="{D55F40F8-C1C7-403F-B1F2-AC392AC7E3F2}"/>
    <cellStyle name="Ênfase5 2" xfId="37" xr:uid="{360437B6-B62F-4B95-97A7-4052B6D8CB19}"/>
    <cellStyle name="Ênfase6 2" xfId="41" xr:uid="{33299BE1-3783-4B56-8155-B2969E32E34D}"/>
    <cellStyle name="Entrada" xfId="47" builtinId="20"/>
    <cellStyle name="Entrada 2" xfId="12" xr:uid="{CAC53CC2-6197-4B7F-8A98-78533B3C787E}"/>
    <cellStyle name="Hiperlink" xfId="50" builtinId="8"/>
    <cellStyle name="Incorreto" xfId="45" xr:uid="{0AFE1BC9-1430-4757-B59A-E414CFD73573}"/>
    <cellStyle name="Moeda" xfId="1" builtinId="4"/>
    <cellStyle name="Moeda 2" xfId="4" xr:uid="{C229AE2F-E104-4DF9-9A78-6FDE9EEA41B2}"/>
    <cellStyle name="Moeda 3" xfId="49" xr:uid="{9FB33FA3-BD81-48E7-B268-09D899D21076}"/>
    <cellStyle name="Neutra" xfId="46" xr:uid="{71C47A3D-F8EA-436D-B5F3-B9798E3D4D87}"/>
    <cellStyle name="Normal" xfId="0" builtinId="0"/>
    <cellStyle name="Normal 2" xfId="3" xr:uid="{8A134199-6F72-4389-9A56-3113475BD73F}"/>
    <cellStyle name="Normal 5" xfId="48" xr:uid="{6145DEA6-CAD2-450E-B31B-678F6738C20F}"/>
    <cellStyle name="Nota 2" xfId="18" xr:uid="{52016B9B-9320-41D1-9D65-DE9C737C677A}"/>
    <cellStyle name="Porcentagem" xfId="2" builtinId="5"/>
    <cellStyle name="Ruim 2" xfId="11" xr:uid="{E1254AC3-6F0D-4CFC-8337-2F623C0D84D4}"/>
    <cellStyle name="Saída 2" xfId="13" xr:uid="{DC84CF5B-F875-444C-B560-CF76A89C66C6}"/>
    <cellStyle name="Texto de Aviso 2" xfId="17" xr:uid="{DFFA1A61-755F-442F-823B-8950E7E9B305}"/>
    <cellStyle name="Texto Explicativo 2" xfId="19" xr:uid="{A084F42B-E59F-4767-9EB1-D66B2D7DD143}"/>
    <cellStyle name="Título 1 2" xfId="6" xr:uid="{C7E708D2-E428-4230-AB6F-A93CF2CC9297}"/>
    <cellStyle name="Título 2 2" xfId="7" xr:uid="{AD733E0D-46C5-475C-834F-6388FE18B963}"/>
    <cellStyle name="Título 3 2" xfId="8" xr:uid="{F12A9BAB-86BA-4935-A0EF-4EE8EBB905DF}"/>
    <cellStyle name="Título 4 2" xfId="9" xr:uid="{6B92CC51-B3C9-4E00-BDEF-ED606A875DDC}"/>
    <cellStyle name="Título 5" xfId="5" xr:uid="{05B6EDB2-8056-4DFC-A9AB-713168296FE9}"/>
    <cellStyle name="Total 2" xfId="20" xr:uid="{804A0EA4-D9CA-49AF-9A38-68E6E6213C4D}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 patternType="solid">
          <bgColor theme="6" tint="0.59996337778862885"/>
        </patternFill>
      </fill>
    </dxf>
    <dxf>
      <font>
        <b/>
        <i/>
      </font>
      <fill>
        <patternFill>
          <bgColor theme="9" tint="0.59996337778862885"/>
        </patternFill>
      </fill>
    </dxf>
    <dxf>
      <font>
        <b/>
        <i val="0"/>
        <u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 val="double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theme="6" tint="-0.499984740745262"/>
      </font>
      <fill>
        <patternFill>
          <bgColor theme="6" tint="0.79998168889431442"/>
        </patternFill>
      </fill>
    </dxf>
    <dxf>
      <font>
        <b/>
        <i/>
        <color theme="5" tint="-0.499984740745262"/>
      </font>
      <fill>
        <patternFill>
          <bgColor theme="5" tint="0.79998168889431442"/>
        </patternFill>
      </fill>
    </dxf>
    <dxf>
      <font>
        <b/>
        <i val="0"/>
        <u val="double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</dxfs>
  <tableStyles count="0" defaultTableStyle="TableStyleMedium9" defaultPivotStyle="PivotStyleLight16"/>
  <colors>
    <mruColors>
      <color rgb="FFCCCCFF"/>
      <color rgb="FFD7AFFF"/>
      <color rgb="FFFFFFFF"/>
      <color rgb="FFC0A0FA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Planilha6!$B$1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Planilha6!$B$2:$B$21</c:f>
              <c:numCache>
                <c:formatCode>_("R$"* #,##0.00_);_("R$"* \(#,##0.00\);_("R$"* "-"??_);_(@_)</c:formatCode>
                <c:ptCount val="20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9-46F4-BE55-A8EF947ECC18}"/>
            </c:ext>
          </c:extLst>
        </c:ser>
        <c:ser>
          <c:idx val="1"/>
          <c:order val="1"/>
          <c:tx>
            <c:strRef>
              <c:f>Planilha6!$C$1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Planilha6!$C$2:$C$21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184769.4379337921</c:v>
                </c:pt>
                <c:pt idx="17" formatCode="_(&quot;R$&quot;* #,##0.00_);_(&quot;R$&quot;* \(#,##0.00\);_(&quot;R$&quot;* &quot;-&quot;??_);_(@_)">
                  <c:v>182596.93676256787</c:v>
                </c:pt>
                <c:pt idx="18" formatCode="_(&quot;R$&quot;* #,##0.00_);_(&quot;R$&quot;* \(#,##0.00\);_(&quot;R$&quot;* &quot;-&quot;??_);_(@_)">
                  <c:v>180424.43559134362</c:v>
                </c:pt>
                <c:pt idx="19" formatCode="_(&quot;R$&quot;* #,##0.00_);_(&quot;R$&quot;* \(#,##0.00\);_(&quot;R$&quot;* &quot;-&quot;??_);_(@_)">
                  <c:v>178251.93442011939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9-46F4-BE55-A8EF947ECC18}"/>
            </c:ext>
          </c:extLst>
        </c:ser>
        <c:ser>
          <c:idx val="2"/>
          <c:order val="2"/>
          <c:tx>
            <c:strRef>
              <c:f>Planilha6!$D$1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Planilha6!$D$2:$D$21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113467.07208419387</c:v>
                </c:pt>
                <c:pt idx="17" formatCode="_(&quot;R$&quot;* #,##0.00_);_(&quot;R$&quot;* \(#,##0.00\);_(&quot;R$&quot;* &quot;-&quot;??_);_(@_)">
                  <c:v>102846.55537733209</c:v>
                </c:pt>
                <c:pt idx="18" formatCode="_(&quot;R$&quot;* #,##0.00_);_(&quot;R$&quot;* \(#,##0.00\);_(&quot;R$&quot;* &quot;-&quot;??_);_(@_)">
                  <c:v>93009.799712166874</c:v>
                </c:pt>
                <c:pt idx="19" formatCode="_(&quot;R$&quot;* #,##0.00_);_(&quot;R$&quot;* \(#,##0.00\);_(&quot;R$&quot;* &quot;-&quot;??_);_(@_)">
                  <c:v>83765.833599944934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9-46F4-BE55-A8EF947ECC18}"/>
            </c:ext>
          </c:extLst>
        </c:ser>
        <c:ser>
          <c:idx val="3"/>
          <c:order val="3"/>
          <c:tx>
            <c:strRef>
              <c:f>Planilha6!$E$1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Planilha6!$E$2:$E$21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256071.80378339032</c:v>
                </c:pt>
                <c:pt idx="17" formatCode="_(&quot;R$&quot;* #,##0.00_);_(&quot;R$&quot;* \(#,##0.00\);_(&quot;R$&quot;* &quot;-&quot;??_);_(@_)">
                  <c:v>262347.31814780366</c:v>
                </c:pt>
                <c:pt idx="18" formatCode="_(&quot;R$&quot;* #,##0.00_);_(&quot;R$&quot;* \(#,##0.00\);_(&quot;R$&quot;* &quot;-&quot;??_);_(@_)">
                  <c:v>267839.07147052034</c:v>
                </c:pt>
                <c:pt idx="19" formatCode="_(&quot;R$&quot;* #,##0.00_);_(&quot;R$&quot;* \(#,##0.00\);_(&quot;R$&quot;* &quot;-&quot;??_);_(@_)">
                  <c:v>272738.03524029383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E9-46F4-BE55-A8EF947EC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7951"/>
        <c:axId val="1801199391"/>
      </c:lineChart>
      <c:catAx>
        <c:axId val="1801197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9391"/>
        <c:crosses val="autoZero"/>
        <c:auto val="1"/>
        <c:lblAlgn val="ctr"/>
        <c:lblOffset val="100"/>
        <c:noMultiLvlLbl val="0"/>
      </c:catAx>
      <c:valAx>
        <c:axId val="18011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Planilha7!$B$1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Planilha7!$B$2:$B$22</c:f>
              <c:numCache>
                <c:formatCode>General</c:formatCode>
                <c:ptCount val="21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0-496C-BDE2-B5BCBAA0A947}"/>
            </c:ext>
          </c:extLst>
        </c:ser>
        <c:ser>
          <c:idx val="1"/>
          <c:order val="1"/>
          <c:tx>
            <c:strRef>
              <c:f>Planilha7!$C$1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Planilha7!$C$2:$C$22</c:f>
              <c:numCache>
                <c:formatCode>General</c:formatCode>
                <c:ptCount val="21"/>
                <c:pt idx="15">
                  <c:v>-2426.6600000000035</c:v>
                </c:pt>
                <c:pt idx="16">
                  <c:v>-3277.4477652911946</c:v>
                </c:pt>
                <c:pt idx="17">
                  <c:v>-3489.7571214259392</c:v>
                </c:pt>
                <c:pt idx="18">
                  <c:v>-3702.0664775607092</c:v>
                </c:pt>
                <c:pt idx="19">
                  <c:v>-3914.3758336954534</c:v>
                </c:pt>
                <c:pt idx="20">
                  <c:v>-4126.6851898302239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0-496C-BDE2-B5BCBAA0A947}"/>
            </c:ext>
          </c:extLst>
        </c:ser>
        <c:ser>
          <c:idx val="2"/>
          <c:order val="2"/>
          <c:tx>
            <c:strRef>
              <c:f>Planilha7!$D$1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Planilha7!$D$2:$D$22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-51978.621584485583</c:v>
                </c:pt>
                <c:pt idx="17" formatCode="0.00">
                  <c:v>-52191.150095409415</c:v>
                </c:pt>
                <c:pt idx="18" formatCode="0.00">
                  <c:v>-52403.849057623098</c:v>
                </c:pt>
                <c:pt idx="19" formatCode="0.00">
                  <c:v>-52616.767167016595</c:v>
                </c:pt>
                <c:pt idx="20" formatCode="0.00">
                  <c:v>-52829.953114476542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0-496C-BDE2-B5BCBAA0A947}"/>
            </c:ext>
          </c:extLst>
        </c:ser>
        <c:ser>
          <c:idx val="3"/>
          <c:order val="3"/>
          <c:tx>
            <c:strRef>
              <c:f>Planilha7!$E$1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Planilha7!$E$2:$E$22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45423.726053903192</c:v>
                </c:pt>
                <c:pt idx="17" formatCode="0.00">
                  <c:v>45211.635852557542</c:v>
                </c:pt>
                <c:pt idx="18" formatCode="0.00">
                  <c:v>44999.716102501683</c:v>
                </c:pt>
                <c:pt idx="19" formatCode="0.00">
                  <c:v>44788.015499625682</c:v>
                </c:pt>
                <c:pt idx="20" formatCode="0.00">
                  <c:v>44576.582734816089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0-496C-BDE2-B5BCBAA0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43968"/>
        <c:axId val="190933408"/>
      </c:lineChart>
      <c:catAx>
        <c:axId val="1909439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33408"/>
        <c:crosses val="autoZero"/>
        <c:auto val="1"/>
        <c:lblAlgn val="ctr"/>
        <c:lblOffset val="100"/>
        <c:noMultiLvlLbl val="0"/>
      </c:catAx>
      <c:valAx>
        <c:axId val="1909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MAX</a:t>
            </a:r>
            <a:r>
              <a:rPr lang="pt-BR" baseline="0"/>
              <a:t> LED IMPORTAÇÃO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047754172237904"/>
          <c:y val="0.23675555555555561"/>
          <c:w val="0.55748873371960583"/>
          <c:h val="0.53998495188101492"/>
        </c:manualLayout>
      </c:layout>
      <c:areaChart>
        <c:grouping val="stacked"/>
        <c:varyColors val="0"/>
        <c:ser>
          <c:idx val="0"/>
          <c:order val="0"/>
          <c:tx>
            <c:strRef>
              <c:f>Home!$I$24</c:f>
              <c:strCache>
                <c:ptCount val="1"/>
                <c:pt idx="0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Home!$I$25:$I$36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80008.320000000007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0-4DEC-A307-AE47A2AF0C18}"/>
            </c:ext>
          </c:extLst>
        </c:ser>
        <c:ser>
          <c:idx val="1"/>
          <c:order val="1"/>
          <c:tx>
            <c:strRef>
              <c:f>Home!$J$24</c:f>
              <c:strCache>
                <c:ptCount val="1"/>
                <c:pt idx="0">
                  <c:v> Saída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Home!$J$25:$J$36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0-4DEC-A307-AE47A2AF0C18}"/>
            </c:ext>
          </c:extLst>
        </c:ser>
        <c:ser>
          <c:idx val="2"/>
          <c:order val="2"/>
          <c:tx>
            <c:strRef>
              <c:f>Home!$K$24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Home!$K$25:$K$36</c:f>
              <c:numCache>
                <c:formatCode>_("R$"* #,##0.00_);_("R$"* \(#,##0.00\);_("R$"* "-"??_);_(@_)</c:formatCode>
                <c:ptCount val="12"/>
                <c:pt idx="0">
                  <c:v>-61283.409999999974</c:v>
                </c:pt>
                <c:pt idx="1">
                  <c:v>-7673</c:v>
                </c:pt>
                <c:pt idx="2">
                  <c:v>2497.1400000000067</c:v>
                </c:pt>
                <c:pt idx="3">
                  <c:v>-2426.6600000000035</c:v>
                </c:pt>
                <c:pt idx="4">
                  <c:v>9362.6500000000087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0-4DEC-A307-AE47A2AF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44351"/>
        <c:axId val="1104341951"/>
      </c:areaChart>
      <c:catAx>
        <c:axId val="110434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341951"/>
        <c:crosses val="autoZero"/>
        <c:auto val="1"/>
        <c:lblAlgn val="ctr"/>
        <c:lblOffset val="100"/>
        <c:noMultiLvlLbl val="0"/>
      </c:catAx>
      <c:valAx>
        <c:axId val="11043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34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MAX</a:t>
            </a:r>
            <a:r>
              <a:rPr lang="pt-BR" baseline="0"/>
              <a:t> LED ILUMINAÇÃO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Home!$C$24</c:f>
              <c:strCache>
                <c:ptCount val="1"/>
                <c:pt idx="0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Home!$C$25:$C$36</c:f>
              <c:numCache>
                <c:formatCode>_("R$"* #,##0.00_);_("R$"* \(#,##0.00\);_("R$"* "-"??_);_(@_)</c:formatCode>
                <c:ptCount val="12"/>
                <c:pt idx="0">
                  <c:v>132275.39999999997</c:v>
                </c:pt>
                <c:pt idx="1">
                  <c:v>126679.25000000001</c:v>
                </c:pt>
                <c:pt idx="2">
                  <c:v>183424.12</c:v>
                </c:pt>
                <c:pt idx="3">
                  <c:v>214380.68000000005</c:v>
                </c:pt>
                <c:pt idx="4">
                  <c:v>153998.17999999991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6-4754-8315-329AB1692F76}"/>
            </c:ext>
          </c:extLst>
        </c:ser>
        <c:ser>
          <c:idx val="1"/>
          <c:order val="1"/>
          <c:tx>
            <c:strRef>
              <c:f>Home!$D$24</c:f>
              <c:strCache>
                <c:ptCount val="1"/>
                <c:pt idx="0">
                  <c:v> Saida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Home!$D$25:$D$36</c:f>
              <c:numCache>
                <c:formatCode>_("R$"* #,##0.00_);_("R$"* \(#,##0.00\);_("R$"* "-"??_);_(@_)</c:formatCode>
                <c:ptCount val="12"/>
                <c:pt idx="0">
                  <c:v>116350.31</c:v>
                </c:pt>
                <c:pt idx="1">
                  <c:v>133410.26</c:v>
                </c:pt>
                <c:pt idx="2">
                  <c:v>192968.08000000005</c:v>
                </c:pt>
                <c:pt idx="3">
                  <c:v>231574.29999999984</c:v>
                </c:pt>
                <c:pt idx="4">
                  <c:v>155988.48000000001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6-4754-8315-329AB1692F76}"/>
            </c:ext>
          </c:extLst>
        </c:ser>
        <c:ser>
          <c:idx val="2"/>
          <c:order val="2"/>
          <c:tx>
            <c:strRef>
              <c:f>Home!$E$24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Home!$E$25:$E$36</c:f>
              <c:numCache>
                <c:formatCode>_("R$"* #,##0.00_);_("R$"* \(#,##0.00\);_("R$"* "-"??_);_(@_)</c:formatCode>
                <c:ptCount val="12"/>
                <c:pt idx="0">
                  <c:v>15925.089999999967</c:v>
                </c:pt>
                <c:pt idx="1">
                  <c:v>-6731.0099999999948</c:v>
                </c:pt>
                <c:pt idx="2">
                  <c:v>-9543.9600000000501</c:v>
                </c:pt>
                <c:pt idx="3">
                  <c:v>-17193.619999999792</c:v>
                </c:pt>
                <c:pt idx="4">
                  <c:v>-1990.3000000001048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6-4754-8315-329AB169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847247"/>
        <c:axId val="1196843887"/>
      </c:areaChart>
      <c:catAx>
        <c:axId val="1196847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843887"/>
        <c:crosses val="autoZero"/>
        <c:auto val="1"/>
        <c:lblAlgn val="ctr"/>
        <c:lblOffset val="100"/>
        <c:noMultiLvlLbl val="0"/>
      </c:catAx>
      <c:valAx>
        <c:axId val="11968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84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CUSTO Financeiro </a:t>
            </a:r>
          </a:p>
        </c:rich>
      </c:tx>
      <c:layout>
        <c:manualLayout>
          <c:xMode val="edge"/>
          <c:yMode val="edge"/>
          <c:x val="0.52088964615784039"/>
          <c:y val="3.7925259367464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5471622963663664E-2"/>
          <c:y val="0.17100253563801937"/>
          <c:w val="0.96433959163166949"/>
          <c:h val="0.7735181655417159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A-4D04-86E7-C05C18A91967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3A-4D04-86E7-C05C18A91967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3A-4D04-86E7-C05C18A91967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3A-4D04-86E7-C05C18A91967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3A-4D04-86E7-C05C18A91967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3A-4D04-86E7-C05C18A91967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3A-4D04-86E7-C05C18A91967}"/>
              </c:ext>
            </c:extLst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3A-4D04-86E7-C05C18A91967}"/>
              </c:ext>
            </c:extLst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3A-4D04-86E7-C05C18A91967}"/>
              </c:ext>
            </c:extLst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3A-4D04-86E7-C05C18A91967}"/>
              </c:ext>
            </c:extLst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73A-4D04-86E7-C05C18A91967}"/>
              </c:ext>
            </c:extLst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73A-4D04-86E7-C05C18A91967}"/>
              </c:ext>
            </c:extLst>
          </c:dPt>
          <c:dPt>
            <c:idx val="12"/>
            <c:bubble3D val="0"/>
            <c:spPr>
              <a:solidFill>
                <a:schemeClr val="accent1">
                  <a:tint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73A-4D04-86E7-C05C18A91967}"/>
              </c:ext>
            </c:extLst>
          </c:dPt>
          <c:dPt>
            <c:idx val="13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73A-4D04-86E7-C05C18A91967}"/>
              </c:ext>
            </c:extLst>
          </c:dPt>
          <c:dPt>
            <c:idx val="1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73A-4D04-86E7-C05C18A91967}"/>
              </c:ext>
            </c:extLst>
          </c:dPt>
          <c:dPt>
            <c:idx val="15"/>
            <c:bubble3D val="0"/>
            <c:spPr>
              <a:solidFill>
                <a:schemeClr val="accent1">
                  <a:tint val="7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9C2E-40B3-A9AD-F78573A1B8A6}"/>
              </c:ext>
            </c:extLst>
          </c:dPt>
          <c:dPt>
            <c:idx val="16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C2E-40B3-A9AD-F78573A1B8A6}"/>
              </c:ext>
            </c:extLst>
          </c:dPt>
          <c:dPt>
            <c:idx val="17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9C2E-40B3-A9AD-F78573A1B8A6}"/>
              </c:ext>
            </c:extLst>
          </c:dPt>
          <c:dPt>
            <c:idx val="18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C2E-40B3-A9AD-F78573A1B8A6}"/>
              </c:ext>
            </c:extLst>
          </c:dPt>
          <c:dPt>
            <c:idx val="19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C2E-40B3-A9AD-F78573A1B8A6}"/>
              </c:ext>
            </c:extLst>
          </c:dPt>
          <c:dPt>
            <c:idx val="20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836-4067-9853-76B2AD5DFAD2}"/>
              </c:ext>
            </c:extLst>
          </c:dPt>
          <c:dPt>
            <c:idx val="2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836-4067-9853-76B2AD5DFAD2}"/>
              </c:ext>
            </c:extLst>
          </c:dPt>
          <c:dPt>
            <c:idx val="22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C2E-40B3-A9AD-F78573A1B8A6}"/>
              </c:ext>
            </c:extLst>
          </c:dPt>
          <c:dPt>
            <c:idx val="23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0674-47F2-9C52-8F23286EA54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73A-4D04-86E7-C05C18A9196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73A-4D04-86E7-C05C18A91967}"/>
                </c:ext>
              </c:extLst>
            </c:dLbl>
            <c:dLbl>
              <c:idx val="2"/>
              <c:layout>
                <c:manualLayout>
                  <c:x val="-3.7111673318370279E-2"/>
                  <c:y val="5.68878890511966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3A-4D04-86E7-C05C18A91967}"/>
                </c:ext>
              </c:extLst>
            </c:dLbl>
            <c:dLbl>
              <c:idx val="3"/>
              <c:layout>
                <c:manualLayout>
                  <c:x val="-9.1351811245219142E-2"/>
                  <c:y val="-3.1604382806220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3A-4D04-86E7-C05C18A91967}"/>
                </c:ext>
              </c:extLst>
            </c:dLbl>
            <c:dLbl>
              <c:idx val="4"/>
              <c:layout>
                <c:manualLayout>
                  <c:x val="1.665507161024421E-2"/>
                  <c:y val="-5.7552327650351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3A-4D04-86E7-C05C18A91967}"/>
                </c:ext>
              </c:extLst>
            </c:dLbl>
            <c:dLbl>
              <c:idx val="5"/>
              <c:layout>
                <c:manualLayout>
                  <c:x val="3.9966417419783379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3A-4D04-86E7-C05C18A91967}"/>
                </c:ext>
              </c:extLst>
            </c:dLbl>
            <c:dLbl>
              <c:idx val="6"/>
              <c:layout>
                <c:manualLayout>
                  <c:x val="1.712846460847859E-2"/>
                  <c:y val="5.0567012489952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3A-4D04-86E7-C05C18A91967}"/>
                </c:ext>
              </c:extLst>
            </c:dLbl>
            <c:dLbl>
              <c:idx val="7"/>
              <c:layout>
                <c:manualLayout>
                  <c:x val="5.709488202826196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73A-4D04-86E7-C05C18A9196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773A-4D04-86E7-C05C18A91967}"/>
                </c:ext>
              </c:extLst>
            </c:dLbl>
            <c:dLbl>
              <c:idx val="9"/>
              <c:layout>
                <c:manualLayout>
                  <c:x val="-7.8787863748439324E-3"/>
                  <c:y val="-9.41619306428434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2484651398778"/>
                      <c:h val="6.856886618062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773A-4D04-86E7-C05C18A91967}"/>
                </c:ext>
              </c:extLst>
            </c:dLbl>
            <c:dLbl>
              <c:idx val="10"/>
              <c:layout>
                <c:manualLayout>
                  <c:x val="0"/>
                  <c:y val="-3.3898295031423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3A-4D04-86E7-C05C18A91967}"/>
                </c:ext>
              </c:extLst>
            </c:dLbl>
            <c:dLbl>
              <c:idx val="11"/>
              <c:layout>
                <c:manualLayout>
                  <c:x val="9.4545436498127133E-2"/>
                  <c:y val="-3.76647722571371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3A-4D04-86E7-C05C18A9196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773A-4D04-86E7-C05C18A9196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773A-4D04-86E7-C05C18A9196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773A-4D04-86E7-C05C18A9196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9C2E-40B3-A9AD-F78573A1B8A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9C2E-40B3-A9AD-F78573A1B8A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9C2E-40B3-A9AD-F78573A1B8A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9C2E-40B3-A9AD-F78573A1B8A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9C2E-40B3-A9AD-F78573A1B8A6}"/>
                </c:ext>
              </c:extLst>
            </c:dLbl>
            <c:dLbl>
              <c:idx val="20"/>
              <c:layout>
                <c:manualLayout>
                  <c:x val="-1.6969693730433076E-2"/>
                  <c:y val="1.8832386128568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836-4067-9853-76B2AD5DFAD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0836-4067-9853-76B2AD5DFAD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C2E-40B3-A9AD-F78573A1B8A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0674-47F2-9C52-8F23286EA54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Consolidada'!$D$8,'Max Led Consolidada'!$D$11,'Max Led Consolidada'!$D$15:$D$34)</c:f>
              <c:strCache>
                <c:ptCount val="22"/>
                <c:pt idx="0">
                  <c:v>(-) IMPOSTOS (Simples Nacional)</c:v>
                </c:pt>
                <c:pt idx="1">
                  <c:v>(-) CUSTO DAS MERCADORIAS (FORNECEDORES)</c:v>
                </c:pt>
                <c:pt idx="2">
                  <c:v>BANCO</c:v>
                </c:pt>
                <c:pt idx="3">
                  <c:v>BRINDES</c:v>
                </c:pt>
                <c:pt idx="4">
                  <c:v>CARTÃO DE CRÉDITO</c:v>
                </c:pt>
                <c:pt idx="5">
                  <c:v>CONSUMO</c:v>
                </c:pt>
                <c:pt idx="6">
                  <c:v>CONTABILIDADE</c:v>
                </c:pt>
                <c:pt idx="7">
                  <c:v>DEVOLUÇÃO</c:v>
                </c:pt>
                <c:pt idx="8">
                  <c:v>EMPRÉSTIMO CAPITAL  DE GIRO ITAÚ</c:v>
                </c:pt>
                <c:pt idx="9">
                  <c:v>EMPRÉSTIMO CAPITAL DE GIRO BRADESCO</c:v>
                </c:pt>
                <c:pt idx="10">
                  <c:v>EMPRÉSTIMO PRONAMP</c:v>
                </c:pt>
                <c:pt idx="11">
                  <c:v>FUNCIONÁRIOS</c:v>
                </c:pt>
                <c:pt idx="12">
                  <c:v>FUNCIONÁRIOS (VR)</c:v>
                </c:pt>
                <c:pt idx="13">
                  <c:v>GASTOS FIXOS</c:v>
                </c:pt>
                <c:pt idx="14">
                  <c:v>IMPORTAÇÃO</c:v>
                </c:pt>
                <c:pt idx="15">
                  <c:v>INVESTIMENTO</c:v>
                </c:pt>
                <c:pt idx="16">
                  <c:v>MANUTENÇÃO</c:v>
                </c:pt>
                <c:pt idx="17">
                  <c:v>MARKETING</c:v>
                </c:pt>
                <c:pt idx="18">
                  <c:v>MATERIAL DE ESCRITÓRIO</c:v>
                </c:pt>
                <c:pt idx="19">
                  <c:v>MOVIMENTO</c:v>
                </c:pt>
                <c:pt idx="20">
                  <c:v>PUBLICIDADE</c:v>
                </c:pt>
                <c:pt idx="21">
                  <c:v>SEGURO DE EMPRÉSTIMO</c:v>
                </c:pt>
              </c:strCache>
            </c:strRef>
          </c:cat>
          <c:val>
            <c:numRef>
              <c:f>('Max Led Consolidada'!$E$8,'Max Led Consolidada'!$E$11,'Max Led Consolidada'!$E$15:$E$35)</c:f>
              <c:numCache>
                <c:formatCode>_("R$"* #,##0.00_);_("R$"* \(#,##0.00\);_("R$"* "-"??_);_(@_)</c:formatCode>
                <c:ptCount val="23"/>
                <c:pt idx="0">
                  <c:v>21474.37</c:v>
                </c:pt>
                <c:pt idx="1">
                  <c:v>110059.13000000002</c:v>
                </c:pt>
                <c:pt idx="2">
                  <c:v>892.89999999999964</c:v>
                </c:pt>
                <c:pt idx="3">
                  <c:v>0</c:v>
                </c:pt>
                <c:pt idx="4">
                  <c:v>12871.28</c:v>
                </c:pt>
                <c:pt idx="5">
                  <c:v>180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6441.56</c:v>
                </c:pt>
                <c:pt idx="10">
                  <c:v>3700.52</c:v>
                </c:pt>
                <c:pt idx="11">
                  <c:v>18141.22</c:v>
                </c:pt>
                <c:pt idx="12">
                  <c:v>560</c:v>
                </c:pt>
                <c:pt idx="13">
                  <c:v>6520.59</c:v>
                </c:pt>
                <c:pt idx="14">
                  <c:v>3200</c:v>
                </c:pt>
                <c:pt idx="15">
                  <c:v>0</c:v>
                </c:pt>
                <c:pt idx="16">
                  <c:v>1900</c:v>
                </c:pt>
                <c:pt idx="17">
                  <c:v>0</c:v>
                </c:pt>
                <c:pt idx="18">
                  <c:v>0</c:v>
                </c:pt>
                <c:pt idx="19">
                  <c:v>5521.36</c:v>
                </c:pt>
                <c:pt idx="20">
                  <c:v>0</c:v>
                </c:pt>
                <c:pt idx="21">
                  <c:v>109.79</c:v>
                </c:pt>
                <c:pt idx="22">
                  <c:v>969.71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3A-4D04-86E7-C05C18A9196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cUSTOS NFE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162078027989291E-2"/>
          <c:y val="0.13826026542440134"/>
          <c:w val="0.91151706678141042"/>
          <c:h val="0.7917281607153035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60-47BD-8229-6FC0E1C679A2}"/>
              </c:ext>
            </c:extLst>
          </c:dPt>
          <c:dPt>
            <c:idx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60-47BD-8229-6FC0E1C679A2}"/>
              </c:ext>
            </c:extLst>
          </c:dPt>
          <c:dPt>
            <c:idx val="2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60-47BD-8229-6FC0E1C679A2}"/>
              </c:ext>
            </c:extLst>
          </c:dPt>
          <c:dPt>
            <c:idx val="3"/>
            <c:bubble3D val="0"/>
            <c:spPr>
              <a:solidFill>
                <a:schemeClr val="accent1">
                  <a:shade val="6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60-47BD-8229-6FC0E1C679A2}"/>
              </c:ext>
            </c:extLst>
          </c:dPt>
          <c:dPt>
            <c:idx val="4"/>
            <c:bubble3D val="0"/>
            <c:spPr>
              <a:solidFill>
                <a:schemeClr val="accent1">
                  <a:shade val="7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60-47BD-8229-6FC0E1C679A2}"/>
              </c:ext>
            </c:extLst>
          </c:dPt>
          <c:dPt>
            <c:idx val="5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D60-47BD-8229-6FC0E1C679A2}"/>
              </c:ext>
            </c:extLst>
          </c:dPt>
          <c:dPt>
            <c:idx val="6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D60-47BD-8229-6FC0E1C679A2}"/>
              </c:ext>
            </c:extLst>
          </c:dPt>
          <c:dPt>
            <c:idx val="7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D60-47BD-8229-6FC0E1C679A2}"/>
              </c:ext>
            </c:extLst>
          </c:dPt>
          <c:dPt>
            <c:idx val="8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D60-47BD-8229-6FC0E1C679A2}"/>
              </c:ext>
            </c:extLst>
          </c:dPt>
          <c:dPt>
            <c:idx val="9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D60-47BD-8229-6FC0E1C679A2}"/>
              </c:ext>
            </c:extLst>
          </c:dPt>
          <c:dPt>
            <c:idx val="10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D60-47BD-8229-6FC0E1C679A2}"/>
              </c:ext>
            </c:extLst>
          </c:dPt>
          <c:dPt>
            <c:idx val="1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D60-47BD-8229-6FC0E1C679A2}"/>
              </c:ext>
            </c:extLst>
          </c:dPt>
          <c:dPt>
            <c:idx val="12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D60-47BD-8229-6FC0E1C679A2}"/>
              </c:ext>
            </c:extLst>
          </c:dPt>
          <c:dPt>
            <c:idx val="13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D60-47BD-8229-6FC0E1C679A2}"/>
              </c:ext>
            </c:extLst>
          </c:dPt>
          <c:dPt>
            <c:idx val="14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D60-47BD-8229-6FC0E1C679A2}"/>
              </c:ext>
            </c:extLst>
          </c:dPt>
          <c:dPt>
            <c:idx val="15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D60-47BD-8229-6FC0E1C679A2}"/>
              </c:ext>
            </c:extLst>
          </c:dPt>
          <c:dPt>
            <c:idx val="16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D60-47BD-8229-6FC0E1C679A2}"/>
              </c:ext>
            </c:extLst>
          </c:dPt>
          <c:dPt>
            <c:idx val="17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29E9-4E49-BE3F-8C756FF06473}"/>
              </c:ext>
            </c:extLst>
          </c:dPt>
          <c:dPt>
            <c:idx val="18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9E9-4E49-BE3F-8C756FF06473}"/>
              </c:ext>
            </c:extLst>
          </c:dPt>
          <c:dPt>
            <c:idx val="19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29E9-4E49-BE3F-8C756FF06473}"/>
              </c:ext>
            </c:extLst>
          </c:dPt>
          <c:dPt>
            <c:idx val="20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9E9-4E49-BE3F-8C756FF06473}"/>
              </c:ext>
            </c:extLst>
          </c:dPt>
          <c:dPt>
            <c:idx val="2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29E9-4E49-BE3F-8C756FF06473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9E9-4E49-BE3F-8C756FF06473}"/>
              </c:ext>
            </c:extLst>
          </c:dPt>
          <c:dPt>
            <c:idx val="23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29E9-4E49-BE3F-8C756FF06473}"/>
              </c:ext>
            </c:extLst>
          </c:dPt>
          <c:dPt>
            <c:idx val="2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9E9-4E49-BE3F-8C756FF064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60-47BD-8229-6FC0E1C679A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D60-47BD-8229-6FC0E1C679A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D60-47BD-8229-6FC0E1C679A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D60-47BD-8229-6FC0E1C679A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D60-47BD-8229-6FC0E1C679A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D60-47BD-8229-6FC0E1C679A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D60-47BD-8229-6FC0E1C679A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D60-47BD-8229-6FC0E1C679A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D60-47BD-8229-6FC0E1C679A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D60-47BD-8229-6FC0E1C679A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D60-47BD-8229-6FC0E1C679A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D60-47BD-8229-6FC0E1C679A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ED60-47BD-8229-6FC0E1C679A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ED60-47BD-8229-6FC0E1C679A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ED60-47BD-8229-6FC0E1C679A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ED60-47BD-8229-6FC0E1C679A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ED60-47BD-8229-6FC0E1C679A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29E9-4E49-BE3F-8C756FF0647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29E9-4E49-BE3F-8C756FF0647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29E9-4E49-BE3F-8C756FF0647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29E9-4E49-BE3F-8C756FF0647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29E9-4E49-BE3F-8C756FF0647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29E9-4E49-BE3F-8C756FF0647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29E9-4E49-BE3F-8C756FF0647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29E9-4E49-BE3F-8C756FF0647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Consolidada'!$L$8,'Max Led Consolidada'!$L$10,'Max Led Consolidada'!$L$13,'Max Led Consolidada'!$L$17:$L$37)</c:f>
              <c:strCache>
                <c:ptCount val="24"/>
                <c:pt idx="0">
                  <c:v>RECEITA SNF</c:v>
                </c:pt>
                <c:pt idx="1">
                  <c:v>(-) IMPOSTOS (Simples Nacional)</c:v>
                </c:pt>
                <c:pt idx="2">
                  <c:v>(-) CUSTO DAS MERCADORIAS (FORNECEDORES)</c:v>
                </c:pt>
                <c:pt idx="3">
                  <c:v>BANCO</c:v>
                </c:pt>
                <c:pt idx="4">
                  <c:v>BRINDES</c:v>
                </c:pt>
                <c:pt idx="5">
                  <c:v>CARTÃO DE CRÉDITO</c:v>
                </c:pt>
                <c:pt idx="6">
                  <c:v>CONSUMO</c:v>
                </c:pt>
                <c:pt idx="7">
                  <c:v>CONTABILIDADE</c:v>
                </c:pt>
                <c:pt idx="8">
                  <c:v>DEVOLUÇÃO</c:v>
                </c:pt>
                <c:pt idx="9">
                  <c:v>EMPRÉSTIMO CAPITAL  DE GIRO ITAÚ</c:v>
                </c:pt>
                <c:pt idx="10">
                  <c:v>EMPRÉSTIMO CAPITAL DE GIRO BRADESCO</c:v>
                </c:pt>
                <c:pt idx="11">
                  <c:v>EMPRÉSTIMO PRONAMP</c:v>
                </c:pt>
                <c:pt idx="12">
                  <c:v>FUNCIONÁRIOS</c:v>
                </c:pt>
                <c:pt idx="13">
                  <c:v>FUNCIONÁRIOS (VR)</c:v>
                </c:pt>
                <c:pt idx="14">
                  <c:v>GASTOS FIXOS</c:v>
                </c:pt>
                <c:pt idx="15">
                  <c:v>IMPORTAÇÃO</c:v>
                </c:pt>
                <c:pt idx="16">
                  <c:v>INVESTIMENTO</c:v>
                </c:pt>
                <c:pt idx="17">
                  <c:v>MANUTENÇÃO</c:v>
                </c:pt>
                <c:pt idx="18">
                  <c:v>MARKETING</c:v>
                </c:pt>
                <c:pt idx="19">
                  <c:v>MATERIAL DE ESCRITÓRIO</c:v>
                </c:pt>
                <c:pt idx="20">
                  <c:v>MOVIMENTO</c:v>
                </c:pt>
                <c:pt idx="21">
                  <c:v>PUBLICIDADE</c:v>
                </c:pt>
                <c:pt idx="22">
                  <c:v>SEGURO DE EMPRÉSTIMO</c:v>
                </c:pt>
                <c:pt idx="23">
                  <c:v>SEGURO DE VIDA SÓCIO</c:v>
                </c:pt>
              </c:strCache>
            </c:strRef>
          </c:cat>
          <c:val>
            <c:numRef>
              <c:f>('Max Led Consolidada'!$M$8,'Max Led Consolidada'!$M$10,'Max Led Consolidada'!$M$13,'Max Led Consolidada'!$M$17:$M$37)</c:f>
              <c:numCache>
                <c:formatCode>_("R$"* #,##0.00_);_("R$"* \(#,##0.00\);_("R$"* "-"??_);_(@_)</c:formatCode>
                <c:ptCount val="24"/>
                <c:pt idx="0">
                  <c:v>23074.52</c:v>
                </c:pt>
                <c:pt idx="1">
                  <c:v>112058.88699999983</c:v>
                </c:pt>
                <c:pt idx="2">
                  <c:v>624281.02999999968</c:v>
                </c:pt>
                <c:pt idx="3">
                  <c:v>2329.6799999999994</c:v>
                </c:pt>
                <c:pt idx="4">
                  <c:v>1327</c:v>
                </c:pt>
                <c:pt idx="5">
                  <c:v>50110.21</c:v>
                </c:pt>
                <c:pt idx="6">
                  <c:v>2063.8900000000003</c:v>
                </c:pt>
                <c:pt idx="7">
                  <c:v>2500</c:v>
                </c:pt>
                <c:pt idx="8">
                  <c:v>400</c:v>
                </c:pt>
                <c:pt idx="9">
                  <c:v>5103.49</c:v>
                </c:pt>
                <c:pt idx="10">
                  <c:v>31535.000000000004</c:v>
                </c:pt>
                <c:pt idx="11">
                  <c:v>10862.02</c:v>
                </c:pt>
                <c:pt idx="12">
                  <c:v>74538.890000000014</c:v>
                </c:pt>
                <c:pt idx="13">
                  <c:v>1560</c:v>
                </c:pt>
                <c:pt idx="14">
                  <c:v>45679.28</c:v>
                </c:pt>
                <c:pt idx="15">
                  <c:v>58200</c:v>
                </c:pt>
                <c:pt idx="16">
                  <c:v>7306.14</c:v>
                </c:pt>
                <c:pt idx="17">
                  <c:v>3735</c:v>
                </c:pt>
                <c:pt idx="18">
                  <c:v>2007</c:v>
                </c:pt>
                <c:pt idx="19">
                  <c:v>1242</c:v>
                </c:pt>
                <c:pt idx="20">
                  <c:v>77021.36</c:v>
                </c:pt>
                <c:pt idx="21">
                  <c:v>147</c:v>
                </c:pt>
                <c:pt idx="22">
                  <c:v>548.95000000000005</c:v>
                </c:pt>
                <c:pt idx="23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D60-47BD-8229-6FC0E1C679A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e</a:t>
            </a:r>
            <a:r>
              <a:rPr lang="pt-BR" baseline="0"/>
              <a:t> saidas conjunto</a:t>
            </a:r>
          </a:p>
        </c:rich>
      </c:tx>
      <c:layout>
        <c:manualLayout>
          <c:xMode val="edge"/>
          <c:yMode val="edge"/>
          <c:x val="0.391855571418318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58273487673884"/>
          <c:y val="9.6132681489983093E-2"/>
          <c:w val="0.85417265123261166"/>
          <c:h val="0.36407551243374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Home!$C$23:$C$24</c:f>
              <c:strCache>
                <c:ptCount val="2"/>
                <c:pt idx="0">
                  <c:v>MAX LED ILUMINAÇÃO</c:v>
                </c:pt>
                <c:pt idx="1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Home!$C$25:$C$36</c:f>
              <c:numCache>
                <c:formatCode>_("R$"* #,##0.00_);_("R$"* \(#,##0.00\);_("R$"* "-"??_);_(@_)</c:formatCode>
                <c:ptCount val="12"/>
                <c:pt idx="0">
                  <c:v>132275.39999999997</c:v>
                </c:pt>
                <c:pt idx="1">
                  <c:v>126679.25000000001</c:v>
                </c:pt>
                <c:pt idx="2">
                  <c:v>183424.12</c:v>
                </c:pt>
                <c:pt idx="3">
                  <c:v>214380.68000000005</c:v>
                </c:pt>
                <c:pt idx="4">
                  <c:v>153998.17999999991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48D-96AC-3E3570DA6532}"/>
            </c:ext>
          </c:extLst>
        </c:ser>
        <c:ser>
          <c:idx val="1"/>
          <c:order val="1"/>
          <c:tx>
            <c:strRef>
              <c:f>Home!$D$23:$D$24</c:f>
              <c:strCache>
                <c:ptCount val="2"/>
                <c:pt idx="0">
                  <c:v>MAX LED ILUMINAÇÃO</c:v>
                </c:pt>
                <c:pt idx="1">
                  <c:v> Saida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Home!$D$25:$D$36</c:f>
              <c:numCache>
                <c:formatCode>_("R$"* #,##0.00_);_("R$"* \(#,##0.00\);_("R$"* "-"??_);_(@_)</c:formatCode>
                <c:ptCount val="12"/>
                <c:pt idx="0">
                  <c:v>116350.31</c:v>
                </c:pt>
                <c:pt idx="1">
                  <c:v>133410.26</c:v>
                </c:pt>
                <c:pt idx="2">
                  <c:v>192968.08000000005</c:v>
                </c:pt>
                <c:pt idx="3">
                  <c:v>231574.29999999984</c:v>
                </c:pt>
                <c:pt idx="4">
                  <c:v>155988.48000000001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C-448D-96AC-3E3570DA6532}"/>
            </c:ext>
          </c:extLst>
        </c:ser>
        <c:ser>
          <c:idx val="2"/>
          <c:order val="2"/>
          <c:tx>
            <c:strRef>
              <c:f>Home!$E$23:$E$24</c:f>
              <c:strCache>
                <c:ptCount val="2"/>
                <c:pt idx="0">
                  <c:v>MAX LED ILUMINAÇÃO</c:v>
                </c:pt>
                <c:pt idx="1">
                  <c:v>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Home!$E$25:$E$36</c:f>
              <c:numCache>
                <c:formatCode>_("R$"* #,##0.00_);_("R$"* \(#,##0.00\);_("R$"* "-"??_);_(@_)</c:formatCode>
                <c:ptCount val="12"/>
                <c:pt idx="0">
                  <c:v>15925.089999999967</c:v>
                </c:pt>
                <c:pt idx="1">
                  <c:v>-6731.0099999999948</c:v>
                </c:pt>
                <c:pt idx="2">
                  <c:v>-9543.9600000000501</c:v>
                </c:pt>
                <c:pt idx="3">
                  <c:v>-17193.619999999792</c:v>
                </c:pt>
                <c:pt idx="4">
                  <c:v>-1990.3000000001048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C-448D-96AC-3E3570DA6532}"/>
            </c:ext>
          </c:extLst>
        </c:ser>
        <c:ser>
          <c:idx val="3"/>
          <c:order val="3"/>
          <c:tx>
            <c:strRef>
              <c:f>Home!$H$23:$H$24</c:f>
              <c:strCache>
                <c:ptCount val="2"/>
                <c:pt idx="0">
                  <c:v>MAX LED IMPORTAÇÃO</c:v>
                </c:pt>
                <c:pt idx="1">
                  <c:v>MÊS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Home!$H$25:$H$36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C-448D-96AC-3E3570DA6532}"/>
            </c:ext>
          </c:extLst>
        </c:ser>
        <c:ser>
          <c:idx val="4"/>
          <c:order val="4"/>
          <c:tx>
            <c:strRef>
              <c:f>Home!$I$23:$I$24</c:f>
              <c:strCache>
                <c:ptCount val="2"/>
                <c:pt idx="0">
                  <c:v>MAX LED IMPORTAÇÃO</c:v>
                </c:pt>
                <c:pt idx="1">
                  <c:v> Receita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Home!$I$25:$I$36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80008.320000000007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C-448D-96AC-3E3570DA6532}"/>
            </c:ext>
          </c:extLst>
        </c:ser>
        <c:ser>
          <c:idx val="5"/>
          <c:order val="5"/>
          <c:tx>
            <c:strRef>
              <c:f>Home!$J$23:$J$24</c:f>
              <c:strCache>
                <c:ptCount val="2"/>
                <c:pt idx="0">
                  <c:v>MAX LED IMPORTAÇÃO</c:v>
                </c:pt>
                <c:pt idx="1">
                  <c:v> Saída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Home!$J$25:$J$36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DC-448D-96AC-3E3570DA6532}"/>
            </c:ext>
          </c:extLst>
        </c:ser>
        <c:ser>
          <c:idx val="6"/>
          <c:order val="6"/>
          <c:tx>
            <c:strRef>
              <c:f>Home!$K$23:$K$24</c:f>
              <c:strCache>
                <c:ptCount val="2"/>
                <c:pt idx="0">
                  <c:v>MAX LED IMPORTAÇÃO</c:v>
                </c:pt>
                <c:pt idx="1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Home!$K$25:$K$36</c:f>
              <c:numCache>
                <c:formatCode>_("R$"* #,##0.00_);_("R$"* \(#,##0.00\);_("R$"* "-"??_);_(@_)</c:formatCode>
                <c:ptCount val="12"/>
                <c:pt idx="0">
                  <c:v>-61283.409999999974</c:v>
                </c:pt>
                <c:pt idx="1">
                  <c:v>-7673</c:v>
                </c:pt>
                <c:pt idx="2">
                  <c:v>2497.1400000000067</c:v>
                </c:pt>
                <c:pt idx="3">
                  <c:v>-2426.6600000000035</c:v>
                </c:pt>
                <c:pt idx="4">
                  <c:v>9362.6500000000087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C-448D-96AC-3E3570DA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595440"/>
        <c:axId val="291601200"/>
      </c:barChart>
      <c:catAx>
        <c:axId val="2915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601200"/>
        <c:crosses val="autoZero"/>
        <c:auto val="1"/>
        <c:lblAlgn val="ctr"/>
        <c:lblOffset val="100"/>
        <c:noMultiLvlLbl val="0"/>
      </c:catAx>
      <c:valAx>
        <c:axId val="2916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5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870409515602004"/>
          <c:w val="1"/>
          <c:h val="0.31295904843979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559020493891667"/>
          <c:y val="0.10253696454182493"/>
          <c:w val="0.72440979506108338"/>
          <c:h val="0.698346837224654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Home!$I$55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Home!$I$56:$I$71</c:f>
              <c:numCache>
                <c:formatCode>_("R$"* #,##0.00_);_("R$"* \(#,##0.00\);_("R$"* "-"??_);_(@_)</c:formatCode>
                <c:ptCount val="16"/>
                <c:pt idx="0">
                  <c:v>19591.87</c:v>
                </c:pt>
                <c:pt idx="1">
                  <c:v>57998.11</c:v>
                </c:pt>
                <c:pt idx="2">
                  <c:v>56487.68</c:v>
                </c:pt>
                <c:pt idx="3">
                  <c:v>61782.7</c:v>
                </c:pt>
                <c:pt idx="4">
                  <c:v>39163.78</c:v>
                </c:pt>
                <c:pt idx="5">
                  <c:v>17138.87</c:v>
                </c:pt>
                <c:pt idx="6">
                  <c:v>68605.59</c:v>
                </c:pt>
                <c:pt idx="7">
                  <c:v>84229.75</c:v>
                </c:pt>
                <c:pt idx="8">
                  <c:v>126144.65</c:v>
                </c:pt>
                <c:pt idx="9">
                  <c:v>61637.75</c:v>
                </c:pt>
                <c:pt idx="10">
                  <c:v>58123.77</c:v>
                </c:pt>
                <c:pt idx="11">
                  <c:v>150258.42000000001</c:v>
                </c:pt>
                <c:pt idx="12">
                  <c:v>13593.52</c:v>
                </c:pt>
                <c:pt idx="13">
                  <c:v>37091.380000000005</c:v>
                </c:pt>
                <c:pt idx="14">
                  <c:v>37723.490000000005</c:v>
                </c:pt>
                <c:pt idx="15">
                  <c:v>105609.12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A-44D1-BEDB-4FE76A7C8029}"/>
            </c:ext>
          </c:extLst>
        </c:ser>
        <c:ser>
          <c:idx val="1"/>
          <c:order val="1"/>
          <c:tx>
            <c:strRef>
              <c:f>Home!$J$55</c:f>
              <c:strCache>
                <c:ptCount val="1"/>
                <c:pt idx="0">
                  <c:v>Saidas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Home!$J$56:$J$71</c:f>
              <c:numCache>
                <c:formatCode>_("R$"* #,##0.00_);_("R$"* \(#,##0.00\);_("R$"* "-"??_);_(@_)</c:formatCode>
                <c:ptCount val="16"/>
                <c:pt idx="0">
                  <c:v>19373.98</c:v>
                </c:pt>
                <c:pt idx="1">
                  <c:v>50024.99</c:v>
                </c:pt>
                <c:pt idx="2">
                  <c:v>51121.51</c:v>
                </c:pt>
                <c:pt idx="3">
                  <c:v>82130.25</c:v>
                </c:pt>
                <c:pt idx="4">
                  <c:v>28422.61</c:v>
                </c:pt>
                <c:pt idx="5">
                  <c:v>30422.9</c:v>
                </c:pt>
                <c:pt idx="6">
                  <c:v>65737.81</c:v>
                </c:pt>
                <c:pt idx="7">
                  <c:v>84871.12</c:v>
                </c:pt>
                <c:pt idx="8">
                  <c:v>117673.3</c:v>
                </c:pt>
                <c:pt idx="9">
                  <c:v>70384.44</c:v>
                </c:pt>
                <c:pt idx="10">
                  <c:v>57720.85</c:v>
                </c:pt>
                <c:pt idx="11">
                  <c:v>79092.13</c:v>
                </c:pt>
                <c:pt idx="12">
                  <c:v>74876.929999999978</c:v>
                </c:pt>
                <c:pt idx="13">
                  <c:v>44764.380000000005</c:v>
                </c:pt>
                <c:pt idx="14">
                  <c:v>35226.35</c:v>
                </c:pt>
                <c:pt idx="15">
                  <c:v>108035.78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A-44D1-BEDB-4FE76A7C8029}"/>
            </c:ext>
          </c:extLst>
        </c:ser>
        <c:ser>
          <c:idx val="2"/>
          <c:order val="2"/>
          <c:tx>
            <c:strRef>
              <c:f>Home!$K$55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Home!$K$56:$K$71</c:f>
              <c:numCache>
                <c:formatCode>_("R$"* #,##0.00_);_("R$"* \(#,##0.00\);_("R$"* "-"??_);_(@_)</c:formatCode>
                <c:ptCount val="16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A-44D1-BEDB-4FE76A7C8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14656"/>
        <c:axId val="162117536"/>
      </c:barChart>
      <c:dateAx>
        <c:axId val="16211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7536"/>
        <c:crosses val="autoZero"/>
        <c:auto val="1"/>
        <c:lblOffset val="100"/>
        <c:baseTimeUnit val="months"/>
      </c:dateAx>
      <c:valAx>
        <c:axId val="1621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547349445303584"/>
          <c:y val="0.1189406648107167"/>
          <c:w val="0.69452650554696416"/>
          <c:h val="0.73494170390597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Home!$C$55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Home!$C$56:$C$71</c:f>
              <c:numCache>
                <c:formatCode>_("R$"* #,##0.00_);_("R$"* \(#,##0.00\);_("R$"* "-"??_);_(@_)</c:formatCode>
                <c:ptCount val="16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3-439F-8487-42FD146199A3}"/>
            </c:ext>
          </c:extLst>
        </c:ser>
        <c:ser>
          <c:idx val="1"/>
          <c:order val="1"/>
          <c:tx>
            <c:strRef>
              <c:f>Home!$D$55</c:f>
              <c:strCache>
                <c:ptCount val="1"/>
                <c:pt idx="0">
                  <c:v>Saidas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Home!$D$56:$D$71</c:f>
              <c:numCache>
                <c:formatCode>_("R$"* #,##0.00_);_("R$"* \(#,##0.00\);_("R$"* "-"??_);_(@_)</c:formatCode>
                <c:ptCount val="16"/>
                <c:pt idx="0">
                  <c:v>175562.16</c:v>
                </c:pt>
                <c:pt idx="1">
                  <c:v>187413.04</c:v>
                </c:pt>
                <c:pt idx="2">
                  <c:v>235789.98</c:v>
                </c:pt>
                <c:pt idx="3">
                  <c:v>204028.74</c:v>
                </c:pt>
                <c:pt idx="4">
                  <c:v>225748.62</c:v>
                </c:pt>
                <c:pt idx="5">
                  <c:v>201481.58</c:v>
                </c:pt>
                <c:pt idx="6">
                  <c:v>214354.38</c:v>
                </c:pt>
                <c:pt idx="7">
                  <c:v>191802.78</c:v>
                </c:pt>
                <c:pt idx="8">
                  <c:v>204295.82</c:v>
                </c:pt>
                <c:pt idx="9">
                  <c:v>167394.79</c:v>
                </c:pt>
                <c:pt idx="10">
                  <c:v>183155.39</c:v>
                </c:pt>
                <c:pt idx="11">
                  <c:v>179590.32</c:v>
                </c:pt>
                <c:pt idx="12">
                  <c:v>116350.31</c:v>
                </c:pt>
                <c:pt idx="13">
                  <c:v>133410.26</c:v>
                </c:pt>
                <c:pt idx="14">
                  <c:v>192968.08</c:v>
                </c:pt>
                <c:pt idx="15">
                  <c:v>231574.3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3-439F-8487-42FD146199A3}"/>
            </c:ext>
          </c:extLst>
        </c:ser>
        <c:ser>
          <c:idx val="2"/>
          <c:order val="2"/>
          <c:tx>
            <c:strRef>
              <c:f>Home!$E$55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Home!$E$56:$E$71</c:f>
              <c:numCache>
                <c:formatCode>_("R$"* #,##0.00_);_("R$"* \(#,##0.00\);_("R$"* "-"??_);_(@_)</c:formatCode>
                <c:ptCount val="16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3-439F-8487-42FD1461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573824"/>
        <c:axId val="299574304"/>
      </c:barChart>
      <c:dateAx>
        <c:axId val="299573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574304"/>
        <c:crosses val="autoZero"/>
        <c:auto val="1"/>
        <c:lblOffset val="100"/>
        <c:baseTimeUnit val="months"/>
      </c:dateAx>
      <c:valAx>
        <c:axId val="29957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57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1934843384699"/>
          <c:y val="6.0185185185185182E-2"/>
          <c:w val="0.76239125577441147"/>
          <c:h val="0.58935877806940795"/>
        </c:manualLayout>
      </c:layout>
      <c:lineChart>
        <c:grouping val="standard"/>
        <c:varyColors val="0"/>
        <c:ser>
          <c:idx val="0"/>
          <c:order val="0"/>
          <c:tx>
            <c:strRef>
              <c:f>Planilha6!$B$1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Planilha6!$B$2:$B$21</c:f>
              <c:numCache>
                <c:formatCode>_("R$"* #,##0.00_);_("R$"* \(#,##0.00\);_("R$"* "-"??_);_(@_)</c:formatCode>
                <c:ptCount val="20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A-45C4-916D-AEC3704ED5F5}"/>
            </c:ext>
          </c:extLst>
        </c:ser>
        <c:ser>
          <c:idx val="1"/>
          <c:order val="1"/>
          <c:tx>
            <c:strRef>
              <c:f>Planilha6!$C$1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Planilha6!$C$2:$C$21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184769.4379337921</c:v>
                </c:pt>
                <c:pt idx="17" formatCode="_(&quot;R$&quot;* #,##0.00_);_(&quot;R$&quot;* \(#,##0.00\);_(&quot;R$&quot;* &quot;-&quot;??_);_(@_)">
                  <c:v>182596.93676256787</c:v>
                </c:pt>
                <c:pt idx="18" formatCode="_(&quot;R$&quot;* #,##0.00_);_(&quot;R$&quot;* \(#,##0.00\);_(&quot;R$&quot;* &quot;-&quot;??_);_(@_)">
                  <c:v>180424.43559134362</c:v>
                </c:pt>
                <c:pt idx="19" formatCode="_(&quot;R$&quot;* #,##0.00_);_(&quot;R$&quot;* \(#,##0.00\);_(&quot;R$&quot;* &quot;-&quot;??_);_(@_)">
                  <c:v>178251.93442011939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A-45C4-916D-AEC3704ED5F5}"/>
            </c:ext>
          </c:extLst>
        </c:ser>
        <c:ser>
          <c:idx val="2"/>
          <c:order val="2"/>
          <c:tx>
            <c:strRef>
              <c:f>Planilha6!$D$1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Planilha6!$D$2:$D$21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113467.07208419387</c:v>
                </c:pt>
                <c:pt idx="17" formatCode="_(&quot;R$&quot;* #,##0.00_);_(&quot;R$&quot;* \(#,##0.00\);_(&quot;R$&quot;* &quot;-&quot;??_);_(@_)">
                  <c:v>102846.55537733209</c:v>
                </c:pt>
                <c:pt idx="18" formatCode="_(&quot;R$&quot;* #,##0.00_);_(&quot;R$&quot;* \(#,##0.00\);_(&quot;R$&quot;* &quot;-&quot;??_);_(@_)">
                  <c:v>93009.799712166874</c:v>
                </c:pt>
                <c:pt idx="19" formatCode="_(&quot;R$&quot;* #,##0.00_);_(&quot;R$&quot;* \(#,##0.00\);_(&quot;R$&quot;* &quot;-&quot;??_);_(@_)">
                  <c:v>83765.833599944934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A-45C4-916D-AEC3704ED5F5}"/>
            </c:ext>
          </c:extLst>
        </c:ser>
        <c:ser>
          <c:idx val="3"/>
          <c:order val="3"/>
          <c:tx>
            <c:strRef>
              <c:f>Planilha6!$E$1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Planilha6!$E$2:$E$21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256071.80378339032</c:v>
                </c:pt>
                <c:pt idx="17" formatCode="_(&quot;R$&quot;* #,##0.00_);_(&quot;R$&quot;* \(#,##0.00\);_(&quot;R$&quot;* &quot;-&quot;??_);_(@_)">
                  <c:v>262347.31814780366</c:v>
                </c:pt>
                <c:pt idx="18" formatCode="_(&quot;R$&quot;* #,##0.00_);_(&quot;R$&quot;* \(#,##0.00\);_(&quot;R$&quot;* &quot;-&quot;??_);_(@_)">
                  <c:v>267839.07147052034</c:v>
                </c:pt>
                <c:pt idx="19" formatCode="_(&quot;R$&quot;* #,##0.00_);_(&quot;R$&quot;* \(#,##0.00\);_(&quot;R$&quot;* &quot;-&quot;??_);_(@_)">
                  <c:v>272738.03524029383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A-45C4-916D-AEC3704E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7951"/>
        <c:axId val="1801199391"/>
      </c:lineChart>
      <c:catAx>
        <c:axId val="1801197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9391"/>
        <c:crosses val="autoZero"/>
        <c:auto val="1"/>
        <c:lblAlgn val="ctr"/>
        <c:lblOffset val="100"/>
        <c:noMultiLvlLbl val="0"/>
      </c:catAx>
      <c:valAx>
        <c:axId val="18011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Planilha7!$B$1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Planilha7!$B$2:$B$22</c:f>
              <c:numCache>
                <c:formatCode>General</c:formatCode>
                <c:ptCount val="21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A-441F-9038-8F5AC9221882}"/>
            </c:ext>
          </c:extLst>
        </c:ser>
        <c:ser>
          <c:idx val="1"/>
          <c:order val="1"/>
          <c:tx>
            <c:strRef>
              <c:f>Planilha7!$C$1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Planilha7!$C$2:$C$22</c:f>
              <c:numCache>
                <c:formatCode>General</c:formatCode>
                <c:ptCount val="21"/>
                <c:pt idx="15">
                  <c:v>-2426.6600000000035</c:v>
                </c:pt>
                <c:pt idx="16">
                  <c:v>-3277.4477652911946</c:v>
                </c:pt>
                <c:pt idx="17">
                  <c:v>-3489.7571214259392</c:v>
                </c:pt>
                <c:pt idx="18">
                  <c:v>-3702.0664775607092</c:v>
                </c:pt>
                <c:pt idx="19">
                  <c:v>-3914.3758336954534</c:v>
                </c:pt>
                <c:pt idx="20">
                  <c:v>-4126.6851898302239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A-441F-9038-8F5AC9221882}"/>
            </c:ext>
          </c:extLst>
        </c:ser>
        <c:ser>
          <c:idx val="2"/>
          <c:order val="2"/>
          <c:tx>
            <c:strRef>
              <c:f>Planilha7!$D$1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Planilha7!$D$2:$D$22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-51978.621584485583</c:v>
                </c:pt>
                <c:pt idx="17" formatCode="0.00">
                  <c:v>-52191.150095409415</c:v>
                </c:pt>
                <c:pt idx="18" formatCode="0.00">
                  <c:v>-52403.849057623098</c:v>
                </c:pt>
                <c:pt idx="19" formatCode="0.00">
                  <c:v>-52616.767167016595</c:v>
                </c:pt>
                <c:pt idx="20" formatCode="0.00">
                  <c:v>-52829.953114476542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A-441F-9038-8F5AC9221882}"/>
            </c:ext>
          </c:extLst>
        </c:ser>
        <c:ser>
          <c:idx val="3"/>
          <c:order val="3"/>
          <c:tx>
            <c:strRef>
              <c:f>Planilha7!$E$1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Planilha7!$E$2:$E$22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45423.726053903192</c:v>
                </c:pt>
                <c:pt idx="17" formatCode="0.00">
                  <c:v>45211.635852557542</c:v>
                </c:pt>
                <c:pt idx="18" formatCode="0.00">
                  <c:v>44999.716102501683</c:v>
                </c:pt>
                <c:pt idx="19" formatCode="0.00">
                  <c:v>44788.015499625682</c:v>
                </c:pt>
                <c:pt idx="20" formatCode="0.00">
                  <c:v>44576.582734816089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A-441F-9038-8F5AC922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43968"/>
        <c:axId val="190933408"/>
      </c:lineChart>
      <c:catAx>
        <c:axId val="1909439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33408"/>
        <c:crosses val="autoZero"/>
        <c:auto val="1"/>
        <c:lblAlgn val="ctr"/>
        <c:lblOffset val="100"/>
        <c:noMultiLvlLbl val="0"/>
      </c:catAx>
      <c:valAx>
        <c:axId val="1909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Home!$I$72:$I$76</c:f>
              <c:numCache>
                <c:formatCode>_("R$"* #,##0.00_);_("R$"* \(#,##0.00\);_("R$"* "-"??_);_(@_)</c:formatCode>
                <c:ptCount val="5"/>
                <c:pt idx="0">
                  <c:v>130889.40812500002</c:v>
                </c:pt>
                <c:pt idx="1">
                  <c:v>135291.84866666666</c:v>
                </c:pt>
                <c:pt idx="2">
                  <c:v>69630.008125000008</c:v>
                </c:pt>
                <c:pt idx="3">
                  <c:v>62715.108125000006</c:v>
                </c:pt>
                <c:pt idx="4">
                  <c:v>62198.778125000004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7-4C39-92C6-5C66364719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Home!$J$72:$J$76</c:f>
              <c:numCache>
                <c:formatCode>_("R$"* #,##0.00_);_("R$"* \(#,##0.00\);_("R$"* "-"??_);_(@_)</c:formatCode>
                <c:ptCount val="5"/>
                <c:pt idx="0">
                  <c:v>81389.118125000008</c:v>
                </c:pt>
                <c:pt idx="1">
                  <c:v>88995.856360294129</c:v>
                </c:pt>
                <c:pt idx="2">
                  <c:v>43356.853582516356</c:v>
                </c:pt>
                <c:pt idx="3">
                  <c:v>52436.137793042668</c:v>
                </c:pt>
                <c:pt idx="4">
                  <c:v>51053.798125000001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7-4C39-92C6-5C66364719C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Home!$K$72:$K$76</c:f>
              <c:numCache>
                <c:formatCode>_("R$"* #,##0.00_);_("R$"* \(#,##0.00\);_("R$"* "-"??_);_(@_)</c:formatCode>
                <c:ptCount val="5"/>
                <c:pt idx="0">
                  <c:v>49500.290000000008</c:v>
                </c:pt>
                <c:pt idx="1">
                  <c:v>46295.992306372529</c:v>
                </c:pt>
                <c:pt idx="2">
                  <c:v>26273.154542483651</c:v>
                </c:pt>
                <c:pt idx="3">
                  <c:v>10278.970331957338</c:v>
                </c:pt>
                <c:pt idx="4">
                  <c:v>11144.980000000003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7-4C39-92C6-5C6636471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5551"/>
        <c:axId val="1801169631"/>
      </c:lineChart>
      <c:dateAx>
        <c:axId val="18011955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69631"/>
        <c:crosses val="autoZero"/>
        <c:auto val="1"/>
        <c:lblOffset val="100"/>
        <c:baseTimeUnit val="months"/>
      </c:dateAx>
      <c:valAx>
        <c:axId val="180116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Projeções</a:t>
            </a:r>
            <a:r>
              <a:rPr lang="pt-BR" baseline="0"/>
              <a:t> Max Led Iluminação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Home!$C$72:$C$76</c:f>
              <c:numCache>
                <c:formatCode>"R$"\ #,##0.00</c:formatCode>
                <c:ptCount val="5"/>
                <c:pt idx="0">
                  <c:v>349223.296875</c:v>
                </c:pt>
                <c:pt idx="1">
                  <c:v>302449.43452205881</c:v>
                </c:pt>
                <c:pt idx="2">
                  <c:v>229714.05563316995</c:v>
                </c:pt>
                <c:pt idx="3">
                  <c:v>209498.80668580154</c:v>
                </c:pt>
                <c:pt idx="4">
                  <c:v>205809.45318580154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1-46C8-9AEF-B1E292E9EBE6}"/>
            </c:ext>
          </c:extLst>
        </c:ser>
        <c:ser>
          <c:idx val="1"/>
          <c:order val="1"/>
          <c:tx>
            <c:v>Saídas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Home!$D$72:$D$76</c:f>
              <c:numCache>
                <c:formatCode>"R$"\ #,##0.00</c:formatCode>
                <c:ptCount val="5"/>
                <c:pt idx="0">
                  <c:v>342064.33928571432</c:v>
                </c:pt>
                <c:pt idx="1">
                  <c:v>293406.05666666664</c:v>
                </c:pt>
                <c:pt idx="2">
                  <c:v>134474.89437499997</c:v>
                </c:pt>
                <c:pt idx="3">
                  <c:v>149595.29058035713</c:v>
                </c:pt>
                <c:pt idx="4">
                  <c:v>156219.8541220238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1-46C8-9AEF-B1E292E9EBE6}"/>
            </c:ext>
          </c:extLst>
        </c:ser>
        <c:ser>
          <c:idx val="2"/>
          <c:order val="2"/>
          <c:tx>
            <c:v>TOTAL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Home!$E$72:$E$76</c:f>
              <c:numCache>
                <c:formatCode>_("R$"* #,##0.00_);_("R$"* \(#,##0.00\);_("R$"* "-"??_);_(@_)</c:formatCode>
                <c:ptCount val="5"/>
                <c:pt idx="0">
                  <c:v>7158.957589285681</c:v>
                </c:pt>
                <c:pt idx="1">
                  <c:v>9043.3778553921729</c:v>
                </c:pt>
                <c:pt idx="2">
                  <c:v>95239.161258169974</c:v>
                </c:pt>
                <c:pt idx="3">
                  <c:v>59903.516105444403</c:v>
                </c:pt>
                <c:pt idx="4">
                  <c:v>49589.599063777743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1-46C8-9AEF-B1E292E9E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39312"/>
        <c:axId val="161139792"/>
      </c:lineChart>
      <c:dateAx>
        <c:axId val="161139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39792"/>
        <c:crosses val="autoZero"/>
        <c:auto val="1"/>
        <c:lblOffset val="100"/>
        <c:baseTimeUnit val="months"/>
      </c:dateAx>
      <c:valAx>
        <c:axId val="1611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Planilha2!$B$2:$B$23</c:f>
              <c:numCache>
                <c:formatCode>_("R$"* #,##0.00_);_("R$"* \(#,##0.00\);_("R$"* "-"??_);_(@_)</c:formatCode>
                <c:ptCount val="22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C-4E87-95AE-01B51F8131A6}"/>
            </c:ext>
          </c:extLst>
        </c:ser>
        <c:ser>
          <c:idx val="1"/>
          <c:order val="1"/>
          <c:tx>
            <c:strRef>
              <c:f>Planilha2!$C$1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Planilha2!$C$2:$C$23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-3062.1006070559861</c:v>
                </c:pt>
                <c:pt idx="17" formatCode="_(&quot;R$&quot;* #,##0.00_);_(&quot;R$&quot;* \(#,##0.00\);_(&quot;R$&quot;* &quot;-&quot;??_);_(@_)">
                  <c:v>-2984.5892203227868</c:v>
                </c:pt>
                <c:pt idx="18" formatCode="_(&quot;R$&quot;* #,##0.00_);_(&quot;R$&quot;* \(#,##0.00\);_(&quot;R$&quot;* &quot;-&quot;??_);_(@_)">
                  <c:v>-2907.0778335895916</c:v>
                </c:pt>
                <c:pt idx="19" formatCode="_(&quot;R$&quot;* #,##0.00_);_(&quot;R$&quot;* \(#,##0.00\);_(&quot;R$&quot;* &quot;-&quot;??_);_(@_)">
                  <c:v>-2829.5664468563923</c:v>
                </c:pt>
                <c:pt idx="20" formatCode="_(&quot;R$&quot;* #,##0.00_);_(&quot;R$&quot;* \(#,##0.00\);_(&quot;R$&quot;* &quot;-&quot;??_);_(@_)">
                  <c:v>-2752.0550601231967</c:v>
                </c:pt>
                <c:pt idx="21" formatCode="_(&quot;R$&quot;* #,##0.00_);_(&quot;R$&quot;* \(#,##0.00\);_(&quot;R$&quot;* &quot;-&quot;??_);_(@_)">
                  <c:v>-2674.5436733899974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C-4E87-95AE-01B51F8131A6}"/>
            </c:ext>
          </c:extLst>
        </c:ser>
        <c:ser>
          <c:idx val="2"/>
          <c:order val="2"/>
          <c:tx>
            <c:strRef>
              <c:f>Planilha2!$D$1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Planilha2!$D$2:$D$23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-43764.003024152829</c:v>
                </c:pt>
                <c:pt idx="17" formatCode="_(&quot;R$&quot;* #,##0.00_);_(&quot;R$&quot;* \(#,##0.00\);_(&quot;R$&quot;* &quot;-&quot;??_);_(@_)">
                  <c:v>-44013.419149091111</c:v>
                </c:pt>
                <c:pt idx="18" formatCode="_(&quot;R$&quot;* #,##0.00_);_(&quot;R$&quot;* \(#,##0.00\);_(&quot;R$&quot;* &quot;-&quot;??_);_(@_)">
                  <c:v>-44265.358198180562</c:v>
                </c:pt>
                <c:pt idx="19" formatCode="_(&quot;R$&quot;* #,##0.00_);_(&quot;R$&quot;* \(#,##0.00\);_(&quot;R$&quot;* &quot;-&quot;??_);_(@_)">
                  <c:v>-44519.800097407489</c:v>
                </c:pt>
                <c:pt idx="20" formatCode="_(&quot;R$&quot;* #,##0.00_);_(&quot;R$&quot;* \(#,##0.00\);_(&quot;R$&quot;* &quot;-&quot;??_);_(@_)">
                  <c:v>-44776.72495743246</c:v>
                </c:pt>
                <c:pt idx="21" formatCode="_(&quot;R$&quot;* #,##0.00_);_(&quot;R$&quot;* \(#,##0.00\);_(&quot;R$&quot;* &quot;-&quot;??_);_(@_)">
                  <c:v>-45036.113078059556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8C-4E87-95AE-01B51F8131A6}"/>
            </c:ext>
          </c:extLst>
        </c:ser>
        <c:ser>
          <c:idx val="3"/>
          <c:order val="3"/>
          <c:tx>
            <c:strRef>
              <c:f>Planilha2!$E$1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Planilha2!$E$2:$E$23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37639.801810040852</c:v>
                </c:pt>
                <c:pt idx="17" formatCode="_(&quot;R$&quot;* #,##0.00_);_(&quot;R$&quot;* \(#,##0.00\);_(&quot;R$&quot;* &quot;-&quot;??_);_(@_)">
                  <c:v>38044.240708445541</c:v>
                </c:pt>
                <c:pt idx="18" formatCode="_(&quot;R$&quot;* #,##0.00_);_(&quot;R$&quot;* \(#,##0.00\);_(&quot;R$&quot;* &quot;-&quot;??_);_(@_)">
                  <c:v>38451.202531001385</c:v>
                </c:pt>
                <c:pt idx="19" formatCode="_(&quot;R$&quot;* #,##0.00_);_(&quot;R$&quot;* \(#,##0.00\);_(&quot;R$&quot;* &quot;-&quot;??_);_(@_)">
                  <c:v>38860.667203694706</c:v>
                </c:pt>
                <c:pt idx="20" formatCode="_(&quot;R$&quot;* #,##0.00_);_(&quot;R$&quot;* \(#,##0.00\);_(&quot;R$&quot;* &quot;-&quot;??_);_(@_)">
                  <c:v>39272.614837186069</c:v>
                </c:pt>
                <c:pt idx="21" formatCode="_(&quot;R$&quot;* #,##0.00_);_(&quot;R$&quot;* \(#,##0.00\);_(&quot;R$&quot;* &quot;-&quot;??_);_(@_)">
                  <c:v>39687.025731279558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8C-4E87-95AE-01B51F813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298048"/>
        <c:axId val="1798077135"/>
      </c:lineChart>
      <c:catAx>
        <c:axId val="1947298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8077135"/>
        <c:crosses val="autoZero"/>
        <c:auto val="1"/>
        <c:lblAlgn val="ctr"/>
        <c:lblOffset val="100"/>
        <c:noMultiLvlLbl val="0"/>
      </c:catAx>
      <c:valAx>
        <c:axId val="17980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72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Planilha4!$P$3</c:f>
              <c:strCache>
                <c:ptCount val="1"/>
                <c:pt idx="0">
                  <c:v>Entradas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forward val="4"/>
            <c:dispRSqr val="0"/>
            <c:dispEq val="0"/>
          </c:trendline>
          <c:cat>
            <c:numRef>
              <c:f>Planilha4!$O$4:$O$19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Planilha4!$P$4:$P$19</c:f>
              <c:numCache>
                <c:formatCode>_("R$"* #,##0.00_);_("R$"* \(#,##0.00\);_("R$"* "-"??_);_(@_)</c:formatCode>
                <c:ptCount val="16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5-47AE-8084-6944BF68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10952032"/>
        <c:axId val="2010960672"/>
      </c:barChart>
      <c:dateAx>
        <c:axId val="2010952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960672"/>
        <c:crosses val="autoZero"/>
        <c:auto val="1"/>
        <c:lblOffset val="100"/>
        <c:baseTimeUnit val="months"/>
      </c:dateAx>
      <c:valAx>
        <c:axId val="2010960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95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Planilha4!$R$3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forward val="5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Planilha4!$O$4:$O$19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Planilha4!$R$4:$R$19</c:f>
              <c:numCache>
                <c:formatCode>_("R$"* #,##0.00_);_("R$"* \(#,##0.00\);_("R$"* "-"??_);_(@_)</c:formatCode>
                <c:ptCount val="16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B-483E-BB86-A23E8A3B5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99996960"/>
        <c:axId val="1999993600"/>
      </c:barChart>
      <c:dateAx>
        <c:axId val="19999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93600"/>
        <c:crosses val="autoZero"/>
        <c:auto val="1"/>
        <c:lblOffset val="100"/>
        <c:baseTimeUnit val="months"/>
      </c:dateAx>
      <c:valAx>
        <c:axId val="1999993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Planilha5!$B$1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Planilha5!$B$2:$B$21</c:f>
              <c:numCache>
                <c:formatCode>General</c:formatCode>
                <c:ptCount val="20"/>
                <c:pt idx="0">
                  <c:v>178852.4</c:v>
                </c:pt>
                <c:pt idx="1">
                  <c:v>263463.81</c:v>
                </c:pt>
                <c:pt idx="2">
                  <c:v>269184.65000000002</c:v>
                </c:pt>
                <c:pt idx="3">
                  <c:v>287664.75</c:v>
                </c:pt>
                <c:pt idx="4">
                  <c:v>291184.18</c:v>
                </c:pt>
                <c:pt idx="5">
                  <c:v>176965.13</c:v>
                </c:pt>
                <c:pt idx="6">
                  <c:v>273854.26</c:v>
                </c:pt>
                <c:pt idx="7">
                  <c:v>267965.26</c:v>
                </c:pt>
                <c:pt idx="8">
                  <c:v>329082.75</c:v>
                </c:pt>
                <c:pt idx="9">
                  <c:v>240017.04</c:v>
                </c:pt>
                <c:pt idx="10">
                  <c:v>242434.72</c:v>
                </c:pt>
                <c:pt idx="11">
                  <c:v>349038.01</c:v>
                </c:pt>
                <c:pt idx="12">
                  <c:v>145868.91999999998</c:v>
                </c:pt>
                <c:pt idx="13">
                  <c:v>163770.63</c:v>
                </c:pt>
                <c:pt idx="14">
                  <c:v>221147.61</c:v>
                </c:pt>
                <c:pt idx="15">
                  <c:v>319989.8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C-4A20-8E66-CB4C9A81926F}"/>
            </c:ext>
          </c:extLst>
        </c:ser>
        <c:ser>
          <c:idx val="1"/>
          <c:order val="1"/>
          <c:tx>
            <c:strRef>
              <c:f>Planilha5!$C$1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Planilha5!$C$2:$C$21</c:f>
              <c:numCache>
                <c:formatCode>General</c:formatCode>
                <c:ptCount val="20"/>
                <c:pt idx="15">
                  <c:v>319989.8</c:v>
                </c:pt>
                <c:pt idx="16">
                  <c:v>263468.5321484548</c:v>
                </c:pt>
                <c:pt idx="17">
                  <c:v>263381.68265788472</c:v>
                </c:pt>
                <c:pt idx="18">
                  <c:v>263294.83316731459</c:v>
                </c:pt>
                <c:pt idx="19">
                  <c:v>263207.98367674445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C-4A20-8E66-CB4C9A81926F}"/>
            </c:ext>
          </c:extLst>
        </c:ser>
        <c:ser>
          <c:idx val="2"/>
          <c:order val="2"/>
          <c:tx>
            <c:strRef>
              <c:f>Planilha5!$D$1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Planilha5!$D$2:$D$21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121874.18153649615</c:v>
                </c:pt>
                <c:pt idx="17" formatCode="0.00">
                  <c:v>105011.01250203422</c:v>
                </c:pt>
                <c:pt idx="18" formatCode="0.00">
                  <c:v>89704.259365020494</c:v>
                </c:pt>
                <c:pt idx="19" formatCode="0.00">
                  <c:v>75574.68528508881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4C-4A20-8E66-CB4C9A81926F}"/>
            </c:ext>
          </c:extLst>
        </c:ser>
        <c:ser>
          <c:idx val="3"/>
          <c:order val="3"/>
          <c:tx>
            <c:strRef>
              <c:f>Planilha5!$E$1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Planilha5!$E$2:$E$21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405062.88276041346</c:v>
                </c:pt>
                <c:pt idx="17" formatCode="0.00">
                  <c:v>421752.35281373526</c:v>
                </c:pt>
                <c:pt idx="18" formatCode="0.00">
                  <c:v>436885.40696960868</c:v>
                </c:pt>
                <c:pt idx="19" formatCode="0.00">
                  <c:v>450841.28206840006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4C-4A20-8E66-CB4C9A81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97840"/>
        <c:axId val="1869298320"/>
      </c:lineChart>
      <c:catAx>
        <c:axId val="1869297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8320"/>
        <c:crosses val="autoZero"/>
        <c:auto val="1"/>
        <c:lblAlgn val="ctr"/>
        <c:lblOffset val="100"/>
        <c:noMultiLvlLbl val="0"/>
      </c:catAx>
      <c:valAx>
        <c:axId val="1869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DRE FINANCEIRO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Consolidada'!$B$5,'Max Led Consolidada'!$B$15:$B$19)</c:f>
              <c:numCache>
                <c:formatCode>_("R$"* #,##0.00_);_("R$"* \(#,##0.00\);_("R$"* "-"??_);_(@_)</c:formatCode>
                <c:ptCount val="6"/>
                <c:pt idx="1">
                  <c:v>234006.49999999991</c:v>
                </c:pt>
                <c:pt idx="4">
                  <c:v>226634.15000000002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E-48BA-BFC0-34DFE0262D22}"/>
            </c:ext>
          </c:extLst>
        </c:ser>
        <c:ser>
          <c:idx val="1"/>
          <c:order val="1"/>
          <c:tx>
            <c:strRef>
              <c:f>'Max Led Consolidada'!$H$4</c:f>
              <c:strCache>
                <c:ptCount val="1"/>
                <c:pt idx="0">
                  <c:v>DRE NFE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Consolidada'!$H$5,'Max Led Consolidada'!$H$15:$H$19)</c:f>
              <c:numCache>
                <c:formatCode>General</c:formatCode>
                <c:ptCount val="6"/>
                <c:pt idx="1">
                  <c:v>0</c:v>
                </c:pt>
                <c:pt idx="4" formatCode="_(&quot;R$&quot;* #,##0.00_);_(&quot;R$&quot;* \(#,##0.00\);_(&quot;R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E-48BA-BFC0-34DFE0262D22}"/>
            </c:ext>
          </c:extLst>
        </c:ser>
        <c:ser>
          <c:idx val="2"/>
          <c:order val="2"/>
          <c:tx>
            <c:v>DRE NFE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Consolidada'!$J$5,'Max Led Consolidada'!$J$15:$J$19)</c:f>
              <c:numCache>
                <c:formatCode>_("R$"* #,##0.00_);_("R$"* \(#,##0.00\);_("R$"* "-"??_);_(@_)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24E-48BA-BFC0-34DFE0262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076159"/>
        <c:axId val="2114071839"/>
      </c:barChart>
      <c:catAx>
        <c:axId val="21140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071839"/>
        <c:crosses val="autoZero"/>
        <c:auto val="1"/>
        <c:lblAlgn val="ctr"/>
        <c:lblOffset val="100"/>
        <c:noMultiLvlLbl val="0"/>
      </c:catAx>
      <c:valAx>
        <c:axId val="211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0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648928258967633"/>
          <c:y val="0.89409667541557303"/>
          <c:w val="0.5381323272090988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Financeiro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5471622963663664E-2"/>
          <c:y val="0.17100253563801937"/>
          <c:w val="0.96433959163166949"/>
          <c:h val="0.7735181655417159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DF-4B1E-B4A0-5E7943AF0FCC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DF-4B1E-B4A0-5E7943AF0FCC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DF-4B1E-B4A0-5E7943AF0FCC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2DF-4B1E-B4A0-5E7943AF0FCC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DF-4B1E-B4A0-5E7943AF0FCC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2DF-4B1E-B4A0-5E7943AF0FCC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DF-4B1E-B4A0-5E7943AF0FCC}"/>
              </c:ext>
            </c:extLst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2DF-4B1E-B4A0-5E7943AF0FCC}"/>
              </c:ext>
            </c:extLst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DF-4B1E-B4A0-5E7943AF0FCC}"/>
              </c:ext>
            </c:extLst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2DF-4B1E-B4A0-5E7943AF0FCC}"/>
              </c:ext>
            </c:extLst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DF-4B1E-B4A0-5E7943AF0FCC}"/>
              </c:ext>
            </c:extLst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2DF-4B1E-B4A0-5E7943AF0FCC}"/>
              </c:ext>
            </c:extLst>
          </c:dPt>
          <c:dPt>
            <c:idx val="12"/>
            <c:bubble3D val="0"/>
            <c:spPr>
              <a:solidFill>
                <a:schemeClr val="accent1">
                  <a:tint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DF-4B1E-B4A0-5E7943AF0FCC}"/>
              </c:ext>
            </c:extLst>
          </c:dPt>
          <c:dPt>
            <c:idx val="13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2DF-4B1E-B4A0-5E7943AF0FCC}"/>
              </c:ext>
            </c:extLst>
          </c:dPt>
          <c:dPt>
            <c:idx val="14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DF-4B1E-B4A0-5E7943AF0FCC}"/>
              </c:ext>
            </c:extLst>
          </c:dPt>
          <c:dPt>
            <c:idx val="15"/>
            <c:bubble3D val="0"/>
            <c:spPr>
              <a:solidFill>
                <a:schemeClr val="accent1">
                  <a:tint val="7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F9AF-4F70-891B-38B0DF3E9FD7}"/>
              </c:ext>
            </c:extLst>
          </c:dPt>
          <c:dPt>
            <c:idx val="16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F9AF-4F70-891B-38B0DF3E9FD7}"/>
              </c:ext>
            </c:extLst>
          </c:dPt>
          <c:dPt>
            <c:idx val="17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9AF-4F70-891B-38B0DF3E9FD7}"/>
              </c:ext>
            </c:extLst>
          </c:dPt>
          <c:dPt>
            <c:idx val="18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9AF-4F70-891B-38B0DF3E9FD7}"/>
              </c:ext>
            </c:extLst>
          </c:dPt>
          <c:dPt>
            <c:idx val="19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F9AF-4F70-891B-38B0DF3E9FD7}"/>
              </c:ext>
            </c:extLst>
          </c:dPt>
          <c:dPt>
            <c:idx val="20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B8A-424D-8849-7E316E5711AA}"/>
              </c:ext>
            </c:extLst>
          </c:dPt>
          <c:dPt>
            <c:idx val="2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B8A-424D-8849-7E316E5711AA}"/>
              </c:ext>
            </c:extLst>
          </c:dPt>
          <c:dPt>
            <c:idx val="22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9AF-4F70-891B-38B0DF3E9FD7}"/>
              </c:ext>
            </c:extLst>
          </c:dPt>
          <c:dPt>
            <c:idx val="23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76BF-407A-83DD-BAE06DD44C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2DF-4B1E-B4A0-5E7943AF0FC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2DF-4B1E-B4A0-5E7943AF0FC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2DF-4B1E-B4A0-5E7943AF0FC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2DF-4B1E-B4A0-5E7943AF0FCC}"/>
                </c:ext>
              </c:extLst>
            </c:dLbl>
            <c:dLbl>
              <c:idx val="4"/>
              <c:layout>
                <c:manualLayout>
                  <c:x val="-1.1892267666291359E-2"/>
                  <c:y val="-5.75520809730938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DF-4B1E-B4A0-5E7943AF0FC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2DF-4B1E-B4A0-5E7943AF0FC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2DF-4B1E-B4A0-5E7943AF0FC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2DF-4B1E-B4A0-5E7943AF0FC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2DF-4B1E-B4A0-5E7943AF0FCC}"/>
                </c:ext>
              </c:extLst>
            </c:dLbl>
            <c:dLbl>
              <c:idx val="9"/>
              <c:layout>
                <c:manualLayout>
                  <c:x val="-7.8787863748439324E-3"/>
                  <c:y val="-9.41619306428434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2484651398778"/>
                      <c:h val="6.856886618062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2DF-4B1E-B4A0-5E7943AF0FCC}"/>
                </c:ext>
              </c:extLst>
            </c:dLbl>
            <c:dLbl>
              <c:idx val="10"/>
              <c:layout>
                <c:manualLayout>
                  <c:x val="0"/>
                  <c:y val="-3.3898295031423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DF-4B1E-B4A0-5E7943AF0FCC}"/>
                </c:ext>
              </c:extLst>
            </c:dLbl>
            <c:dLbl>
              <c:idx val="11"/>
              <c:layout>
                <c:manualLayout>
                  <c:x val="9.4545436498127133E-2"/>
                  <c:y val="-3.76647722571371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DF-4B1E-B4A0-5E7943AF0FC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2DF-4B1E-B4A0-5E7943AF0FC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2DF-4B1E-B4A0-5E7943AF0FC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2DF-4B1E-B4A0-5E7943AF0FC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F9AF-4F70-891B-38B0DF3E9FD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F9AF-4F70-891B-38B0DF3E9FD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F9AF-4F70-891B-38B0DF3E9FD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F9AF-4F70-891B-38B0DF3E9FD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F9AF-4F70-891B-38B0DF3E9FD7}"/>
                </c:ext>
              </c:extLst>
            </c:dLbl>
            <c:dLbl>
              <c:idx val="20"/>
              <c:layout>
                <c:manualLayout>
                  <c:x val="-1.6969693730433076E-2"/>
                  <c:y val="1.8832386128568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B8A-424D-8849-7E316E5711AA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CB8A-424D-8849-7E316E5711AA}"/>
                </c:ext>
              </c:extLst>
            </c:dLbl>
            <c:dLbl>
              <c:idx val="22"/>
              <c:layout>
                <c:manualLayout>
                  <c:x val="-4.848483922981056E-3"/>
                  <c:y val="-0.467043175988500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9AF-4F70-891B-38B0DF3E9FD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76BF-407A-83DD-BAE06DD44C2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Consolidada'!$D$8,'Max Led Consolidada'!$D$11,'Max Led Consolidada'!$D$15:$D$34)</c:f>
              <c:strCache>
                <c:ptCount val="22"/>
                <c:pt idx="0">
                  <c:v>(-) IMPOSTOS (Simples Nacional)</c:v>
                </c:pt>
                <c:pt idx="1">
                  <c:v>(-) CUSTO DAS MERCADORIAS (FORNECEDORES)</c:v>
                </c:pt>
                <c:pt idx="2">
                  <c:v>BANCO</c:v>
                </c:pt>
                <c:pt idx="3">
                  <c:v>BRINDES</c:v>
                </c:pt>
                <c:pt idx="4">
                  <c:v>CARTÃO DE CRÉDITO</c:v>
                </c:pt>
                <c:pt idx="5">
                  <c:v>CONSUMO</c:v>
                </c:pt>
                <c:pt idx="6">
                  <c:v>CONTABILIDADE</c:v>
                </c:pt>
                <c:pt idx="7">
                  <c:v>DEVOLUÇÃO</c:v>
                </c:pt>
                <c:pt idx="8">
                  <c:v>EMPRÉSTIMO CAPITAL  DE GIRO ITAÚ</c:v>
                </c:pt>
                <c:pt idx="9">
                  <c:v>EMPRÉSTIMO CAPITAL DE GIRO BRADESCO</c:v>
                </c:pt>
                <c:pt idx="10">
                  <c:v>EMPRÉSTIMO PRONAMP</c:v>
                </c:pt>
                <c:pt idx="11">
                  <c:v>FUNCIONÁRIOS</c:v>
                </c:pt>
                <c:pt idx="12">
                  <c:v>FUNCIONÁRIOS (VR)</c:v>
                </c:pt>
                <c:pt idx="13">
                  <c:v>GASTOS FIXOS</c:v>
                </c:pt>
                <c:pt idx="14">
                  <c:v>IMPORTAÇÃO</c:v>
                </c:pt>
                <c:pt idx="15">
                  <c:v>INVESTIMENTO</c:v>
                </c:pt>
                <c:pt idx="16">
                  <c:v>MANUTENÇÃO</c:v>
                </c:pt>
                <c:pt idx="17">
                  <c:v>MARKETING</c:v>
                </c:pt>
                <c:pt idx="18">
                  <c:v>MATERIAL DE ESCRITÓRIO</c:v>
                </c:pt>
                <c:pt idx="19">
                  <c:v>MOVIMENTO</c:v>
                </c:pt>
                <c:pt idx="20">
                  <c:v>PUBLICIDADE</c:v>
                </c:pt>
                <c:pt idx="21">
                  <c:v>SEGURO DE EMPRÉSTIMO</c:v>
                </c:pt>
              </c:strCache>
            </c:strRef>
          </c:cat>
          <c:val>
            <c:numRef>
              <c:f>('Max Led Consolidada'!$E$8,'Max Led Consolidada'!$E$11,'Max Led Consolidada'!$E$15:$E$35)</c:f>
              <c:numCache>
                <c:formatCode>_("R$"* #,##0.00_);_("R$"* \(#,##0.00\);_("R$"* "-"??_);_(@_)</c:formatCode>
                <c:ptCount val="23"/>
                <c:pt idx="0">
                  <c:v>21474.37</c:v>
                </c:pt>
                <c:pt idx="1">
                  <c:v>110059.13000000002</c:v>
                </c:pt>
                <c:pt idx="2">
                  <c:v>892.89999999999964</c:v>
                </c:pt>
                <c:pt idx="3">
                  <c:v>0</c:v>
                </c:pt>
                <c:pt idx="4">
                  <c:v>12871.28</c:v>
                </c:pt>
                <c:pt idx="5">
                  <c:v>180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6441.56</c:v>
                </c:pt>
                <c:pt idx="10">
                  <c:v>3700.52</c:v>
                </c:pt>
                <c:pt idx="11">
                  <c:v>18141.22</c:v>
                </c:pt>
                <c:pt idx="12">
                  <c:v>560</c:v>
                </c:pt>
                <c:pt idx="13">
                  <c:v>6520.59</c:v>
                </c:pt>
                <c:pt idx="14">
                  <c:v>3200</c:v>
                </c:pt>
                <c:pt idx="15">
                  <c:v>0</c:v>
                </c:pt>
                <c:pt idx="16">
                  <c:v>1900</c:v>
                </c:pt>
                <c:pt idx="17">
                  <c:v>0</c:v>
                </c:pt>
                <c:pt idx="18">
                  <c:v>0</c:v>
                </c:pt>
                <c:pt idx="19">
                  <c:v>5521.36</c:v>
                </c:pt>
                <c:pt idx="20">
                  <c:v>0</c:v>
                </c:pt>
                <c:pt idx="21">
                  <c:v>109.79</c:v>
                </c:pt>
                <c:pt idx="22">
                  <c:v>969.71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F-4B1E-B4A0-5E7943AF0F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NFE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162078027989291E-2"/>
          <c:y val="0.13826026542440134"/>
          <c:w val="0.91151706678141042"/>
          <c:h val="0.7917281607153035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8A-4DDF-BB24-3434570CA4C3}"/>
              </c:ext>
            </c:extLst>
          </c:dPt>
          <c:dPt>
            <c:idx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D8A-4DDF-BB24-3434570CA4C3}"/>
              </c:ext>
            </c:extLst>
          </c:dPt>
          <c:dPt>
            <c:idx val="2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8A-4DDF-BB24-3434570CA4C3}"/>
              </c:ext>
            </c:extLst>
          </c:dPt>
          <c:dPt>
            <c:idx val="3"/>
            <c:bubble3D val="0"/>
            <c:spPr>
              <a:solidFill>
                <a:schemeClr val="accent1">
                  <a:shade val="6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D8A-4DDF-BB24-3434570CA4C3}"/>
              </c:ext>
            </c:extLst>
          </c:dPt>
          <c:dPt>
            <c:idx val="4"/>
            <c:bubble3D val="0"/>
            <c:spPr>
              <a:solidFill>
                <a:schemeClr val="accent1">
                  <a:shade val="7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8A-4DDF-BB24-3434570CA4C3}"/>
              </c:ext>
            </c:extLst>
          </c:dPt>
          <c:dPt>
            <c:idx val="5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D8A-4DDF-BB24-3434570CA4C3}"/>
              </c:ext>
            </c:extLst>
          </c:dPt>
          <c:dPt>
            <c:idx val="6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8A-4DDF-BB24-3434570CA4C3}"/>
              </c:ext>
            </c:extLst>
          </c:dPt>
          <c:dPt>
            <c:idx val="7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D8A-4DDF-BB24-3434570CA4C3}"/>
              </c:ext>
            </c:extLst>
          </c:dPt>
          <c:dPt>
            <c:idx val="8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8A-4DDF-BB24-3434570CA4C3}"/>
              </c:ext>
            </c:extLst>
          </c:dPt>
          <c:dPt>
            <c:idx val="9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D8A-4DDF-BB24-3434570CA4C3}"/>
              </c:ext>
            </c:extLst>
          </c:dPt>
          <c:dPt>
            <c:idx val="10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8A-4DDF-BB24-3434570CA4C3}"/>
              </c:ext>
            </c:extLst>
          </c:dPt>
          <c:dPt>
            <c:idx val="1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D8A-4DDF-BB24-3434570CA4C3}"/>
              </c:ext>
            </c:extLst>
          </c:dPt>
          <c:dPt>
            <c:idx val="12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D8A-4DDF-BB24-3434570CA4C3}"/>
              </c:ext>
            </c:extLst>
          </c:dPt>
          <c:dPt>
            <c:idx val="13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D8A-4DDF-BB24-3434570CA4C3}"/>
              </c:ext>
            </c:extLst>
          </c:dPt>
          <c:dPt>
            <c:idx val="14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D8A-4DDF-BB24-3434570CA4C3}"/>
              </c:ext>
            </c:extLst>
          </c:dPt>
          <c:dPt>
            <c:idx val="15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D8A-4DDF-BB24-3434570CA4C3}"/>
              </c:ext>
            </c:extLst>
          </c:dPt>
          <c:dPt>
            <c:idx val="16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D8A-4DDF-BB24-3434570CA4C3}"/>
              </c:ext>
            </c:extLst>
          </c:dPt>
          <c:dPt>
            <c:idx val="17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BE7A-4BDB-A325-622BC228A9FF}"/>
              </c:ext>
            </c:extLst>
          </c:dPt>
          <c:dPt>
            <c:idx val="18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E7A-4BDB-A325-622BC228A9FF}"/>
              </c:ext>
            </c:extLst>
          </c:dPt>
          <c:dPt>
            <c:idx val="19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BE7A-4BDB-A325-622BC228A9FF}"/>
              </c:ext>
            </c:extLst>
          </c:dPt>
          <c:dPt>
            <c:idx val="20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E7A-4BDB-A325-622BC228A9FF}"/>
              </c:ext>
            </c:extLst>
          </c:dPt>
          <c:dPt>
            <c:idx val="2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E7A-4BDB-A325-622BC228A9FF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E7A-4BDB-A325-622BC228A9FF}"/>
              </c:ext>
            </c:extLst>
          </c:dPt>
          <c:dPt>
            <c:idx val="23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E7A-4BDB-A325-622BC228A9FF}"/>
              </c:ext>
            </c:extLst>
          </c:dPt>
          <c:dPt>
            <c:idx val="2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E7A-4BDB-A325-622BC228A9FF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D8A-4DDF-BB24-3434570CA4C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D8A-4DDF-BB24-3434570CA4C3}"/>
                </c:ext>
              </c:extLst>
            </c:dLbl>
            <c:dLbl>
              <c:idx val="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D8A-4DDF-BB24-3434570CA4C3}"/>
                </c:ext>
              </c:extLst>
            </c:dLbl>
            <c:dLbl>
              <c:idx val="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D8A-4DDF-BB24-3434570CA4C3}"/>
                </c:ext>
              </c:extLst>
            </c:dLbl>
            <c:dLbl>
              <c:idx val="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D8A-4DDF-BB24-3434570CA4C3}"/>
                </c:ext>
              </c:extLst>
            </c:dLbl>
            <c:dLbl>
              <c:idx val="5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D8A-4DDF-BB24-3434570CA4C3}"/>
                </c:ext>
              </c:extLst>
            </c:dLbl>
            <c:dLbl>
              <c:idx val="6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D8A-4DDF-BB24-3434570CA4C3}"/>
                </c:ext>
              </c:extLst>
            </c:dLbl>
            <c:dLbl>
              <c:idx val="7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D8A-4DDF-BB24-3434570CA4C3}"/>
                </c:ext>
              </c:extLst>
            </c:dLbl>
            <c:dLbl>
              <c:idx val="8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D8A-4DDF-BB24-3434570CA4C3}"/>
                </c:ext>
              </c:extLst>
            </c:dLbl>
            <c:dLbl>
              <c:idx val="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6D8A-4DDF-BB24-3434570CA4C3}"/>
                </c:ext>
              </c:extLst>
            </c:dLbl>
            <c:dLbl>
              <c:idx val="1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6D8A-4DDF-BB24-3434570CA4C3}"/>
                </c:ext>
              </c:extLst>
            </c:dLbl>
            <c:dLbl>
              <c:idx val="1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D8A-4DDF-BB24-3434570CA4C3}"/>
                </c:ext>
              </c:extLst>
            </c:dLbl>
            <c:dLbl>
              <c:idx val="1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D8A-4DDF-BB24-3434570CA4C3}"/>
                </c:ext>
              </c:extLst>
            </c:dLbl>
            <c:dLbl>
              <c:idx val="1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6D8A-4DDF-BB24-3434570CA4C3}"/>
                </c:ext>
              </c:extLst>
            </c:dLbl>
            <c:dLbl>
              <c:idx val="1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D8A-4DDF-BB24-3434570CA4C3}"/>
                </c:ext>
              </c:extLst>
            </c:dLbl>
            <c:dLbl>
              <c:idx val="15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D8A-4DDF-BB24-3434570CA4C3}"/>
                </c:ext>
              </c:extLst>
            </c:dLbl>
            <c:dLbl>
              <c:idx val="16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D8A-4DDF-BB24-3434570CA4C3}"/>
                </c:ext>
              </c:extLst>
            </c:dLbl>
            <c:dLbl>
              <c:idx val="17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BE7A-4BDB-A325-622BC228A9FF}"/>
                </c:ext>
              </c:extLst>
            </c:dLbl>
            <c:dLbl>
              <c:idx val="18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BE7A-4BDB-A325-622BC228A9FF}"/>
                </c:ext>
              </c:extLst>
            </c:dLbl>
            <c:dLbl>
              <c:idx val="1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BE7A-4BDB-A325-622BC228A9FF}"/>
                </c:ext>
              </c:extLst>
            </c:dLbl>
            <c:dLbl>
              <c:idx val="2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BE7A-4BDB-A325-622BC228A9FF}"/>
                </c:ext>
              </c:extLst>
            </c:dLbl>
            <c:dLbl>
              <c:idx val="2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BE7A-4BDB-A325-622BC228A9FF}"/>
                </c:ext>
              </c:extLst>
            </c:dLbl>
            <c:dLbl>
              <c:idx val="2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BE7A-4BDB-A325-622BC228A9FF}"/>
                </c:ext>
              </c:extLst>
            </c:dLbl>
            <c:dLbl>
              <c:idx val="2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BE7A-4BDB-A325-622BC228A9FF}"/>
                </c:ext>
              </c:extLst>
            </c:dLbl>
            <c:dLbl>
              <c:idx val="2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BE7A-4BDB-A325-622BC228A9F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Consolidada'!$L$8,'Max Led Consolidada'!$L$10,'Max Led Consolidada'!$L$13,'Max Led Consolidada'!$L$17:$L$37)</c:f>
              <c:strCache>
                <c:ptCount val="24"/>
                <c:pt idx="0">
                  <c:v>RECEITA SNF</c:v>
                </c:pt>
                <c:pt idx="1">
                  <c:v>(-) IMPOSTOS (Simples Nacional)</c:v>
                </c:pt>
                <c:pt idx="2">
                  <c:v>(-) CUSTO DAS MERCADORIAS (FORNECEDORES)</c:v>
                </c:pt>
                <c:pt idx="3">
                  <c:v>BANCO</c:v>
                </c:pt>
                <c:pt idx="4">
                  <c:v>BRINDES</c:v>
                </c:pt>
                <c:pt idx="5">
                  <c:v>CARTÃO DE CRÉDITO</c:v>
                </c:pt>
                <c:pt idx="6">
                  <c:v>CONSUMO</c:v>
                </c:pt>
                <c:pt idx="7">
                  <c:v>CONTABILIDADE</c:v>
                </c:pt>
                <c:pt idx="8">
                  <c:v>DEVOLUÇÃO</c:v>
                </c:pt>
                <c:pt idx="9">
                  <c:v>EMPRÉSTIMO CAPITAL  DE GIRO ITAÚ</c:v>
                </c:pt>
                <c:pt idx="10">
                  <c:v>EMPRÉSTIMO CAPITAL DE GIRO BRADESCO</c:v>
                </c:pt>
                <c:pt idx="11">
                  <c:v>EMPRÉSTIMO PRONAMP</c:v>
                </c:pt>
                <c:pt idx="12">
                  <c:v>FUNCIONÁRIOS</c:v>
                </c:pt>
                <c:pt idx="13">
                  <c:v>FUNCIONÁRIOS (VR)</c:v>
                </c:pt>
                <c:pt idx="14">
                  <c:v>GASTOS FIXOS</c:v>
                </c:pt>
                <c:pt idx="15">
                  <c:v>IMPORTAÇÃO</c:v>
                </c:pt>
                <c:pt idx="16">
                  <c:v>INVESTIMENTO</c:v>
                </c:pt>
                <c:pt idx="17">
                  <c:v>MANUTENÇÃO</c:v>
                </c:pt>
                <c:pt idx="18">
                  <c:v>MARKETING</c:v>
                </c:pt>
                <c:pt idx="19">
                  <c:v>MATERIAL DE ESCRITÓRIO</c:v>
                </c:pt>
                <c:pt idx="20">
                  <c:v>MOVIMENTO</c:v>
                </c:pt>
                <c:pt idx="21">
                  <c:v>PUBLICIDADE</c:v>
                </c:pt>
                <c:pt idx="22">
                  <c:v>SEGURO DE EMPRÉSTIMO</c:v>
                </c:pt>
                <c:pt idx="23">
                  <c:v>SEGURO DE VIDA SÓCIO</c:v>
                </c:pt>
              </c:strCache>
            </c:strRef>
          </c:cat>
          <c:val>
            <c:numRef>
              <c:f>('Max Led Consolidada'!$M$8,'Max Led Consolidada'!$M$10,'Max Led Consolidada'!$M$13,'Max Led Consolidada'!$M$17:$M$37)</c:f>
              <c:numCache>
                <c:formatCode>_("R$"* #,##0.00_);_("R$"* \(#,##0.00\);_("R$"* "-"??_);_(@_)</c:formatCode>
                <c:ptCount val="24"/>
                <c:pt idx="0">
                  <c:v>23074.52</c:v>
                </c:pt>
                <c:pt idx="1">
                  <c:v>112058.88699999983</c:v>
                </c:pt>
                <c:pt idx="2">
                  <c:v>624281.02999999968</c:v>
                </c:pt>
                <c:pt idx="3">
                  <c:v>2329.6799999999994</c:v>
                </c:pt>
                <c:pt idx="4">
                  <c:v>1327</c:v>
                </c:pt>
                <c:pt idx="5">
                  <c:v>50110.21</c:v>
                </c:pt>
                <c:pt idx="6">
                  <c:v>2063.8900000000003</c:v>
                </c:pt>
                <c:pt idx="7">
                  <c:v>2500</c:v>
                </c:pt>
                <c:pt idx="8">
                  <c:v>400</c:v>
                </c:pt>
                <c:pt idx="9">
                  <c:v>5103.49</c:v>
                </c:pt>
                <c:pt idx="10">
                  <c:v>31535.000000000004</c:v>
                </c:pt>
                <c:pt idx="11">
                  <c:v>10862.02</c:v>
                </c:pt>
                <c:pt idx="12">
                  <c:v>74538.890000000014</c:v>
                </c:pt>
                <c:pt idx="13">
                  <c:v>1560</c:v>
                </c:pt>
                <c:pt idx="14">
                  <c:v>45679.28</c:v>
                </c:pt>
                <c:pt idx="15">
                  <c:v>58200</c:v>
                </c:pt>
                <c:pt idx="16">
                  <c:v>7306.14</c:v>
                </c:pt>
                <c:pt idx="17">
                  <c:v>3735</c:v>
                </c:pt>
                <c:pt idx="18">
                  <c:v>2007</c:v>
                </c:pt>
                <c:pt idx="19">
                  <c:v>1242</c:v>
                </c:pt>
                <c:pt idx="20">
                  <c:v>77021.36</c:v>
                </c:pt>
                <c:pt idx="21">
                  <c:v>147</c:v>
                </c:pt>
                <c:pt idx="22">
                  <c:v>548.95000000000005</c:v>
                </c:pt>
                <c:pt idx="23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A-4DDF-BB24-3434570CA4C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0274606676048"/>
          <c:y val="7.4345878088221115E-2"/>
          <c:w val="0.83980048432808663"/>
          <c:h val="0.64186741665684999"/>
        </c:manualLayout>
      </c:layout>
      <c:lineChart>
        <c:grouping val="standard"/>
        <c:varyColors val="0"/>
        <c:ser>
          <c:idx val="0"/>
          <c:order val="0"/>
          <c:tx>
            <c:strRef>
              <c:f>Planilha5!$B$1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Planilha5!$B$2:$B$21</c:f>
              <c:numCache>
                <c:formatCode>General</c:formatCode>
                <c:ptCount val="20"/>
                <c:pt idx="0">
                  <c:v>178852.4</c:v>
                </c:pt>
                <c:pt idx="1">
                  <c:v>263463.81</c:v>
                </c:pt>
                <c:pt idx="2">
                  <c:v>269184.65000000002</c:v>
                </c:pt>
                <c:pt idx="3">
                  <c:v>287664.75</c:v>
                </c:pt>
                <c:pt idx="4">
                  <c:v>291184.18</c:v>
                </c:pt>
                <c:pt idx="5">
                  <c:v>176965.13</c:v>
                </c:pt>
                <c:pt idx="6">
                  <c:v>273854.26</c:v>
                </c:pt>
                <c:pt idx="7">
                  <c:v>267965.26</c:v>
                </c:pt>
                <c:pt idx="8">
                  <c:v>329082.75</c:v>
                </c:pt>
                <c:pt idx="9">
                  <c:v>240017.04</c:v>
                </c:pt>
                <c:pt idx="10">
                  <c:v>242434.72</c:v>
                </c:pt>
                <c:pt idx="11">
                  <c:v>349038.01</c:v>
                </c:pt>
                <c:pt idx="12">
                  <c:v>145868.91999999998</c:v>
                </c:pt>
                <c:pt idx="13">
                  <c:v>163770.63</c:v>
                </c:pt>
                <c:pt idx="14">
                  <c:v>221147.61</c:v>
                </c:pt>
                <c:pt idx="15">
                  <c:v>319989.8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4-4FC2-A62C-63770F073B11}"/>
            </c:ext>
          </c:extLst>
        </c:ser>
        <c:ser>
          <c:idx val="1"/>
          <c:order val="1"/>
          <c:tx>
            <c:strRef>
              <c:f>Planilha5!$C$1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Planilha5!$C$2:$C$21</c:f>
              <c:numCache>
                <c:formatCode>General</c:formatCode>
                <c:ptCount val="20"/>
                <c:pt idx="15">
                  <c:v>319989.8</c:v>
                </c:pt>
                <c:pt idx="16">
                  <c:v>263468.5321484548</c:v>
                </c:pt>
                <c:pt idx="17">
                  <c:v>263381.68265788472</c:v>
                </c:pt>
                <c:pt idx="18">
                  <c:v>263294.83316731459</c:v>
                </c:pt>
                <c:pt idx="19">
                  <c:v>263207.98367674445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4-4FC2-A62C-63770F073B11}"/>
            </c:ext>
          </c:extLst>
        </c:ser>
        <c:ser>
          <c:idx val="2"/>
          <c:order val="2"/>
          <c:tx>
            <c:strRef>
              <c:f>Planilha5!$D$1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Planilha5!$D$2:$D$21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121874.18153649615</c:v>
                </c:pt>
                <c:pt idx="17" formatCode="0.00">
                  <c:v>105011.01250203422</c:v>
                </c:pt>
                <c:pt idx="18" formatCode="0.00">
                  <c:v>89704.259365020494</c:v>
                </c:pt>
                <c:pt idx="19" formatCode="0.00">
                  <c:v>75574.68528508881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4-4FC2-A62C-63770F073B11}"/>
            </c:ext>
          </c:extLst>
        </c:ser>
        <c:ser>
          <c:idx val="3"/>
          <c:order val="3"/>
          <c:tx>
            <c:strRef>
              <c:f>Planilha5!$E$1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Planilha5!$E$2:$E$21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405062.88276041346</c:v>
                </c:pt>
                <c:pt idx="17" formatCode="0.00">
                  <c:v>421752.35281373526</c:v>
                </c:pt>
                <c:pt idx="18" formatCode="0.00">
                  <c:v>436885.40696960868</c:v>
                </c:pt>
                <c:pt idx="19" formatCode="0.00">
                  <c:v>450841.28206840006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24-4FC2-A62C-63770F07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97840"/>
        <c:axId val="1869298320"/>
      </c:lineChart>
      <c:catAx>
        <c:axId val="1869297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8320"/>
        <c:crosses val="autoZero"/>
        <c:auto val="1"/>
        <c:lblAlgn val="ctr"/>
        <c:lblOffset val="100"/>
        <c:noMultiLvlLbl val="0"/>
      </c:catAx>
      <c:valAx>
        <c:axId val="1869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'Resumo Mensal  import'!$G$5:$G$16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'Resumo Mensal  import'!$H$5:$H$16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F-49D2-9D97-857A724CB6E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'Resumo Mensal  import'!$G$5:$G$16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'Resumo Mensal  import'!$I$5:$I$16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F-49D2-9D97-857A724C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592031"/>
        <c:axId val="1726567551"/>
      </c:barChart>
      <c:dateAx>
        <c:axId val="17265920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567551"/>
        <c:crosses val="autoZero"/>
        <c:auto val="1"/>
        <c:lblOffset val="100"/>
        <c:baseTimeUnit val="months"/>
      </c:dateAx>
      <c:valAx>
        <c:axId val="17265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5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Max Led Consolidada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Max Led Consolidada'!A1"/><Relationship Id="rId4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10</xdr:row>
      <xdr:rowOff>90487</xdr:rowOff>
    </xdr:from>
    <xdr:to>
      <xdr:col>12</xdr:col>
      <xdr:colOff>147637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59AD8F-E868-7BB6-80F9-A9FDE466C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719137</xdr:colOff>
      <xdr:row>10</xdr:row>
      <xdr:rowOff>90487</xdr:rowOff>
    </xdr:from>
    <xdr:to>
      <xdr:col>13</xdr:col>
      <xdr:colOff>71437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626E93-CE45-052A-6AED-0534D193D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22</xdr:row>
      <xdr:rowOff>19050</xdr:rowOff>
    </xdr:from>
    <xdr:to>
      <xdr:col>13</xdr:col>
      <xdr:colOff>514350</xdr:colOff>
      <xdr:row>37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921A5A-5B30-8097-C936-AAB1EDB1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119062</xdr:colOff>
      <xdr:row>21</xdr:row>
      <xdr:rowOff>152400</xdr:rowOff>
    </xdr:from>
    <xdr:to>
      <xdr:col>6</xdr:col>
      <xdr:colOff>1238250</xdr:colOff>
      <xdr:row>37</xdr:row>
      <xdr:rowOff>147638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0F6622-07D3-7B9D-9B69-B358EA97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493059</xdr:colOff>
      <xdr:row>37</xdr:row>
      <xdr:rowOff>188419</xdr:rowOff>
    </xdr:from>
    <xdr:to>
      <xdr:col>6</xdr:col>
      <xdr:colOff>438631</xdr:colOff>
      <xdr:row>52</xdr:row>
      <xdr:rowOff>24013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891C20D-DD22-45A0-9888-6E58505C7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515469</xdr:colOff>
      <xdr:row>21</xdr:row>
      <xdr:rowOff>33617</xdr:rowOff>
    </xdr:from>
    <xdr:to>
      <xdr:col>26</xdr:col>
      <xdr:colOff>190499</xdr:colOff>
      <xdr:row>37</xdr:row>
      <xdr:rowOff>112059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DE3A16-0A5E-42D8-897A-846E2B512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33617</xdr:colOff>
      <xdr:row>37</xdr:row>
      <xdr:rowOff>57152</xdr:rowOff>
    </xdr:from>
    <xdr:to>
      <xdr:col>13</xdr:col>
      <xdr:colOff>425823</xdr:colOff>
      <xdr:row>51</xdr:row>
      <xdr:rowOff>44824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7A7B3E-EDD3-8028-7131-20F45057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78441</xdr:colOff>
      <xdr:row>53</xdr:row>
      <xdr:rowOff>22412</xdr:rowOff>
    </xdr:from>
    <xdr:to>
      <xdr:col>13</xdr:col>
      <xdr:colOff>1042147</xdr:colOff>
      <xdr:row>73</xdr:row>
      <xdr:rowOff>78441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FCDD321-98AB-CDEC-E7AC-FFFAFCB15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67236</xdr:colOff>
      <xdr:row>54</xdr:row>
      <xdr:rowOff>0</xdr:rowOff>
    </xdr:from>
    <xdr:to>
      <xdr:col>6</xdr:col>
      <xdr:colOff>1400737</xdr:colOff>
      <xdr:row>76</xdr:row>
      <xdr:rowOff>22412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D93C774-A08B-E64D-B996-31819A59C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476251</xdr:colOff>
      <xdr:row>76</xdr:row>
      <xdr:rowOff>168888</xdr:rowOff>
    </xdr:from>
    <xdr:to>
      <xdr:col>6</xdr:col>
      <xdr:colOff>1482378</xdr:colOff>
      <xdr:row>87</xdr:row>
      <xdr:rowOff>32176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BE8E19E-5B8A-46B5-A746-5FB53B8DC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1591236</xdr:colOff>
      <xdr:row>76</xdr:row>
      <xdr:rowOff>100853</xdr:rowOff>
    </xdr:from>
    <xdr:to>
      <xdr:col>13</xdr:col>
      <xdr:colOff>1042147</xdr:colOff>
      <xdr:row>87</xdr:row>
      <xdr:rowOff>67236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E9BA2C5-0DF2-4A2C-B680-EE35F58C5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1483177</xdr:colOff>
      <xdr:row>87</xdr:row>
      <xdr:rowOff>43542</xdr:rowOff>
    </xdr:from>
    <xdr:to>
      <xdr:col>13</xdr:col>
      <xdr:colOff>802820</xdr:colOff>
      <xdr:row>100</xdr:row>
      <xdr:rowOff>54428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874C665-EDE8-CF05-4E6B-DABB8E17C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408212</xdr:colOff>
      <xdr:row>87</xdr:row>
      <xdr:rowOff>125184</xdr:rowOff>
    </xdr:from>
    <xdr:to>
      <xdr:col>6</xdr:col>
      <xdr:colOff>1401533</xdr:colOff>
      <xdr:row>100</xdr:row>
      <xdr:rowOff>54429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02C492C-9DAC-3E47-D952-CD16D397C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13607</xdr:colOff>
      <xdr:row>102</xdr:row>
      <xdr:rowOff>149679</xdr:rowOff>
    </xdr:from>
    <xdr:to>
      <xdr:col>12</xdr:col>
      <xdr:colOff>13607</xdr:colOff>
      <xdr:row>105</xdr:row>
      <xdr:rowOff>95251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8EC5357-3A68-1389-B940-55AF8D94E6C4}"/>
            </a:ext>
          </a:extLst>
        </xdr:cNvPr>
        <xdr:cNvSpPr txBox="1"/>
      </xdr:nvSpPr>
      <xdr:spPr>
        <a:xfrm>
          <a:off x="1360714" y="19621500"/>
          <a:ext cx="14083393" cy="517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/>
            <a:t>EMPRÉSTIMOS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42862</xdr:rowOff>
    </xdr:from>
    <xdr:to>
      <xdr:col>15</xdr:col>
      <xdr:colOff>381000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D9884A-2190-2436-DC94-E15D7F285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333374</xdr:colOff>
      <xdr:row>0</xdr:row>
      <xdr:rowOff>100011</xdr:rowOff>
    </xdr:from>
    <xdr:to>
      <xdr:col>12</xdr:col>
      <xdr:colOff>714374</xdr:colOff>
      <xdr:row>14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68F19D-4ACC-B46B-BDDB-C78E3DB18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423862</xdr:colOff>
      <xdr:row>7</xdr:row>
      <xdr:rowOff>171450</xdr:rowOff>
    </xdr:from>
    <xdr:to>
      <xdr:col>24</xdr:col>
      <xdr:colOff>600075</xdr:colOff>
      <xdr:row>22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E8BEEB-07C0-35EF-6A73-D169A90BB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719137</xdr:colOff>
      <xdr:row>10</xdr:row>
      <xdr:rowOff>90487</xdr:rowOff>
    </xdr:from>
    <xdr:to>
      <xdr:col>13</xdr:col>
      <xdr:colOff>71437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6111D4-C5ED-7BAB-7488-37B633693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285748</xdr:colOff>
      <xdr:row>2</xdr:row>
      <xdr:rowOff>158002</xdr:rowOff>
    </xdr:from>
    <xdr:to>
      <xdr:col>16</xdr:col>
      <xdr:colOff>44823</xdr:colOff>
      <xdr:row>17</xdr:row>
      <xdr:rowOff>43702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73D63A-845B-85F2-3262-C6662CD8D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347384</xdr:colOff>
      <xdr:row>23</xdr:row>
      <xdr:rowOff>186016</xdr:rowOff>
    </xdr:from>
    <xdr:to>
      <xdr:col>1</xdr:col>
      <xdr:colOff>649943</xdr:colOff>
      <xdr:row>24</xdr:row>
      <xdr:rowOff>96369</xdr:rowOff>
    </xdr:to>
    <xdr:pic>
      <xdr:nvPicPr>
        <xdr:cNvPr id="3" name="Gráfico 2" descr="Seta: Curva no sentido anti-horário com preenchimento sólido">
          <a:extLst>
            <a:ext uri="{FF2B5EF4-FFF2-40B4-BE49-F238E27FC236}">
              <a16:creationId xmlns:a16="http://schemas.microsoft.com/office/drawing/2014/main" id="{FA3D4CEA-E6AE-C8FA-1D4D-3C986D28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1680884" y="4388222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1</xdr:col>
      <xdr:colOff>410137</xdr:colOff>
      <xdr:row>29</xdr:row>
      <xdr:rowOff>2241</xdr:rowOff>
    </xdr:from>
    <xdr:to>
      <xdr:col>1</xdr:col>
      <xdr:colOff>712696</xdr:colOff>
      <xdr:row>30</xdr:row>
      <xdr:rowOff>69477</xdr:rowOff>
    </xdr:to>
    <xdr:pic>
      <xdr:nvPicPr>
        <xdr:cNvPr id="4" name="Gráfico 3" descr="Seta: Curva no sentido anti-horário com preenchimento sólido">
          <a:extLst>
            <a:ext uri="{FF2B5EF4-FFF2-40B4-BE49-F238E27FC236}">
              <a16:creationId xmlns:a16="http://schemas.microsoft.com/office/drawing/2014/main" id="{DD35EB07-939D-4C75-804F-81EDEFCF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1743637" y="5190565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9</xdr:col>
      <xdr:colOff>259979</xdr:colOff>
      <xdr:row>22</xdr:row>
      <xdr:rowOff>154642</xdr:rowOff>
    </xdr:from>
    <xdr:to>
      <xdr:col>9</xdr:col>
      <xdr:colOff>562538</xdr:colOff>
      <xdr:row>23</xdr:row>
      <xdr:rowOff>266701</xdr:rowOff>
    </xdr:to>
    <xdr:pic>
      <xdr:nvPicPr>
        <xdr:cNvPr id="6" name="Gráfico 5" descr="Seta: Curva no sentido anti-horário com preenchimento sólido">
          <a:extLst>
            <a:ext uri="{FF2B5EF4-FFF2-40B4-BE49-F238E27FC236}">
              <a16:creationId xmlns:a16="http://schemas.microsoft.com/office/drawing/2014/main" id="{28873ADE-813F-42B8-B639-78BA6199E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807391" y="4356848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9</xdr:col>
      <xdr:colOff>345142</xdr:colOff>
      <xdr:row>28</xdr:row>
      <xdr:rowOff>4482</xdr:rowOff>
    </xdr:from>
    <xdr:to>
      <xdr:col>9</xdr:col>
      <xdr:colOff>647701</xdr:colOff>
      <xdr:row>29</xdr:row>
      <xdr:rowOff>71717</xdr:rowOff>
    </xdr:to>
    <xdr:pic>
      <xdr:nvPicPr>
        <xdr:cNvPr id="9" name="Gráfico 8" descr="Seta: Curva no sentido anti-horário com preenchimento sólido">
          <a:extLst>
            <a:ext uri="{FF2B5EF4-FFF2-40B4-BE49-F238E27FC236}">
              <a16:creationId xmlns:a16="http://schemas.microsoft.com/office/drawing/2014/main" id="{0ACB6487-BF85-4FE8-9CD1-E9E90FC0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892554" y="5204011"/>
          <a:ext cx="302559" cy="302559"/>
        </a:xfrm>
        <a:prstGeom prst="rect">
          <a:avLst/>
        </a:prstGeom>
      </xdr:spPr>
    </xdr:pic>
    <xdr:clientData/>
  </xdr:twoCellAnchor>
  <xdr:twoCellAnchor>
    <xdr:from>
      <xdr:col>0</xdr:col>
      <xdr:colOff>69273</xdr:colOff>
      <xdr:row>47</xdr:row>
      <xdr:rowOff>138180</xdr:rowOff>
    </xdr:from>
    <xdr:to>
      <xdr:col>5</xdr:col>
      <xdr:colOff>123701</xdr:colOff>
      <xdr:row>62</xdr:row>
      <xdr:rowOff>149386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44BDBB-82FB-5C74-7462-A2D2EDD2A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528005</xdr:colOff>
      <xdr:row>48</xdr:row>
      <xdr:rowOff>68691</xdr:rowOff>
    </xdr:from>
    <xdr:to>
      <xdr:col>13</xdr:col>
      <xdr:colOff>1286855</xdr:colOff>
      <xdr:row>63</xdr:row>
      <xdr:rowOff>14262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E7CFDC8-DE37-A4CA-61F5-524467E6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503465</xdr:colOff>
      <xdr:row>27</xdr:row>
      <xdr:rowOff>81642</xdr:rowOff>
    </xdr:from>
    <xdr:to>
      <xdr:col>21</xdr:col>
      <xdr:colOff>81644</xdr:colOff>
      <xdr:row>42</xdr:row>
      <xdr:rowOff>48984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D438C6F-3508-4643-A341-B94816D56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97123</xdr:colOff>
      <xdr:row>0</xdr:row>
      <xdr:rowOff>45065</xdr:rowOff>
    </xdr:from>
    <xdr:to>
      <xdr:col>5</xdr:col>
      <xdr:colOff>559216</xdr:colOff>
      <xdr:row>2</xdr:row>
      <xdr:rowOff>126158</xdr:rowOff>
    </xdr:to>
    <xdr:pic>
      <xdr:nvPicPr>
        <xdr:cNvPr id="5" name="Gráfico 4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301DF-55BC-4F05-8750-402E0FA0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037016" y="45065"/>
          <a:ext cx="462093" cy="4620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84267</xdr:rowOff>
    </xdr:from>
    <xdr:to>
      <xdr:col>5</xdr:col>
      <xdr:colOff>557343</xdr:colOff>
      <xdr:row>2</xdr:row>
      <xdr:rowOff>165360</xdr:rowOff>
    </xdr:to>
    <xdr:pic>
      <xdr:nvPicPr>
        <xdr:cNvPr id="5" name="Gráfico 4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D3D87-8AFE-4CA1-ABBE-998F89CE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552214" y="84267"/>
          <a:ext cx="462093" cy="462093"/>
        </a:xfrm>
        <a:prstGeom prst="rect">
          <a:avLst/>
        </a:prstGeom>
      </xdr:spPr>
    </xdr:pic>
    <xdr:clientData/>
  </xdr:twoCellAnchor>
  <xdr:twoCellAnchor>
    <xdr:from>
      <xdr:col>11</xdr:col>
      <xdr:colOff>469445</xdr:colOff>
      <xdr:row>2</xdr:row>
      <xdr:rowOff>166007</xdr:rowOff>
    </xdr:from>
    <xdr:to>
      <xdr:col>15</xdr:col>
      <xdr:colOff>47624</xdr:colOff>
      <xdr:row>17</xdr:row>
      <xdr:rowOff>51707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0D254E6-7A49-4155-F01E-8207B277F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247651</xdr:colOff>
      <xdr:row>0</xdr:row>
      <xdr:rowOff>56594</xdr:rowOff>
    </xdr:from>
    <xdr:to>
      <xdr:col>4</xdr:col>
      <xdr:colOff>574492</xdr:colOff>
      <xdr:row>2</xdr:row>
      <xdr:rowOff>2435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0C7E3-EA69-4742-963D-90B00D00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4695826" y="56594"/>
          <a:ext cx="326841" cy="3268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44824</xdr:colOff>
      <xdr:row>0</xdr:row>
      <xdr:rowOff>56595</xdr:rowOff>
    </xdr:from>
    <xdr:to>
      <xdr:col>5</xdr:col>
      <xdr:colOff>371665</xdr:colOff>
      <xdr:row>2</xdr:row>
      <xdr:rowOff>2436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04A54-C9CC-4C3D-88D8-BE2A6FE2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4818530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56595</xdr:rowOff>
    </xdr:from>
    <xdr:to>
      <xdr:col>5</xdr:col>
      <xdr:colOff>507817</xdr:colOff>
      <xdr:row>1</xdr:row>
      <xdr:rowOff>50061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DCD0C2-4563-43FD-BAC5-4AEE1DF27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3562351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123541</xdr:colOff>
      <xdr:row>0</xdr:row>
      <xdr:rowOff>56595</xdr:rowOff>
    </xdr:from>
    <xdr:to>
      <xdr:col>4</xdr:col>
      <xdr:colOff>450382</xdr:colOff>
      <xdr:row>1</xdr:row>
      <xdr:rowOff>50061</xdr:rowOff>
    </xdr:to>
    <xdr:pic>
      <xdr:nvPicPr>
        <xdr:cNvPr id="3" name="Gráfico 2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5A61D8-A8DF-F9E5-2D4C-7542F900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5829016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326841</xdr:colOff>
      <xdr:row>1</xdr:row>
      <xdr:rowOff>136341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7693A-3E11-4DC5-9064-5233A459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6610350" y="0"/>
          <a:ext cx="326841" cy="3268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56595</xdr:rowOff>
    </xdr:from>
    <xdr:to>
      <xdr:col>6</xdr:col>
      <xdr:colOff>507816</xdr:colOff>
      <xdr:row>2</xdr:row>
      <xdr:rowOff>2436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E4195-E7DA-46AB-A059-F5F90948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7458075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200024</xdr:colOff>
      <xdr:row>0</xdr:row>
      <xdr:rowOff>56596</xdr:rowOff>
    </xdr:from>
    <xdr:to>
      <xdr:col>5</xdr:col>
      <xdr:colOff>526865</xdr:colOff>
      <xdr:row>2</xdr:row>
      <xdr:rowOff>2437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033AE-3C65-4FDF-9E2E-6F592F93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6734174" y="56596"/>
          <a:ext cx="326841" cy="3268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326841</xdr:colOff>
      <xdr:row>0</xdr:row>
      <xdr:rowOff>326841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5C9D21-B9F5-43A6-BE6F-CD90D2E82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9058275" y="0"/>
          <a:ext cx="326841" cy="3268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d6322e2aee46d7/Documentos/dados%20para%20proje&#231;&#245;es.xlsx" TargetMode="External"/><Relationship Id="rId1" Type="http://schemas.openxmlformats.org/officeDocument/2006/relationships/externalLinkPath" Target="https://d.docs.live.net/c8d6322e2aee46d7/Documentos/dados%20para%20proje&#231;&#245;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A receer iluminação"/>
      <sheetName val="a pagar iluminação"/>
      <sheetName val="a reverber importação"/>
      <sheetName val="a pagar importaçãp"/>
    </sheetNames>
    <sheetDataSet>
      <sheetData sheetId="0"/>
      <sheetData sheetId="1">
        <row r="2">
          <cell r="D2">
            <v>545.75</v>
          </cell>
          <cell r="E2" t="str">
            <v>01/05/2026</v>
          </cell>
        </row>
        <row r="3">
          <cell r="D3">
            <v>971.83</v>
          </cell>
          <cell r="E3" t="str">
            <v>01/05/2026</v>
          </cell>
        </row>
        <row r="4">
          <cell r="D4">
            <v>1643.75</v>
          </cell>
          <cell r="E4" t="str">
            <v>01/05/2026</v>
          </cell>
        </row>
        <row r="5">
          <cell r="D5">
            <v>733.8</v>
          </cell>
          <cell r="E5" t="str">
            <v>01/05/2026</v>
          </cell>
        </row>
        <row r="6">
          <cell r="D6">
            <v>4699.87</v>
          </cell>
          <cell r="E6" t="str">
            <v>01/05/2026</v>
          </cell>
        </row>
        <row r="7">
          <cell r="D7">
            <v>1444</v>
          </cell>
          <cell r="E7" t="str">
            <v>02/05/2026</v>
          </cell>
        </row>
        <row r="8">
          <cell r="D8">
            <v>1195.26</v>
          </cell>
          <cell r="E8" t="str">
            <v>02/05/2026</v>
          </cell>
        </row>
        <row r="9">
          <cell r="D9">
            <v>1044.25</v>
          </cell>
          <cell r="E9" t="str">
            <v>02/05/2026</v>
          </cell>
        </row>
        <row r="10">
          <cell r="D10">
            <v>2428.6</v>
          </cell>
          <cell r="E10" t="str">
            <v>03/05/2026</v>
          </cell>
        </row>
        <row r="11">
          <cell r="D11">
            <v>1205</v>
          </cell>
          <cell r="E11" t="str">
            <v>03/05/2026</v>
          </cell>
        </row>
        <row r="12">
          <cell r="D12">
            <v>775.99</v>
          </cell>
          <cell r="E12" t="str">
            <v>03/05/2026</v>
          </cell>
        </row>
        <row r="13">
          <cell r="D13">
            <v>651</v>
          </cell>
          <cell r="E13" t="str">
            <v>03/05/2026*</v>
          </cell>
        </row>
        <row r="14">
          <cell r="D14">
            <v>1861.83</v>
          </cell>
          <cell r="E14" t="str">
            <v>04/05/2026</v>
          </cell>
        </row>
        <row r="15">
          <cell r="D15">
            <v>1515.2</v>
          </cell>
          <cell r="E15" t="str">
            <v>04/05/2026</v>
          </cell>
        </row>
        <row r="16">
          <cell r="D16">
            <v>253.5</v>
          </cell>
          <cell r="E16" t="str">
            <v>04/05/2026</v>
          </cell>
        </row>
        <row r="17">
          <cell r="D17">
            <v>677.5</v>
          </cell>
          <cell r="E17" t="str">
            <v>05/05/2026</v>
          </cell>
        </row>
        <row r="18">
          <cell r="D18">
            <v>1377.9</v>
          </cell>
          <cell r="E18" t="str">
            <v>05/05/2026</v>
          </cell>
        </row>
        <row r="19">
          <cell r="D19">
            <v>272.5</v>
          </cell>
          <cell r="E19" t="str">
            <v>05/05/2026</v>
          </cell>
        </row>
        <row r="20">
          <cell r="D20">
            <v>215</v>
          </cell>
          <cell r="E20" t="str">
            <v>05/05/2026</v>
          </cell>
        </row>
        <row r="21">
          <cell r="D21">
            <v>179.2</v>
          </cell>
          <cell r="E21" t="str">
            <v>05/05/2026</v>
          </cell>
        </row>
        <row r="22">
          <cell r="D22">
            <v>515.66</v>
          </cell>
          <cell r="E22" t="str">
            <v>05/05/2026</v>
          </cell>
        </row>
        <row r="23">
          <cell r="D23">
            <v>755.2</v>
          </cell>
          <cell r="E23" t="str">
            <v>06/05/2026</v>
          </cell>
        </row>
        <row r="24">
          <cell r="D24">
            <v>728</v>
          </cell>
          <cell r="E24" t="str">
            <v>06/05/2026</v>
          </cell>
        </row>
        <row r="25">
          <cell r="D25">
            <v>430.14</v>
          </cell>
          <cell r="E25" t="str">
            <v>06/05/2026</v>
          </cell>
        </row>
        <row r="26">
          <cell r="D26">
            <v>1843.2</v>
          </cell>
          <cell r="E26" t="str">
            <v>07/05/2026</v>
          </cell>
        </row>
        <row r="27">
          <cell r="D27">
            <v>466.7</v>
          </cell>
          <cell r="E27" t="str">
            <v>07/05/2026</v>
          </cell>
        </row>
        <row r="28">
          <cell r="D28">
            <v>468.63</v>
          </cell>
          <cell r="E28" t="str">
            <v>07/05/2026</v>
          </cell>
        </row>
        <row r="29">
          <cell r="D29">
            <v>347.73</v>
          </cell>
          <cell r="E29" t="str">
            <v>07/05/2026</v>
          </cell>
        </row>
        <row r="30">
          <cell r="D30">
            <v>559.13</v>
          </cell>
          <cell r="E30" t="str">
            <v>07/05/2026</v>
          </cell>
        </row>
        <row r="31">
          <cell r="D31">
            <v>500</v>
          </cell>
          <cell r="E31" t="str">
            <v>07/05/2026</v>
          </cell>
        </row>
        <row r="32">
          <cell r="D32">
            <v>1058</v>
          </cell>
          <cell r="E32" t="str">
            <v>07/05/2026</v>
          </cell>
        </row>
        <row r="33">
          <cell r="D33">
            <v>285.39999999999998</v>
          </cell>
          <cell r="E33" t="str">
            <v>07/05/2026</v>
          </cell>
        </row>
        <row r="34">
          <cell r="D34">
            <v>570.05999999999995</v>
          </cell>
          <cell r="E34" t="str">
            <v>07/05/2026</v>
          </cell>
        </row>
        <row r="35">
          <cell r="D35">
            <v>98.5</v>
          </cell>
          <cell r="E35" t="str">
            <v>07/05/2026</v>
          </cell>
        </row>
        <row r="36">
          <cell r="D36">
            <v>19.989999999999998</v>
          </cell>
          <cell r="E36" t="str">
            <v>07/05/2026</v>
          </cell>
        </row>
        <row r="37">
          <cell r="D37">
            <v>860.83</v>
          </cell>
          <cell r="E37" t="str">
            <v>08/05/2026</v>
          </cell>
        </row>
        <row r="38">
          <cell r="D38">
            <v>1040</v>
          </cell>
          <cell r="E38" t="str">
            <v>08/05/2026</v>
          </cell>
        </row>
        <row r="39">
          <cell r="D39">
            <v>1214.55</v>
          </cell>
          <cell r="E39" t="str">
            <v>08/05/2026</v>
          </cell>
        </row>
        <row r="40">
          <cell r="D40">
            <v>1643.87</v>
          </cell>
          <cell r="E40" t="str">
            <v>08/05/2026</v>
          </cell>
        </row>
        <row r="41">
          <cell r="D41">
            <v>3909.78</v>
          </cell>
          <cell r="E41" t="str">
            <v>08/05/2026</v>
          </cell>
        </row>
        <row r="42">
          <cell r="D42">
            <v>671.67</v>
          </cell>
          <cell r="E42" t="str">
            <v>08/05/2026</v>
          </cell>
        </row>
        <row r="43">
          <cell r="D43">
            <v>408</v>
          </cell>
          <cell r="E43" t="str">
            <v>08/05/2026</v>
          </cell>
        </row>
        <row r="44">
          <cell r="D44">
            <v>0</v>
          </cell>
          <cell r="E44" t="str">
            <v>08/05/2026</v>
          </cell>
        </row>
        <row r="45">
          <cell r="D45">
            <v>237</v>
          </cell>
          <cell r="E45" t="str">
            <v>08/05/2026</v>
          </cell>
        </row>
        <row r="46">
          <cell r="D46">
            <v>190</v>
          </cell>
          <cell r="E46" t="str">
            <v>08/05/2026</v>
          </cell>
        </row>
        <row r="47">
          <cell r="D47">
            <v>70</v>
          </cell>
          <cell r="E47" t="str">
            <v>08/05/2026</v>
          </cell>
        </row>
        <row r="48">
          <cell r="D48">
            <v>160</v>
          </cell>
          <cell r="E48" t="str">
            <v>08/05/2026</v>
          </cell>
        </row>
        <row r="49">
          <cell r="D49">
            <v>66.7</v>
          </cell>
          <cell r="E49" t="str">
            <v>08/05/2026</v>
          </cell>
        </row>
        <row r="50">
          <cell r="D50">
            <v>180</v>
          </cell>
          <cell r="E50" t="str">
            <v>08/05/2026</v>
          </cell>
        </row>
        <row r="51">
          <cell r="D51">
            <v>24.99</v>
          </cell>
          <cell r="E51" t="str">
            <v>08/05/2026</v>
          </cell>
        </row>
        <row r="52">
          <cell r="D52">
            <v>1774.43</v>
          </cell>
          <cell r="E52" t="str">
            <v>10/05/2026</v>
          </cell>
        </row>
        <row r="53">
          <cell r="D53">
            <v>573.5</v>
          </cell>
          <cell r="E53" t="str">
            <v>10/05/2026</v>
          </cell>
        </row>
        <row r="54">
          <cell r="D54">
            <v>1437.24</v>
          </cell>
          <cell r="E54" t="str">
            <v>10/05/2026</v>
          </cell>
        </row>
        <row r="55">
          <cell r="D55">
            <v>1163.75</v>
          </cell>
          <cell r="E55" t="str">
            <v>10/05/2026</v>
          </cell>
        </row>
        <row r="56">
          <cell r="D56">
            <v>694.75</v>
          </cell>
          <cell r="E56" t="str">
            <v>11/05/2026</v>
          </cell>
        </row>
        <row r="57">
          <cell r="D57">
            <v>4732.7700000000004</v>
          </cell>
          <cell r="E57" t="str">
            <v>11/05/2026</v>
          </cell>
        </row>
        <row r="58">
          <cell r="D58">
            <v>1596.5</v>
          </cell>
          <cell r="E58" t="str">
            <v>11/05/2026</v>
          </cell>
        </row>
        <row r="59">
          <cell r="D59">
            <v>471.13</v>
          </cell>
          <cell r="E59" t="str">
            <v>12/05/2026</v>
          </cell>
        </row>
        <row r="60">
          <cell r="D60">
            <v>515.66999999999996</v>
          </cell>
          <cell r="E60" t="str">
            <v>12/05/2026</v>
          </cell>
        </row>
        <row r="61">
          <cell r="D61">
            <v>390</v>
          </cell>
          <cell r="E61" t="str">
            <v>12/05/2026</v>
          </cell>
        </row>
        <row r="62">
          <cell r="D62">
            <v>270</v>
          </cell>
          <cell r="E62" t="str">
            <v>12/05/2026</v>
          </cell>
        </row>
        <row r="63">
          <cell r="D63">
            <v>296.5</v>
          </cell>
          <cell r="E63" t="str">
            <v>12/05/2026</v>
          </cell>
        </row>
        <row r="64">
          <cell r="D64">
            <v>324.2</v>
          </cell>
          <cell r="E64" t="str">
            <v>12/05/2026</v>
          </cell>
        </row>
        <row r="65">
          <cell r="D65">
            <v>1165.5</v>
          </cell>
          <cell r="E65" t="str">
            <v>12/05/2026</v>
          </cell>
        </row>
        <row r="66">
          <cell r="D66">
            <v>13.99</v>
          </cell>
          <cell r="E66" t="str">
            <v>12/05/2026</v>
          </cell>
        </row>
        <row r="67">
          <cell r="D67">
            <v>267.14999999999998</v>
          </cell>
          <cell r="E67" t="str">
            <v>12/05/2026</v>
          </cell>
        </row>
        <row r="68">
          <cell r="D68">
            <v>624.6</v>
          </cell>
          <cell r="E68" t="str">
            <v>12/05/2026*</v>
          </cell>
        </row>
        <row r="69">
          <cell r="D69">
            <v>430.13</v>
          </cell>
          <cell r="E69" t="str">
            <v>13/05/2026</v>
          </cell>
        </row>
        <row r="70">
          <cell r="D70">
            <v>3500</v>
          </cell>
          <cell r="E70" t="str">
            <v>13/05/2026</v>
          </cell>
        </row>
        <row r="71">
          <cell r="D71">
            <v>939.9</v>
          </cell>
          <cell r="E71" t="str">
            <v>13/05/2026*</v>
          </cell>
        </row>
        <row r="72">
          <cell r="D72">
            <v>360</v>
          </cell>
          <cell r="E72" t="str">
            <v>13/05/2026</v>
          </cell>
        </row>
        <row r="73">
          <cell r="D73">
            <v>255.4</v>
          </cell>
          <cell r="E73" t="str">
            <v>13/05/2026</v>
          </cell>
        </row>
        <row r="74">
          <cell r="D74">
            <v>551.76</v>
          </cell>
          <cell r="E74" t="str">
            <v>13/05/2026</v>
          </cell>
        </row>
        <row r="75">
          <cell r="D75">
            <v>733.34</v>
          </cell>
          <cell r="E75" t="str">
            <v>13/05/2026</v>
          </cell>
        </row>
        <row r="76">
          <cell r="D76">
            <v>145.66999999999999</v>
          </cell>
          <cell r="E76" t="str">
            <v>13/05/2026</v>
          </cell>
        </row>
        <row r="77">
          <cell r="D77">
            <v>509.2</v>
          </cell>
          <cell r="E77" t="str">
            <v>13/05/2026</v>
          </cell>
        </row>
        <row r="78">
          <cell r="D78">
            <v>260</v>
          </cell>
          <cell r="E78" t="str">
            <v>13/05/2026</v>
          </cell>
        </row>
        <row r="79">
          <cell r="D79">
            <v>170</v>
          </cell>
          <cell r="E79" t="str">
            <v>13/05/2026</v>
          </cell>
        </row>
        <row r="80">
          <cell r="D80">
            <v>1843.2</v>
          </cell>
          <cell r="E80" t="str">
            <v>14/05/2026</v>
          </cell>
        </row>
        <row r="81">
          <cell r="D81">
            <v>736</v>
          </cell>
          <cell r="E81" t="str">
            <v>14/05/2026</v>
          </cell>
        </row>
        <row r="82">
          <cell r="D82">
            <v>347.73</v>
          </cell>
          <cell r="E82" t="str">
            <v>14/05/2026</v>
          </cell>
        </row>
        <row r="83">
          <cell r="D83">
            <v>528.20000000000005</v>
          </cell>
          <cell r="E83" t="str">
            <v>14/05/2026</v>
          </cell>
        </row>
        <row r="84">
          <cell r="D84">
            <v>708.75</v>
          </cell>
          <cell r="E84" t="str">
            <v>14/05/2026</v>
          </cell>
        </row>
        <row r="85">
          <cell r="D85">
            <v>844.26</v>
          </cell>
          <cell r="E85" t="str">
            <v>14/05/2026</v>
          </cell>
        </row>
        <row r="86">
          <cell r="D86">
            <v>95</v>
          </cell>
          <cell r="E86" t="str">
            <v>14/05/2026</v>
          </cell>
        </row>
        <row r="87">
          <cell r="D87">
            <v>26.99</v>
          </cell>
          <cell r="E87" t="str">
            <v>14/05/2026</v>
          </cell>
        </row>
        <row r="88">
          <cell r="D88">
            <v>23.98</v>
          </cell>
          <cell r="E88" t="str">
            <v>14/05/2026</v>
          </cell>
        </row>
        <row r="89">
          <cell r="D89">
            <v>207</v>
          </cell>
          <cell r="E89" t="str">
            <v>14/05/2026*</v>
          </cell>
        </row>
        <row r="90">
          <cell r="D90">
            <v>582.48</v>
          </cell>
          <cell r="E90" t="str">
            <v>15/05/2026</v>
          </cell>
        </row>
        <row r="91">
          <cell r="D91">
            <v>932.75</v>
          </cell>
          <cell r="E91" t="str">
            <v>15/05/2026</v>
          </cell>
        </row>
        <row r="92">
          <cell r="D92">
            <v>1774.6</v>
          </cell>
          <cell r="E92" t="str">
            <v>15/05/2026</v>
          </cell>
        </row>
        <row r="93">
          <cell r="D93">
            <v>748.67</v>
          </cell>
          <cell r="E93" t="str">
            <v>15/05/2026*</v>
          </cell>
        </row>
        <row r="94">
          <cell r="D94">
            <v>5545.98</v>
          </cell>
          <cell r="E94" t="str">
            <v>15/05/2026</v>
          </cell>
        </row>
        <row r="95">
          <cell r="D95">
            <v>1307.6300000000001</v>
          </cell>
          <cell r="E95" t="str">
            <v>15/05/2026</v>
          </cell>
        </row>
        <row r="96">
          <cell r="D96">
            <v>671.68</v>
          </cell>
          <cell r="E96" t="str">
            <v>15/05/2026</v>
          </cell>
        </row>
        <row r="97">
          <cell r="D97">
            <v>598.58000000000004</v>
          </cell>
          <cell r="E97" t="str">
            <v>15/05/2026</v>
          </cell>
        </row>
        <row r="98">
          <cell r="D98">
            <v>660</v>
          </cell>
          <cell r="E98" t="str">
            <v>15/05/2026*</v>
          </cell>
        </row>
        <row r="99">
          <cell r="D99">
            <v>725</v>
          </cell>
          <cell r="E99" t="str">
            <v>15/05/2026</v>
          </cell>
        </row>
        <row r="100">
          <cell r="D100">
            <v>1017</v>
          </cell>
          <cell r="E100" t="str">
            <v>15/05/2026</v>
          </cell>
        </row>
        <row r="101">
          <cell r="D101">
            <v>586</v>
          </cell>
          <cell r="E101" t="str">
            <v>15/05/2026</v>
          </cell>
        </row>
        <row r="102">
          <cell r="D102">
            <v>22.99</v>
          </cell>
          <cell r="E102" t="str">
            <v>15/05/2026</v>
          </cell>
        </row>
        <row r="103">
          <cell r="D103">
            <v>1643.75</v>
          </cell>
          <cell r="E103" t="str">
            <v>16/05/2026*</v>
          </cell>
        </row>
        <row r="104">
          <cell r="D104">
            <v>3729</v>
          </cell>
          <cell r="E104" t="str">
            <v>16/05/2026*</v>
          </cell>
        </row>
        <row r="105">
          <cell r="D105">
            <v>791.85</v>
          </cell>
          <cell r="E105" t="str">
            <v>16/05/2026*</v>
          </cell>
        </row>
        <row r="106">
          <cell r="D106">
            <v>129.5</v>
          </cell>
          <cell r="E106" t="str">
            <v>16/05/2026*</v>
          </cell>
        </row>
        <row r="107">
          <cell r="D107">
            <v>1044.25</v>
          </cell>
          <cell r="E107" t="str">
            <v>17/05/2026*</v>
          </cell>
        </row>
        <row r="108">
          <cell r="D108">
            <v>1205</v>
          </cell>
          <cell r="E108" t="str">
            <v>18/05/2026</v>
          </cell>
        </row>
        <row r="109">
          <cell r="D109">
            <v>1080.02</v>
          </cell>
          <cell r="E109" t="str">
            <v>18/05/2026</v>
          </cell>
        </row>
        <row r="110">
          <cell r="D110">
            <v>1861.83</v>
          </cell>
          <cell r="E110" t="str">
            <v>19/05/2026</v>
          </cell>
        </row>
        <row r="111">
          <cell r="D111">
            <v>515.66999999999996</v>
          </cell>
          <cell r="E111" t="str">
            <v>19/05/2026</v>
          </cell>
        </row>
        <row r="112">
          <cell r="D112">
            <v>1165.5</v>
          </cell>
          <cell r="E112" t="str">
            <v>19/05/2026</v>
          </cell>
        </row>
        <row r="113">
          <cell r="D113">
            <v>624.6</v>
          </cell>
          <cell r="E113" t="str">
            <v>19/05/2026</v>
          </cell>
        </row>
        <row r="114">
          <cell r="D114">
            <v>677.5</v>
          </cell>
          <cell r="E114" t="str">
            <v>20/05/2026</v>
          </cell>
        </row>
        <row r="115">
          <cell r="D115">
            <v>430.13</v>
          </cell>
          <cell r="E115" t="str">
            <v>20/05/2026</v>
          </cell>
        </row>
        <row r="116">
          <cell r="D116">
            <v>551.77</v>
          </cell>
          <cell r="E116" t="str">
            <v>20/05/2026</v>
          </cell>
        </row>
        <row r="117">
          <cell r="D117">
            <v>733.33</v>
          </cell>
          <cell r="E117" t="str">
            <v>20/05/2026</v>
          </cell>
        </row>
        <row r="118">
          <cell r="D118">
            <v>354.5</v>
          </cell>
          <cell r="E118" t="str">
            <v>20/05/2026</v>
          </cell>
        </row>
        <row r="119">
          <cell r="D119">
            <v>1843.2</v>
          </cell>
          <cell r="E119" t="str">
            <v>21/05/2026</v>
          </cell>
        </row>
        <row r="120">
          <cell r="D120">
            <v>708.75</v>
          </cell>
          <cell r="E120" t="str">
            <v>21/05/2026</v>
          </cell>
        </row>
        <row r="121">
          <cell r="D121">
            <v>844.27</v>
          </cell>
          <cell r="E121" t="str">
            <v>21/05/2026</v>
          </cell>
        </row>
        <row r="122">
          <cell r="D122">
            <v>443</v>
          </cell>
          <cell r="E122" t="str">
            <v>21/05/2026</v>
          </cell>
        </row>
        <row r="123">
          <cell r="D123">
            <v>371</v>
          </cell>
          <cell r="E123" t="str">
            <v>21/05/2026</v>
          </cell>
        </row>
        <row r="124">
          <cell r="D124">
            <v>95</v>
          </cell>
          <cell r="E124" t="str">
            <v>21/05/2026</v>
          </cell>
        </row>
        <row r="125">
          <cell r="D125">
            <v>546.41999999999996</v>
          </cell>
          <cell r="E125" t="str">
            <v>22/05/2026</v>
          </cell>
        </row>
        <row r="126">
          <cell r="D126">
            <v>500</v>
          </cell>
          <cell r="E126" t="str">
            <v>22/05/2026</v>
          </cell>
        </row>
        <row r="127">
          <cell r="D127">
            <v>844.92</v>
          </cell>
          <cell r="E127" t="str">
            <v>22/05/2026</v>
          </cell>
        </row>
        <row r="128">
          <cell r="D128">
            <v>584</v>
          </cell>
          <cell r="E128" t="str">
            <v>22/05/2026</v>
          </cell>
        </row>
        <row r="129">
          <cell r="D129">
            <v>295.60000000000002</v>
          </cell>
          <cell r="E129" t="str">
            <v>22/05/2026</v>
          </cell>
        </row>
        <row r="130">
          <cell r="D130">
            <v>557</v>
          </cell>
          <cell r="E130" t="str">
            <v>22/05/2026</v>
          </cell>
        </row>
        <row r="131">
          <cell r="D131">
            <v>416.34</v>
          </cell>
          <cell r="E131" t="str">
            <v>22/05/2026</v>
          </cell>
        </row>
        <row r="132">
          <cell r="D132">
            <v>1171.78</v>
          </cell>
          <cell r="E132" t="str">
            <v>23/05/2026</v>
          </cell>
        </row>
        <row r="133">
          <cell r="D133">
            <v>803.5</v>
          </cell>
          <cell r="E133" t="str">
            <v>24/05/2026</v>
          </cell>
        </row>
        <row r="134">
          <cell r="D134">
            <v>1163.75</v>
          </cell>
          <cell r="E134" t="str">
            <v>25/05/2026</v>
          </cell>
        </row>
        <row r="135">
          <cell r="D135">
            <v>502</v>
          </cell>
          <cell r="E135" t="str">
            <v>25/05/2026</v>
          </cell>
        </row>
        <row r="136">
          <cell r="D136">
            <v>316.43</v>
          </cell>
          <cell r="E136" t="str">
            <v>25/05/2026</v>
          </cell>
        </row>
        <row r="137">
          <cell r="D137">
            <v>294.25</v>
          </cell>
          <cell r="E137" t="str">
            <v>25/05/2026</v>
          </cell>
        </row>
        <row r="138">
          <cell r="D138">
            <v>4545.7700000000004</v>
          </cell>
          <cell r="E138" t="str">
            <v>26/05/2026</v>
          </cell>
        </row>
        <row r="139">
          <cell r="D139">
            <v>4732.7700000000004</v>
          </cell>
          <cell r="E139" t="str">
            <v>26/05/2026</v>
          </cell>
        </row>
        <row r="140">
          <cell r="D140">
            <v>1165.5</v>
          </cell>
          <cell r="E140" t="str">
            <v>26/05/2026</v>
          </cell>
        </row>
        <row r="141">
          <cell r="D141">
            <v>306</v>
          </cell>
          <cell r="E141" t="str">
            <v>26/05/2026</v>
          </cell>
        </row>
        <row r="142">
          <cell r="D142">
            <v>336</v>
          </cell>
          <cell r="E142" t="str">
            <v>26/05/2026</v>
          </cell>
        </row>
        <row r="143">
          <cell r="D143">
            <v>280</v>
          </cell>
          <cell r="E143" t="str">
            <v>26/05/2026</v>
          </cell>
        </row>
        <row r="144">
          <cell r="D144">
            <v>624.6</v>
          </cell>
          <cell r="E144" t="str">
            <v>26/05/2026</v>
          </cell>
        </row>
        <row r="145">
          <cell r="D145">
            <v>551.77</v>
          </cell>
          <cell r="E145" t="str">
            <v>27/05/2026</v>
          </cell>
        </row>
        <row r="146">
          <cell r="D146">
            <v>733.33</v>
          </cell>
          <cell r="E146" t="str">
            <v>27/05/2026</v>
          </cell>
        </row>
        <row r="147">
          <cell r="D147">
            <v>1197.8399999999999</v>
          </cell>
          <cell r="E147" t="str">
            <v>27/05/2026</v>
          </cell>
        </row>
        <row r="148">
          <cell r="D148">
            <v>943.6</v>
          </cell>
          <cell r="E148" t="str">
            <v>27/05/2026</v>
          </cell>
        </row>
        <row r="149">
          <cell r="D149">
            <v>1032.8</v>
          </cell>
          <cell r="E149" t="str">
            <v>27/05/2026</v>
          </cell>
        </row>
        <row r="150">
          <cell r="D150">
            <v>797</v>
          </cell>
          <cell r="E150" t="str">
            <v>27/05/2026</v>
          </cell>
        </row>
        <row r="151">
          <cell r="D151">
            <v>844.27</v>
          </cell>
          <cell r="E151" t="str">
            <v>28/05/2026</v>
          </cell>
        </row>
        <row r="152">
          <cell r="D152">
            <v>371</v>
          </cell>
          <cell r="E152" t="str">
            <v>28/05/2026</v>
          </cell>
        </row>
        <row r="153">
          <cell r="D153">
            <v>851.8</v>
          </cell>
          <cell r="E153" t="str">
            <v>28/05/2026</v>
          </cell>
        </row>
        <row r="154">
          <cell r="D154">
            <v>393.2</v>
          </cell>
          <cell r="E154" t="str">
            <v>28/05/2026</v>
          </cell>
        </row>
        <row r="155">
          <cell r="D155">
            <v>384</v>
          </cell>
          <cell r="E155" t="str">
            <v>28/05/2026</v>
          </cell>
        </row>
        <row r="156">
          <cell r="D156">
            <v>570</v>
          </cell>
          <cell r="E156" t="str">
            <v>28/05/2026</v>
          </cell>
        </row>
        <row r="157">
          <cell r="D157">
            <v>728.8</v>
          </cell>
          <cell r="E157" t="str">
            <v>28/05/2026</v>
          </cell>
        </row>
        <row r="158">
          <cell r="D158">
            <v>1554.5</v>
          </cell>
          <cell r="E158" t="str">
            <v>28/05/2026</v>
          </cell>
        </row>
        <row r="159">
          <cell r="D159">
            <v>655.5</v>
          </cell>
          <cell r="E159" t="str">
            <v>28/05/2026</v>
          </cell>
        </row>
        <row r="160">
          <cell r="D160">
            <v>943.78</v>
          </cell>
          <cell r="E160" t="str">
            <v>28/05/2026</v>
          </cell>
        </row>
        <row r="161">
          <cell r="D161">
            <v>844.92</v>
          </cell>
          <cell r="E161" t="str">
            <v>29/05/2026</v>
          </cell>
        </row>
        <row r="162">
          <cell r="D162">
            <v>557</v>
          </cell>
          <cell r="E162" t="str">
            <v>29/05/2026</v>
          </cell>
        </row>
        <row r="163">
          <cell r="D163">
            <v>416.33</v>
          </cell>
          <cell r="E163" t="str">
            <v>29/05/2026</v>
          </cell>
        </row>
        <row r="164">
          <cell r="D164">
            <v>5545.98</v>
          </cell>
          <cell r="E164" t="str">
            <v>30/05/2026</v>
          </cell>
        </row>
        <row r="165">
          <cell r="D165">
            <v>1307.6300000000001</v>
          </cell>
          <cell r="E165" t="str">
            <v>30/05/2026</v>
          </cell>
        </row>
        <row r="166">
          <cell r="D166">
            <v>598.57000000000005</v>
          </cell>
          <cell r="E166" t="str">
            <v>30/05/2026</v>
          </cell>
        </row>
        <row r="167">
          <cell r="D167">
            <v>2911.3</v>
          </cell>
          <cell r="E167" t="str">
            <v>30/05/2026</v>
          </cell>
        </row>
        <row r="168">
          <cell r="D168">
            <v>695.25</v>
          </cell>
          <cell r="E168" t="str">
            <v>30/05/2026</v>
          </cell>
        </row>
        <row r="169">
          <cell r="D169">
            <v>1643.75</v>
          </cell>
          <cell r="E169" t="str">
            <v>31/05/2026</v>
          </cell>
        </row>
        <row r="170">
          <cell r="D170">
            <v>3729</v>
          </cell>
          <cell r="E170" t="str">
            <v>31/05/2026</v>
          </cell>
        </row>
        <row r="171">
          <cell r="D171">
            <v>791.85</v>
          </cell>
          <cell r="E171" t="str">
            <v>31/05/2026</v>
          </cell>
        </row>
        <row r="172">
          <cell r="D172">
            <v>316</v>
          </cell>
          <cell r="E172" t="str">
            <v>01/06/2026</v>
          </cell>
        </row>
        <row r="173">
          <cell r="D173">
            <v>2428.6</v>
          </cell>
          <cell r="E173" t="str">
            <v>02/06/2026</v>
          </cell>
        </row>
        <row r="174">
          <cell r="D174">
            <v>1165.5</v>
          </cell>
          <cell r="E174" t="str">
            <v>02/06/2026</v>
          </cell>
        </row>
        <row r="175">
          <cell r="D175">
            <v>338</v>
          </cell>
          <cell r="E175" t="str">
            <v>02/06/2026</v>
          </cell>
        </row>
        <row r="176">
          <cell r="D176">
            <v>624.6</v>
          </cell>
          <cell r="E176" t="str">
            <v>02/06/2026</v>
          </cell>
        </row>
        <row r="177">
          <cell r="D177">
            <v>1319</v>
          </cell>
          <cell r="E177" t="str">
            <v>03/06/2026</v>
          </cell>
        </row>
        <row r="178">
          <cell r="D178">
            <v>705</v>
          </cell>
          <cell r="E178" t="str">
            <v>03/06/2026</v>
          </cell>
        </row>
        <row r="179">
          <cell r="D179">
            <v>818.2</v>
          </cell>
          <cell r="E179" t="str">
            <v>03/06/2026</v>
          </cell>
        </row>
        <row r="180">
          <cell r="D180">
            <v>301.27</v>
          </cell>
          <cell r="E180" t="str">
            <v>03/06/2026</v>
          </cell>
        </row>
        <row r="181">
          <cell r="D181">
            <v>943.77</v>
          </cell>
          <cell r="E181" t="str">
            <v>04/06/2026</v>
          </cell>
        </row>
        <row r="182">
          <cell r="D182">
            <v>700</v>
          </cell>
          <cell r="E182" t="str">
            <v>04/06/2026</v>
          </cell>
        </row>
        <row r="183">
          <cell r="D183">
            <v>326</v>
          </cell>
          <cell r="E183" t="str">
            <v>04/06/2026</v>
          </cell>
        </row>
        <row r="184">
          <cell r="D184">
            <v>844.92</v>
          </cell>
          <cell r="E184" t="str">
            <v>05/06/2026</v>
          </cell>
        </row>
        <row r="185">
          <cell r="D185">
            <v>416.33</v>
          </cell>
          <cell r="E185" t="str">
            <v>05/06/2026</v>
          </cell>
        </row>
        <row r="186">
          <cell r="D186">
            <v>3883.54</v>
          </cell>
          <cell r="E186" t="str">
            <v>05/06/2026</v>
          </cell>
        </row>
        <row r="187">
          <cell r="D187">
            <v>689</v>
          </cell>
          <cell r="E187" t="str">
            <v>05/06/2026</v>
          </cell>
        </row>
        <row r="188">
          <cell r="D188">
            <v>375</v>
          </cell>
          <cell r="E188" t="str">
            <v>05/06/2026</v>
          </cell>
        </row>
        <row r="189">
          <cell r="D189">
            <v>1318</v>
          </cell>
          <cell r="E189" t="str">
            <v>05/06/2026</v>
          </cell>
        </row>
        <row r="190">
          <cell r="D190">
            <v>1013</v>
          </cell>
          <cell r="E190" t="str">
            <v>05/06/2026</v>
          </cell>
        </row>
        <row r="191">
          <cell r="D191">
            <v>583.85</v>
          </cell>
          <cell r="E191" t="str">
            <v>05/06/2026</v>
          </cell>
        </row>
        <row r="192">
          <cell r="D192">
            <v>908</v>
          </cell>
          <cell r="E192" t="str">
            <v>05/06/2026</v>
          </cell>
        </row>
        <row r="193">
          <cell r="D193">
            <v>540.70000000000005</v>
          </cell>
          <cell r="E193" t="str">
            <v>05/06/2026</v>
          </cell>
        </row>
        <row r="194">
          <cell r="D194">
            <v>546.41999999999996</v>
          </cell>
          <cell r="E194" t="str">
            <v>06/06/2026</v>
          </cell>
        </row>
        <row r="195">
          <cell r="D195">
            <v>500</v>
          </cell>
          <cell r="E195" t="str">
            <v>06/06/2026</v>
          </cell>
        </row>
        <row r="196">
          <cell r="D196">
            <v>2398.84</v>
          </cell>
          <cell r="E196" t="str">
            <v>06/06/2026</v>
          </cell>
        </row>
        <row r="197">
          <cell r="D197">
            <v>1171.78</v>
          </cell>
          <cell r="E197" t="str">
            <v>07/06/2026</v>
          </cell>
        </row>
        <row r="198">
          <cell r="D198">
            <v>1586</v>
          </cell>
          <cell r="E198" t="str">
            <v>07/06/2026</v>
          </cell>
        </row>
        <row r="199">
          <cell r="D199">
            <v>3909.79</v>
          </cell>
          <cell r="E199" t="str">
            <v>07/06/2026</v>
          </cell>
        </row>
        <row r="200">
          <cell r="D200">
            <v>803.5</v>
          </cell>
          <cell r="E200" t="str">
            <v>08/06/2026</v>
          </cell>
        </row>
        <row r="201">
          <cell r="D201">
            <v>173.75</v>
          </cell>
          <cell r="E201" t="str">
            <v>08/06/2026</v>
          </cell>
        </row>
        <row r="202">
          <cell r="D202">
            <v>682.38</v>
          </cell>
          <cell r="E202" t="str">
            <v>08/06/2026</v>
          </cell>
        </row>
        <row r="203">
          <cell r="D203">
            <v>428.5</v>
          </cell>
          <cell r="E203" t="str">
            <v>08/06/2026</v>
          </cell>
        </row>
        <row r="204">
          <cell r="D204">
            <v>306</v>
          </cell>
          <cell r="E204" t="str">
            <v>08/06/2026</v>
          </cell>
        </row>
        <row r="205">
          <cell r="D205">
            <v>1163.75</v>
          </cell>
          <cell r="E205" t="str">
            <v>09/06/2026</v>
          </cell>
        </row>
        <row r="206">
          <cell r="D206">
            <v>261</v>
          </cell>
          <cell r="E206" t="str">
            <v>09/06/2026</v>
          </cell>
        </row>
        <row r="207">
          <cell r="D207">
            <v>478</v>
          </cell>
          <cell r="E207" t="str">
            <v>09/06/2026</v>
          </cell>
        </row>
        <row r="208">
          <cell r="D208">
            <v>1279</v>
          </cell>
          <cell r="E208" t="str">
            <v>09/06/2026</v>
          </cell>
        </row>
        <row r="209">
          <cell r="D209">
            <v>610</v>
          </cell>
          <cell r="E209" t="str">
            <v>09/06/2026</v>
          </cell>
        </row>
        <row r="210">
          <cell r="D210">
            <v>166</v>
          </cell>
          <cell r="E210" t="str">
            <v>09/06/2026</v>
          </cell>
        </row>
        <row r="211">
          <cell r="D211">
            <v>928.14</v>
          </cell>
          <cell r="E211" t="str">
            <v>09/06/2026</v>
          </cell>
        </row>
        <row r="212">
          <cell r="D212">
            <v>4732.7700000000004</v>
          </cell>
          <cell r="E212" t="str">
            <v>10/06/2026</v>
          </cell>
        </row>
        <row r="213">
          <cell r="D213">
            <v>2548.6999999999998</v>
          </cell>
          <cell r="E213" t="str">
            <v>10/06/2026</v>
          </cell>
        </row>
        <row r="214">
          <cell r="D214">
            <v>979.5</v>
          </cell>
          <cell r="E214" t="str">
            <v>10/06/2026</v>
          </cell>
        </row>
        <row r="215">
          <cell r="D215">
            <v>1197.8399999999999</v>
          </cell>
          <cell r="E215" t="str">
            <v>11/06/2026</v>
          </cell>
        </row>
        <row r="216">
          <cell r="D216">
            <v>943.77</v>
          </cell>
          <cell r="E216" t="str">
            <v>11/06/2026</v>
          </cell>
        </row>
        <row r="217">
          <cell r="D217">
            <v>638.62</v>
          </cell>
          <cell r="E217" t="str">
            <v>11/06/2026</v>
          </cell>
        </row>
        <row r="218">
          <cell r="D218">
            <v>1553</v>
          </cell>
          <cell r="E218" t="str">
            <v>11/06/2026</v>
          </cell>
        </row>
        <row r="219">
          <cell r="D219">
            <v>1800</v>
          </cell>
          <cell r="E219" t="str">
            <v>11/06/2026</v>
          </cell>
        </row>
        <row r="220">
          <cell r="D220">
            <v>3033.06</v>
          </cell>
          <cell r="E220" t="str">
            <v>11/06/2026</v>
          </cell>
        </row>
        <row r="221">
          <cell r="D221">
            <v>3500</v>
          </cell>
          <cell r="E221" t="str">
            <v>12/06/2026</v>
          </cell>
        </row>
        <row r="222">
          <cell r="D222">
            <v>844.92</v>
          </cell>
          <cell r="E222" t="str">
            <v>12/06/2026</v>
          </cell>
        </row>
        <row r="223">
          <cell r="D223">
            <v>384</v>
          </cell>
          <cell r="E223" t="str">
            <v>12/06/2026</v>
          </cell>
        </row>
        <row r="224">
          <cell r="D224">
            <v>570</v>
          </cell>
          <cell r="E224" t="str">
            <v>12/06/2026</v>
          </cell>
        </row>
        <row r="225">
          <cell r="D225">
            <v>728.8</v>
          </cell>
          <cell r="E225" t="str">
            <v>12/06/2026</v>
          </cell>
        </row>
        <row r="226">
          <cell r="D226">
            <v>583.85</v>
          </cell>
          <cell r="E226" t="str">
            <v>12/06/2026</v>
          </cell>
        </row>
        <row r="227">
          <cell r="D227">
            <v>934.87</v>
          </cell>
          <cell r="E227" t="str">
            <v>12/06/2026</v>
          </cell>
        </row>
        <row r="228">
          <cell r="D228">
            <v>771</v>
          </cell>
          <cell r="E228" t="str">
            <v>12/06/2026</v>
          </cell>
        </row>
        <row r="229">
          <cell r="D229">
            <v>750</v>
          </cell>
          <cell r="E229" t="str">
            <v>13/06/2026</v>
          </cell>
        </row>
        <row r="230">
          <cell r="D230">
            <v>5545.98</v>
          </cell>
          <cell r="E230" t="str">
            <v>14/06/2026</v>
          </cell>
        </row>
        <row r="231">
          <cell r="D231">
            <v>598.57000000000005</v>
          </cell>
          <cell r="E231" t="str">
            <v>14/06/2026</v>
          </cell>
        </row>
        <row r="232">
          <cell r="D232">
            <v>695.25</v>
          </cell>
          <cell r="E232" t="str">
            <v>14/06/2026</v>
          </cell>
        </row>
        <row r="233">
          <cell r="D233">
            <v>975.5</v>
          </cell>
          <cell r="E233" t="str">
            <v>14/06/2026</v>
          </cell>
        </row>
        <row r="234">
          <cell r="D234">
            <v>2081.5</v>
          </cell>
          <cell r="E234" t="str">
            <v>14/06/2026</v>
          </cell>
        </row>
        <row r="235">
          <cell r="D235">
            <v>1643.75</v>
          </cell>
          <cell r="E235" t="str">
            <v>15/06/2026</v>
          </cell>
        </row>
        <row r="236">
          <cell r="D236">
            <v>682.37</v>
          </cell>
          <cell r="E236" t="str">
            <v>15/06/2026</v>
          </cell>
        </row>
        <row r="237">
          <cell r="D237">
            <v>417</v>
          </cell>
          <cell r="E237" t="str">
            <v>15/06/2026</v>
          </cell>
        </row>
        <row r="238">
          <cell r="D238">
            <v>928.13</v>
          </cell>
          <cell r="E238" t="str">
            <v>16/06/2026</v>
          </cell>
        </row>
        <row r="239">
          <cell r="D239">
            <v>711.94</v>
          </cell>
          <cell r="E239" t="str">
            <v>17/06/2026</v>
          </cell>
        </row>
        <row r="240">
          <cell r="D240">
            <v>1319</v>
          </cell>
          <cell r="E240" t="str">
            <v>18/06/2026</v>
          </cell>
        </row>
        <row r="241">
          <cell r="D241">
            <v>3033.07</v>
          </cell>
          <cell r="E241" t="str">
            <v>18/06/2026</v>
          </cell>
        </row>
        <row r="242">
          <cell r="D242">
            <v>689</v>
          </cell>
          <cell r="E242" t="str">
            <v>20/06/2026</v>
          </cell>
        </row>
        <row r="243">
          <cell r="D243">
            <v>375</v>
          </cell>
          <cell r="E243" t="str">
            <v>20/06/2026</v>
          </cell>
        </row>
        <row r="244">
          <cell r="D244">
            <v>1318</v>
          </cell>
          <cell r="E244" t="str">
            <v>20/06/2026</v>
          </cell>
        </row>
        <row r="245">
          <cell r="D245">
            <v>2398.83</v>
          </cell>
          <cell r="E245" t="str">
            <v>21/06/2026</v>
          </cell>
        </row>
        <row r="246">
          <cell r="D246">
            <v>682.37</v>
          </cell>
          <cell r="E246" t="str">
            <v>22/06/2026</v>
          </cell>
        </row>
        <row r="247">
          <cell r="D247">
            <v>928.13</v>
          </cell>
          <cell r="E247" t="str">
            <v>23/06/2026</v>
          </cell>
        </row>
        <row r="248">
          <cell r="D248">
            <v>1163.75</v>
          </cell>
          <cell r="E248" t="str">
            <v>24/06/2026</v>
          </cell>
        </row>
        <row r="249">
          <cell r="D249">
            <v>3033.07</v>
          </cell>
          <cell r="E249" t="str">
            <v>25/06/2026</v>
          </cell>
        </row>
        <row r="250">
          <cell r="D250">
            <v>1197.8399999999999</v>
          </cell>
          <cell r="E250" t="str">
            <v>26/06/2026</v>
          </cell>
        </row>
        <row r="251">
          <cell r="D251">
            <v>1553</v>
          </cell>
          <cell r="E251" t="str">
            <v>26/06/2026</v>
          </cell>
        </row>
        <row r="252">
          <cell r="D252">
            <v>1800</v>
          </cell>
          <cell r="E252" t="str">
            <v>26/06/2026</v>
          </cell>
        </row>
        <row r="253">
          <cell r="D253">
            <v>851.8</v>
          </cell>
          <cell r="E253" t="str">
            <v>27/06/2026</v>
          </cell>
        </row>
        <row r="254">
          <cell r="D254">
            <v>384</v>
          </cell>
          <cell r="E254" t="str">
            <v>27/06/2026</v>
          </cell>
        </row>
        <row r="255">
          <cell r="D255">
            <v>728.8</v>
          </cell>
          <cell r="E255" t="str">
            <v>27/06/2026</v>
          </cell>
        </row>
        <row r="256">
          <cell r="D256">
            <v>934.88</v>
          </cell>
          <cell r="E256" t="str">
            <v>27/06/2026</v>
          </cell>
        </row>
        <row r="257">
          <cell r="D257">
            <v>750</v>
          </cell>
          <cell r="E257" t="str">
            <v>28/06/2026</v>
          </cell>
        </row>
        <row r="258">
          <cell r="D258">
            <v>2081.5</v>
          </cell>
          <cell r="E258" t="str">
            <v>29/06/2026</v>
          </cell>
        </row>
        <row r="259">
          <cell r="D259">
            <v>3033.07</v>
          </cell>
          <cell r="E259" t="str">
            <v>02/07/2026</v>
          </cell>
        </row>
        <row r="260">
          <cell r="D260">
            <v>711.94</v>
          </cell>
          <cell r="E260" t="str">
            <v>02/07/2026</v>
          </cell>
        </row>
        <row r="261">
          <cell r="D261">
            <v>3883.53</v>
          </cell>
          <cell r="E261" t="str">
            <v>05/07/2026</v>
          </cell>
        </row>
        <row r="262">
          <cell r="D262">
            <v>1318</v>
          </cell>
          <cell r="E262" t="str">
            <v>05/07/2026</v>
          </cell>
        </row>
        <row r="263">
          <cell r="D263">
            <v>2398.83</v>
          </cell>
          <cell r="E263" t="str">
            <v>06/07/2026</v>
          </cell>
        </row>
        <row r="264">
          <cell r="D264">
            <v>1586</v>
          </cell>
          <cell r="E264" t="str">
            <v>07/07/2026</v>
          </cell>
        </row>
        <row r="265">
          <cell r="D265">
            <v>3909.79</v>
          </cell>
          <cell r="E265" t="str">
            <v>07/07/2026</v>
          </cell>
        </row>
        <row r="266">
          <cell r="D266">
            <v>1553</v>
          </cell>
          <cell r="E266" t="str">
            <v>11/07/2026</v>
          </cell>
        </row>
        <row r="267">
          <cell r="D267">
            <v>3500</v>
          </cell>
          <cell r="E267" t="str">
            <v>12/07/2026</v>
          </cell>
        </row>
        <row r="268">
          <cell r="D268">
            <v>750</v>
          </cell>
          <cell r="E268" t="str">
            <v>13/07/2026</v>
          </cell>
        </row>
        <row r="269">
          <cell r="D269">
            <v>2081.5</v>
          </cell>
          <cell r="E269" t="str">
            <v>14/07/2026</v>
          </cell>
        </row>
        <row r="270">
          <cell r="D270">
            <v>711.94</v>
          </cell>
          <cell r="E270" t="str">
            <v>17/07/2026</v>
          </cell>
        </row>
        <row r="271">
          <cell r="D271">
            <v>3883.53</v>
          </cell>
          <cell r="E271" t="str">
            <v>04/08/2026</v>
          </cell>
        </row>
      </sheetData>
      <sheetData sheetId="2">
        <row r="2">
          <cell r="F2">
            <v>673.78</v>
          </cell>
          <cell r="G2" t="str">
            <v>02/05/2026</v>
          </cell>
        </row>
        <row r="3">
          <cell r="F3">
            <v>787.98</v>
          </cell>
          <cell r="G3" t="str">
            <v>02/05/2026</v>
          </cell>
        </row>
        <row r="4">
          <cell r="F4">
            <v>699.44</v>
          </cell>
          <cell r="G4" t="str">
            <v>04/05/2026</v>
          </cell>
        </row>
        <row r="5">
          <cell r="F5">
            <v>455.15</v>
          </cell>
          <cell r="G5" t="str">
            <v>04/05/2026</v>
          </cell>
        </row>
        <row r="6">
          <cell r="F6">
            <v>3773.29</v>
          </cell>
          <cell r="G6" t="str">
            <v>04/05/2026</v>
          </cell>
        </row>
        <row r="7">
          <cell r="F7">
            <v>386.6</v>
          </cell>
          <cell r="G7" t="str">
            <v>04/05/2026</v>
          </cell>
        </row>
        <row r="8">
          <cell r="F8">
            <v>229.47</v>
          </cell>
          <cell r="G8" t="str">
            <v>04/05/2026</v>
          </cell>
        </row>
        <row r="9">
          <cell r="F9">
            <v>390.08</v>
          </cell>
          <cell r="G9" t="str">
            <v>04/05/2026</v>
          </cell>
        </row>
        <row r="10">
          <cell r="F10">
            <v>200</v>
          </cell>
          <cell r="G10" t="str">
            <v>05/05/2026</v>
          </cell>
        </row>
        <row r="11">
          <cell r="F11">
            <v>1293.25</v>
          </cell>
          <cell r="G11" t="str">
            <v>05/05/2026</v>
          </cell>
        </row>
        <row r="12">
          <cell r="F12">
            <v>461.7</v>
          </cell>
          <cell r="G12" t="str">
            <v>05/05/2026</v>
          </cell>
        </row>
        <row r="13">
          <cell r="F13">
            <v>363</v>
          </cell>
          <cell r="G13" t="str">
            <v>05/05/2026</v>
          </cell>
        </row>
        <row r="14">
          <cell r="F14">
            <v>2946.68</v>
          </cell>
          <cell r="G14" t="str">
            <v>05/05/2026</v>
          </cell>
        </row>
        <row r="15">
          <cell r="F15">
            <v>862.47</v>
          </cell>
          <cell r="G15" t="str">
            <v>05/05/2026</v>
          </cell>
        </row>
        <row r="16">
          <cell r="F16">
            <v>2000</v>
          </cell>
          <cell r="G16" t="str">
            <v>05/05/2026</v>
          </cell>
        </row>
        <row r="17">
          <cell r="F17">
            <v>2405.89</v>
          </cell>
          <cell r="G17" t="str">
            <v>05/05/2026</v>
          </cell>
        </row>
        <row r="18">
          <cell r="F18">
            <v>0</v>
          </cell>
          <cell r="G18" t="str">
            <v>05/05/2026</v>
          </cell>
        </row>
        <row r="19">
          <cell r="F19">
            <v>2418.48</v>
          </cell>
          <cell r="G19" t="str">
            <v>05/05/2026</v>
          </cell>
        </row>
        <row r="20">
          <cell r="F20">
            <v>1991.14</v>
          </cell>
          <cell r="G20" t="str">
            <v>06/05/2026</v>
          </cell>
        </row>
        <row r="21">
          <cell r="F21">
            <v>1305</v>
          </cell>
          <cell r="G21" t="str">
            <v>06/05/2026</v>
          </cell>
        </row>
        <row r="22">
          <cell r="F22">
            <v>191</v>
          </cell>
          <cell r="G22" t="str">
            <v>06/05/2026</v>
          </cell>
        </row>
        <row r="23">
          <cell r="F23">
            <v>512.25</v>
          </cell>
          <cell r="G23" t="str">
            <v>06/05/2026</v>
          </cell>
        </row>
        <row r="24">
          <cell r="F24">
            <v>2638.76</v>
          </cell>
          <cell r="G24" t="str">
            <v>06/05/2026</v>
          </cell>
        </row>
        <row r="25">
          <cell r="F25">
            <v>2934.11</v>
          </cell>
          <cell r="G25" t="str">
            <v>06/05/2026</v>
          </cell>
        </row>
        <row r="26">
          <cell r="F26">
            <v>584.27</v>
          </cell>
          <cell r="G26" t="str">
            <v>06/05/2026</v>
          </cell>
        </row>
        <row r="27">
          <cell r="F27">
            <v>967.5</v>
          </cell>
          <cell r="G27" t="str">
            <v>06/05/2026</v>
          </cell>
        </row>
        <row r="28">
          <cell r="F28">
            <v>1748.32</v>
          </cell>
          <cell r="G28" t="str">
            <v>06/05/2026</v>
          </cell>
        </row>
        <row r="29">
          <cell r="F29">
            <v>548.34</v>
          </cell>
          <cell r="G29" t="str">
            <v>07/05/2026</v>
          </cell>
        </row>
        <row r="30">
          <cell r="F30">
            <v>566.66</v>
          </cell>
          <cell r="G30" t="str">
            <v>07/05/2026</v>
          </cell>
        </row>
        <row r="31">
          <cell r="F31">
            <v>482.07</v>
          </cell>
          <cell r="G31" t="str">
            <v>07/05/2026</v>
          </cell>
        </row>
        <row r="32">
          <cell r="F32">
            <v>683.43</v>
          </cell>
          <cell r="G32" t="str">
            <v>07/05/2026</v>
          </cell>
        </row>
        <row r="33">
          <cell r="F33">
            <v>833.02</v>
          </cell>
          <cell r="G33" t="str">
            <v>07/05/2026</v>
          </cell>
        </row>
        <row r="34">
          <cell r="F34">
            <v>613.78</v>
          </cell>
          <cell r="G34" t="str">
            <v>07/05/2026</v>
          </cell>
        </row>
        <row r="35">
          <cell r="F35">
            <v>3483.88</v>
          </cell>
          <cell r="G35" t="str">
            <v>07/05/2026</v>
          </cell>
        </row>
        <row r="36">
          <cell r="F36">
            <v>638.42999999999995</v>
          </cell>
          <cell r="G36" t="str">
            <v>08/05/2026</v>
          </cell>
        </row>
        <row r="37">
          <cell r="F37">
            <v>1225.6500000000001</v>
          </cell>
          <cell r="G37" t="str">
            <v>09/05/2026</v>
          </cell>
        </row>
        <row r="38">
          <cell r="F38">
            <v>858</v>
          </cell>
          <cell r="G38" t="str">
            <v>09/05/2026</v>
          </cell>
        </row>
        <row r="39">
          <cell r="F39">
            <v>521</v>
          </cell>
          <cell r="G39" t="str">
            <v>09/05/2026</v>
          </cell>
        </row>
        <row r="40">
          <cell r="F40">
            <v>204</v>
          </cell>
          <cell r="G40" t="str">
            <v>10/05/2026</v>
          </cell>
        </row>
        <row r="41">
          <cell r="F41">
            <v>1028.05</v>
          </cell>
          <cell r="G41" t="str">
            <v>10/05/2026</v>
          </cell>
        </row>
        <row r="42">
          <cell r="F42">
            <v>467.99</v>
          </cell>
          <cell r="G42" t="str">
            <v>10/05/2026</v>
          </cell>
        </row>
        <row r="43">
          <cell r="F43">
            <v>779.27</v>
          </cell>
          <cell r="G43" t="str">
            <v>10/05/2026</v>
          </cell>
        </row>
        <row r="44">
          <cell r="F44">
            <v>640.5</v>
          </cell>
          <cell r="G44" t="str">
            <v>10/05/2026</v>
          </cell>
        </row>
        <row r="45">
          <cell r="F45">
            <v>556.91</v>
          </cell>
          <cell r="G45" t="str">
            <v>10/05/2026</v>
          </cell>
        </row>
        <row r="46">
          <cell r="F46">
            <v>220</v>
          </cell>
          <cell r="G46" t="str">
            <v>10/05/2026</v>
          </cell>
        </row>
        <row r="47">
          <cell r="F47">
            <v>2620.16</v>
          </cell>
          <cell r="G47" t="str">
            <v>10/05/2026</v>
          </cell>
        </row>
        <row r="48">
          <cell r="F48">
            <v>210</v>
          </cell>
          <cell r="G48" t="str">
            <v>10/05/2026</v>
          </cell>
        </row>
        <row r="49">
          <cell r="F49">
            <v>1324</v>
          </cell>
          <cell r="G49" t="str">
            <v>11/05/2026</v>
          </cell>
        </row>
        <row r="50">
          <cell r="F50">
            <v>624.5</v>
          </cell>
          <cell r="G50" t="str">
            <v>11/05/2026</v>
          </cell>
        </row>
        <row r="51">
          <cell r="F51">
            <v>1404.5</v>
          </cell>
          <cell r="G51" t="str">
            <v>11/05/2026</v>
          </cell>
        </row>
        <row r="52">
          <cell r="F52">
            <v>497.04</v>
          </cell>
          <cell r="G52" t="str">
            <v>11/05/2026</v>
          </cell>
        </row>
        <row r="53">
          <cell r="F53">
            <v>1462.5</v>
          </cell>
          <cell r="G53" t="str">
            <v>11/05/2026</v>
          </cell>
        </row>
        <row r="54">
          <cell r="F54">
            <v>920.5</v>
          </cell>
          <cell r="G54" t="str">
            <v>11/05/2026</v>
          </cell>
        </row>
        <row r="55">
          <cell r="F55">
            <v>229.47</v>
          </cell>
          <cell r="G55" t="str">
            <v>11/05/2026</v>
          </cell>
        </row>
        <row r="56">
          <cell r="F56">
            <v>1708.05</v>
          </cell>
          <cell r="G56" t="str">
            <v>11/05/2026</v>
          </cell>
        </row>
        <row r="57">
          <cell r="F57">
            <v>904.43</v>
          </cell>
          <cell r="G57" t="str">
            <v>11/05/2026</v>
          </cell>
        </row>
        <row r="58">
          <cell r="F58">
            <v>111</v>
          </cell>
          <cell r="G58" t="str">
            <v>12/05/2026</v>
          </cell>
        </row>
        <row r="59">
          <cell r="F59">
            <v>664.56</v>
          </cell>
          <cell r="G59" t="str">
            <v>12/05/2026</v>
          </cell>
        </row>
        <row r="60">
          <cell r="F60">
            <v>577.41</v>
          </cell>
          <cell r="G60" t="str">
            <v>12/05/2026</v>
          </cell>
        </row>
        <row r="61">
          <cell r="F61">
            <v>309.75</v>
          </cell>
          <cell r="G61" t="str">
            <v>12/05/2026</v>
          </cell>
        </row>
        <row r="62">
          <cell r="F62">
            <v>528.61</v>
          </cell>
          <cell r="G62" t="str">
            <v>12/05/2026</v>
          </cell>
        </row>
        <row r="63">
          <cell r="F63">
            <v>358.4</v>
          </cell>
          <cell r="G63" t="str">
            <v>12/05/2026</v>
          </cell>
        </row>
        <row r="64">
          <cell r="F64">
            <v>85.73</v>
          </cell>
          <cell r="G64" t="str">
            <v>12/05/2026</v>
          </cell>
        </row>
        <row r="65">
          <cell r="F65">
            <v>522</v>
          </cell>
          <cell r="G65" t="str">
            <v>13/05/2026</v>
          </cell>
        </row>
        <row r="66">
          <cell r="F66">
            <v>49</v>
          </cell>
          <cell r="G66" t="str">
            <v>13/05/2026</v>
          </cell>
        </row>
        <row r="67">
          <cell r="F67">
            <v>708</v>
          </cell>
          <cell r="G67" t="str">
            <v>13/05/2026</v>
          </cell>
        </row>
        <row r="68">
          <cell r="F68">
            <v>476.75</v>
          </cell>
          <cell r="G68" t="str">
            <v>13/05/2026</v>
          </cell>
        </row>
        <row r="69">
          <cell r="F69">
            <v>212</v>
          </cell>
          <cell r="G69" t="str">
            <v>13/05/2026</v>
          </cell>
        </row>
        <row r="70">
          <cell r="F70">
            <v>522</v>
          </cell>
          <cell r="G70" t="str">
            <v>13/05/2026</v>
          </cell>
        </row>
        <row r="71">
          <cell r="F71">
            <v>164.17</v>
          </cell>
          <cell r="G71" t="str">
            <v>13/05/2026</v>
          </cell>
        </row>
        <row r="72">
          <cell r="F72">
            <v>632.73</v>
          </cell>
          <cell r="G72" t="str">
            <v>13/05/2026</v>
          </cell>
        </row>
        <row r="73">
          <cell r="F73">
            <v>104</v>
          </cell>
          <cell r="G73" t="str">
            <v>13/05/2026</v>
          </cell>
        </row>
        <row r="74">
          <cell r="F74">
            <v>800</v>
          </cell>
          <cell r="G74" t="str">
            <v>13/05/2026</v>
          </cell>
        </row>
        <row r="75">
          <cell r="F75">
            <v>1371.08</v>
          </cell>
          <cell r="G75" t="str">
            <v>13/05/2026</v>
          </cell>
        </row>
        <row r="76">
          <cell r="F76">
            <v>725.8</v>
          </cell>
          <cell r="G76" t="str">
            <v>13/05/2026</v>
          </cell>
        </row>
        <row r="77">
          <cell r="F77">
            <v>205</v>
          </cell>
          <cell r="G77" t="str">
            <v>13/05/2026</v>
          </cell>
        </row>
        <row r="78">
          <cell r="F78">
            <v>177</v>
          </cell>
          <cell r="G78" t="str">
            <v>14/05/2026</v>
          </cell>
        </row>
        <row r="79">
          <cell r="F79">
            <v>551.11</v>
          </cell>
          <cell r="G79" t="str">
            <v>14/05/2026</v>
          </cell>
        </row>
        <row r="80">
          <cell r="F80">
            <v>275</v>
          </cell>
          <cell r="G80" t="str">
            <v>14/05/2026</v>
          </cell>
        </row>
        <row r="81">
          <cell r="F81">
            <v>931.73</v>
          </cell>
          <cell r="G81" t="str">
            <v>14/05/2026</v>
          </cell>
        </row>
        <row r="82">
          <cell r="F82">
            <v>341.18</v>
          </cell>
          <cell r="G82" t="str">
            <v>14/05/2026</v>
          </cell>
        </row>
        <row r="83">
          <cell r="F83">
            <v>6441.56</v>
          </cell>
          <cell r="G83" t="str">
            <v>14/05/2026</v>
          </cell>
        </row>
        <row r="84">
          <cell r="F84">
            <v>342</v>
          </cell>
          <cell r="G84" t="str">
            <v>15/05/2026</v>
          </cell>
        </row>
        <row r="85">
          <cell r="F85">
            <v>455.85</v>
          </cell>
          <cell r="G85" t="str">
            <v>15/05/2026</v>
          </cell>
        </row>
        <row r="86">
          <cell r="F86">
            <v>1889.48</v>
          </cell>
          <cell r="G86" t="str">
            <v>15/05/2026</v>
          </cell>
        </row>
        <row r="87">
          <cell r="F87">
            <v>520</v>
          </cell>
          <cell r="G87" t="str">
            <v>15/05/2026</v>
          </cell>
        </row>
        <row r="88">
          <cell r="F88">
            <v>612</v>
          </cell>
          <cell r="G88" t="str">
            <v>15/05/2026</v>
          </cell>
        </row>
        <row r="89">
          <cell r="F89">
            <v>448.94</v>
          </cell>
          <cell r="G89" t="str">
            <v>18/05/2026</v>
          </cell>
        </row>
        <row r="90">
          <cell r="F90">
            <v>229.47</v>
          </cell>
          <cell r="G90" t="str">
            <v>18/05/2026</v>
          </cell>
        </row>
        <row r="91">
          <cell r="F91">
            <v>3773.27</v>
          </cell>
          <cell r="G91" t="str">
            <v>19/05/2026</v>
          </cell>
        </row>
        <row r="92">
          <cell r="F92">
            <v>476.75</v>
          </cell>
          <cell r="G92" t="str">
            <v>20/05/2026</v>
          </cell>
        </row>
        <row r="93">
          <cell r="F93">
            <v>650</v>
          </cell>
          <cell r="G93" t="str">
            <v>20/05/2026</v>
          </cell>
        </row>
        <row r="94">
          <cell r="F94">
            <v>2934.11</v>
          </cell>
          <cell r="G94" t="str">
            <v>20/05/2026</v>
          </cell>
        </row>
        <row r="95">
          <cell r="F95">
            <v>806.8</v>
          </cell>
          <cell r="G95" t="str">
            <v>20/05/2026</v>
          </cell>
        </row>
        <row r="96">
          <cell r="F96">
            <v>18000</v>
          </cell>
          <cell r="G96" t="str">
            <v>20/05/2026</v>
          </cell>
        </row>
        <row r="97">
          <cell r="F97">
            <v>1100</v>
          </cell>
          <cell r="G97" t="str">
            <v>20/05/2026</v>
          </cell>
        </row>
        <row r="98">
          <cell r="F98">
            <v>496.24</v>
          </cell>
          <cell r="G98" t="str">
            <v>20/05/2026</v>
          </cell>
        </row>
        <row r="99">
          <cell r="F99">
            <v>473.43</v>
          </cell>
          <cell r="G99" t="str">
            <v>20/05/2026</v>
          </cell>
        </row>
        <row r="100">
          <cell r="F100">
            <v>784.07</v>
          </cell>
          <cell r="G100" t="str">
            <v>21/05/2026</v>
          </cell>
        </row>
        <row r="101">
          <cell r="F101">
            <v>757.9</v>
          </cell>
          <cell r="G101" t="str">
            <v>21/05/2026</v>
          </cell>
        </row>
        <row r="102">
          <cell r="F102">
            <v>500</v>
          </cell>
          <cell r="G102" t="str">
            <v>21/05/2026</v>
          </cell>
        </row>
        <row r="103">
          <cell r="F103">
            <v>2689.46</v>
          </cell>
          <cell r="G103" t="str">
            <v>21/05/2026</v>
          </cell>
        </row>
        <row r="104">
          <cell r="F104">
            <v>549</v>
          </cell>
          <cell r="G104" t="str">
            <v>21/05/2026</v>
          </cell>
        </row>
        <row r="105">
          <cell r="F105">
            <v>371.46</v>
          </cell>
          <cell r="G105" t="str">
            <v>22/05/2026</v>
          </cell>
        </row>
        <row r="106">
          <cell r="F106">
            <v>547.75</v>
          </cell>
          <cell r="G106" t="str">
            <v>22/05/2026</v>
          </cell>
        </row>
        <row r="107">
          <cell r="F107">
            <v>374.4</v>
          </cell>
          <cell r="G107" t="str">
            <v>22/05/2026</v>
          </cell>
        </row>
        <row r="108">
          <cell r="F108">
            <v>683.43</v>
          </cell>
          <cell r="G108" t="str">
            <v>22/05/2026</v>
          </cell>
        </row>
        <row r="109">
          <cell r="F109">
            <v>3044.94</v>
          </cell>
          <cell r="G109" t="str">
            <v>22/05/2026</v>
          </cell>
        </row>
        <row r="110">
          <cell r="F110">
            <v>396.92</v>
          </cell>
          <cell r="G110" t="str">
            <v>22/05/2026</v>
          </cell>
        </row>
        <row r="111">
          <cell r="F111">
            <v>216</v>
          </cell>
          <cell r="G111" t="str">
            <v>22/05/2026</v>
          </cell>
        </row>
        <row r="112">
          <cell r="F112">
            <v>613.78</v>
          </cell>
          <cell r="G112" t="str">
            <v>22/05/2026</v>
          </cell>
        </row>
        <row r="113">
          <cell r="F113">
            <v>479.6</v>
          </cell>
          <cell r="G113" t="str">
            <v>22/05/2026</v>
          </cell>
        </row>
        <row r="114">
          <cell r="F114">
            <v>450</v>
          </cell>
          <cell r="G114" t="str">
            <v>22/05/2026</v>
          </cell>
        </row>
        <row r="115">
          <cell r="F115">
            <v>208</v>
          </cell>
          <cell r="G115" t="str">
            <v>22/05/2026</v>
          </cell>
        </row>
        <row r="116">
          <cell r="F116">
            <v>487.44</v>
          </cell>
          <cell r="G116" t="str">
            <v>23/05/2026</v>
          </cell>
        </row>
        <row r="117">
          <cell r="F117">
            <v>2500</v>
          </cell>
          <cell r="G117" t="str">
            <v>23/05/2026</v>
          </cell>
        </row>
        <row r="118">
          <cell r="F118">
            <v>400</v>
          </cell>
          <cell r="G118" t="str">
            <v>24/05/2026</v>
          </cell>
        </row>
        <row r="119">
          <cell r="F119">
            <v>1226.01</v>
          </cell>
          <cell r="G119" t="str">
            <v>24/05/2026</v>
          </cell>
        </row>
        <row r="120">
          <cell r="F120">
            <v>858</v>
          </cell>
          <cell r="G120" t="str">
            <v>24/05/2026</v>
          </cell>
        </row>
        <row r="121">
          <cell r="F121">
            <v>618.20000000000005</v>
          </cell>
          <cell r="G121" t="str">
            <v>24/05/2026</v>
          </cell>
        </row>
        <row r="122">
          <cell r="F122">
            <v>1324</v>
          </cell>
          <cell r="G122" t="str">
            <v>25/05/2026</v>
          </cell>
        </row>
        <row r="123">
          <cell r="F123">
            <v>290</v>
          </cell>
          <cell r="G123" t="str">
            <v>25/05/2026</v>
          </cell>
        </row>
        <row r="124">
          <cell r="F124">
            <v>1028.3699999999999</v>
          </cell>
          <cell r="G124" t="str">
            <v>25/05/2026</v>
          </cell>
        </row>
        <row r="125">
          <cell r="F125">
            <v>467.99</v>
          </cell>
          <cell r="G125" t="str">
            <v>25/05/2026</v>
          </cell>
        </row>
        <row r="126">
          <cell r="F126">
            <v>671.95</v>
          </cell>
          <cell r="G126" t="str">
            <v>25/05/2026</v>
          </cell>
        </row>
        <row r="127">
          <cell r="F127">
            <v>342</v>
          </cell>
          <cell r="G127" t="str">
            <v>25/05/2026</v>
          </cell>
        </row>
        <row r="128">
          <cell r="F128">
            <v>920.5</v>
          </cell>
          <cell r="G128" t="str">
            <v>25/05/2026</v>
          </cell>
        </row>
        <row r="129">
          <cell r="F129">
            <v>1087.3699999999999</v>
          </cell>
          <cell r="G129" t="str">
            <v>25/05/2026</v>
          </cell>
        </row>
        <row r="130">
          <cell r="F130">
            <v>779.26</v>
          </cell>
          <cell r="G130" t="str">
            <v>25/05/2026</v>
          </cell>
        </row>
        <row r="131">
          <cell r="F131">
            <v>450</v>
          </cell>
          <cell r="G131" t="str">
            <v>25/05/2026</v>
          </cell>
        </row>
        <row r="132">
          <cell r="F132">
            <v>250</v>
          </cell>
          <cell r="G132" t="str">
            <v>26/05/2026</v>
          </cell>
        </row>
        <row r="133">
          <cell r="F133">
            <v>342.41</v>
          </cell>
          <cell r="G133" t="str">
            <v>26/05/2026</v>
          </cell>
        </row>
        <row r="134">
          <cell r="F134">
            <v>899</v>
          </cell>
          <cell r="G134" t="str">
            <v>26/05/2026</v>
          </cell>
        </row>
        <row r="135">
          <cell r="F135">
            <v>904.44</v>
          </cell>
          <cell r="G135" t="str">
            <v>26/05/2026</v>
          </cell>
        </row>
        <row r="136">
          <cell r="F136">
            <v>1300.05</v>
          </cell>
          <cell r="G136" t="str">
            <v>27/05/2026</v>
          </cell>
        </row>
        <row r="137">
          <cell r="F137">
            <v>243.8</v>
          </cell>
          <cell r="G137" t="str">
            <v>27/05/2026</v>
          </cell>
        </row>
        <row r="138">
          <cell r="F138">
            <v>1999.4</v>
          </cell>
          <cell r="G138" t="str">
            <v>27/05/2026</v>
          </cell>
        </row>
        <row r="139">
          <cell r="F139">
            <v>499.7</v>
          </cell>
          <cell r="G139" t="str">
            <v>27/05/2026</v>
          </cell>
        </row>
        <row r="140">
          <cell r="F140">
            <v>307</v>
          </cell>
          <cell r="G140" t="str">
            <v>27/05/2026</v>
          </cell>
        </row>
        <row r="141">
          <cell r="F141">
            <v>288</v>
          </cell>
          <cell r="G141" t="str">
            <v>27/05/2026</v>
          </cell>
        </row>
        <row r="142">
          <cell r="F142">
            <v>4200</v>
          </cell>
          <cell r="G142" t="str">
            <v>27/05/2026</v>
          </cell>
        </row>
        <row r="143">
          <cell r="F143">
            <v>641.46</v>
          </cell>
          <cell r="G143" t="str">
            <v>28/05/2026</v>
          </cell>
        </row>
        <row r="144">
          <cell r="F144">
            <v>1191</v>
          </cell>
          <cell r="G144" t="str">
            <v>28/05/2026</v>
          </cell>
        </row>
        <row r="145">
          <cell r="F145">
            <v>258</v>
          </cell>
          <cell r="G145" t="str">
            <v>28/05/2026</v>
          </cell>
        </row>
        <row r="146">
          <cell r="F146">
            <v>566.28</v>
          </cell>
          <cell r="G146" t="str">
            <v>29/05/2026</v>
          </cell>
        </row>
        <row r="147">
          <cell r="F147">
            <v>931.73</v>
          </cell>
          <cell r="G147" t="str">
            <v>29/05/2026</v>
          </cell>
        </row>
        <row r="148">
          <cell r="F148">
            <v>1889.48</v>
          </cell>
          <cell r="G148" t="str">
            <v>30/05/2026</v>
          </cell>
        </row>
        <row r="149">
          <cell r="F149">
            <v>502.77</v>
          </cell>
          <cell r="G149" t="str">
            <v>30/05/2026</v>
          </cell>
        </row>
        <row r="150">
          <cell r="F150">
            <v>1032.5</v>
          </cell>
          <cell r="G150" t="str">
            <v>30/05/2026</v>
          </cell>
        </row>
        <row r="151">
          <cell r="F151">
            <v>339.64</v>
          </cell>
          <cell r="G151" t="str">
            <v>01/06/2026</v>
          </cell>
        </row>
        <row r="152">
          <cell r="F152">
            <v>535.54</v>
          </cell>
          <cell r="G152" t="str">
            <v>02/06/2026</v>
          </cell>
        </row>
        <row r="153">
          <cell r="F153">
            <v>360</v>
          </cell>
          <cell r="G153" t="str">
            <v>02/06/2026</v>
          </cell>
        </row>
        <row r="154">
          <cell r="F154">
            <v>277.8</v>
          </cell>
          <cell r="G154" t="str">
            <v>02/06/2026</v>
          </cell>
        </row>
        <row r="155">
          <cell r="F155">
            <v>364</v>
          </cell>
          <cell r="G155" t="str">
            <v>02/06/2026</v>
          </cell>
        </row>
        <row r="156">
          <cell r="F156">
            <v>320</v>
          </cell>
          <cell r="G156" t="str">
            <v>02/06/2026</v>
          </cell>
        </row>
        <row r="157">
          <cell r="F157">
            <v>236.25</v>
          </cell>
          <cell r="G157" t="str">
            <v>02/06/2026</v>
          </cell>
        </row>
        <row r="158">
          <cell r="F158">
            <v>249.21</v>
          </cell>
          <cell r="G158" t="str">
            <v>03/06/2026</v>
          </cell>
        </row>
        <row r="159">
          <cell r="F159">
            <v>198</v>
          </cell>
          <cell r="G159" t="str">
            <v>03/06/2026</v>
          </cell>
        </row>
        <row r="160">
          <cell r="F160">
            <v>1740.09</v>
          </cell>
          <cell r="G160" t="str">
            <v>04/06/2026</v>
          </cell>
        </row>
        <row r="161">
          <cell r="F161">
            <v>290</v>
          </cell>
          <cell r="G161" t="str">
            <v>04/06/2026</v>
          </cell>
        </row>
        <row r="162">
          <cell r="F162">
            <v>641.46</v>
          </cell>
          <cell r="G162" t="str">
            <v>04/06/2026</v>
          </cell>
        </row>
        <row r="163">
          <cell r="F163">
            <v>2689.46</v>
          </cell>
          <cell r="G163" t="str">
            <v>04/06/2026</v>
          </cell>
        </row>
        <row r="164">
          <cell r="F164">
            <v>660</v>
          </cell>
          <cell r="G164" t="str">
            <v>04/06/2026</v>
          </cell>
        </row>
        <row r="165">
          <cell r="F165">
            <v>360</v>
          </cell>
          <cell r="G165" t="str">
            <v>05/06/2026</v>
          </cell>
        </row>
        <row r="166">
          <cell r="F166">
            <v>631</v>
          </cell>
          <cell r="G166" t="str">
            <v>05/06/2026</v>
          </cell>
        </row>
        <row r="167">
          <cell r="F167">
            <v>493.71</v>
          </cell>
          <cell r="G167" t="str">
            <v>05/06/2026</v>
          </cell>
        </row>
        <row r="168">
          <cell r="F168">
            <v>836</v>
          </cell>
          <cell r="G168" t="str">
            <v>05/06/2026</v>
          </cell>
        </row>
        <row r="169">
          <cell r="F169">
            <v>2500</v>
          </cell>
          <cell r="G169" t="str">
            <v>05/06/2026</v>
          </cell>
        </row>
        <row r="170">
          <cell r="F170">
            <v>1500</v>
          </cell>
          <cell r="G170" t="str">
            <v>05/06/2026</v>
          </cell>
        </row>
        <row r="171">
          <cell r="F171">
            <v>3000</v>
          </cell>
          <cell r="G171" t="str">
            <v>05/06/2026</v>
          </cell>
        </row>
        <row r="172">
          <cell r="F172">
            <v>0</v>
          </cell>
          <cell r="G172" t="str">
            <v>05/06/2026</v>
          </cell>
        </row>
        <row r="173">
          <cell r="F173">
            <v>2500</v>
          </cell>
          <cell r="G173" t="str">
            <v>05/06/2026</v>
          </cell>
        </row>
        <row r="174">
          <cell r="F174">
            <v>230</v>
          </cell>
          <cell r="G174" t="str">
            <v>05/06/2026</v>
          </cell>
        </row>
        <row r="175">
          <cell r="F175">
            <v>200</v>
          </cell>
          <cell r="G175" t="str">
            <v>05/06/2026</v>
          </cell>
        </row>
        <row r="176">
          <cell r="F176">
            <v>683.63</v>
          </cell>
          <cell r="G176" t="str">
            <v>06/06/2026</v>
          </cell>
        </row>
        <row r="177">
          <cell r="F177">
            <v>3044.94</v>
          </cell>
          <cell r="G177" t="str">
            <v>06/06/2026</v>
          </cell>
        </row>
        <row r="178">
          <cell r="F178">
            <v>442.85</v>
          </cell>
          <cell r="G178" t="str">
            <v>06/06/2026</v>
          </cell>
        </row>
        <row r="179">
          <cell r="F179">
            <v>613.78</v>
          </cell>
          <cell r="G179" t="str">
            <v>06/06/2026</v>
          </cell>
        </row>
        <row r="180">
          <cell r="F180">
            <v>676</v>
          </cell>
          <cell r="G180" t="str">
            <v>06/06/2026</v>
          </cell>
        </row>
        <row r="181">
          <cell r="F181">
            <v>1800</v>
          </cell>
          <cell r="G181" t="str">
            <v>06/06/2026</v>
          </cell>
        </row>
        <row r="182">
          <cell r="F182">
            <v>487.44</v>
          </cell>
          <cell r="G182" t="str">
            <v>07/06/2026</v>
          </cell>
        </row>
        <row r="183">
          <cell r="F183">
            <v>557.5</v>
          </cell>
          <cell r="G183" t="str">
            <v>07/06/2026</v>
          </cell>
        </row>
        <row r="184">
          <cell r="F184">
            <v>1324</v>
          </cell>
          <cell r="G184" t="str">
            <v>08/06/2026</v>
          </cell>
        </row>
        <row r="185">
          <cell r="F185">
            <v>657.7</v>
          </cell>
          <cell r="G185" t="str">
            <v>08/06/2026</v>
          </cell>
        </row>
        <row r="186">
          <cell r="F186">
            <v>387.39</v>
          </cell>
          <cell r="G186" t="str">
            <v>08/06/2026</v>
          </cell>
        </row>
        <row r="187">
          <cell r="F187">
            <v>546</v>
          </cell>
          <cell r="G187" t="str">
            <v>08/06/2026</v>
          </cell>
        </row>
        <row r="188">
          <cell r="F188">
            <v>1003</v>
          </cell>
          <cell r="G188" t="str">
            <v>08/06/2026</v>
          </cell>
        </row>
        <row r="189">
          <cell r="F189">
            <v>1143.7</v>
          </cell>
          <cell r="G189" t="str">
            <v>08/06/2026</v>
          </cell>
        </row>
        <row r="190">
          <cell r="F190">
            <v>826.34</v>
          </cell>
          <cell r="G190" t="str">
            <v>09/06/2026</v>
          </cell>
        </row>
        <row r="191">
          <cell r="F191">
            <v>888.01</v>
          </cell>
          <cell r="G191" t="str">
            <v>09/06/2026</v>
          </cell>
        </row>
        <row r="192">
          <cell r="F192">
            <v>468.13</v>
          </cell>
          <cell r="G192" t="str">
            <v>09/06/2026</v>
          </cell>
        </row>
        <row r="193">
          <cell r="F193">
            <v>520</v>
          </cell>
          <cell r="G193" t="str">
            <v>09/06/2026</v>
          </cell>
        </row>
        <row r="194">
          <cell r="F194">
            <v>411.75</v>
          </cell>
          <cell r="G194" t="str">
            <v>09/06/2026</v>
          </cell>
        </row>
        <row r="195">
          <cell r="F195">
            <v>328.6</v>
          </cell>
          <cell r="G195" t="str">
            <v>09/06/2026</v>
          </cell>
        </row>
        <row r="196">
          <cell r="F196">
            <v>1784.82</v>
          </cell>
          <cell r="G196" t="str">
            <v>10/06/2026</v>
          </cell>
        </row>
        <row r="197">
          <cell r="F197">
            <v>797.6</v>
          </cell>
          <cell r="G197" t="str">
            <v>10/06/2026</v>
          </cell>
        </row>
        <row r="198">
          <cell r="F198">
            <v>562.74</v>
          </cell>
          <cell r="G198" t="str">
            <v>10/06/2026</v>
          </cell>
        </row>
        <row r="199">
          <cell r="F199">
            <v>220</v>
          </cell>
          <cell r="G199" t="str">
            <v>10/06/2026</v>
          </cell>
        </row>
        <row r="200">
          <cell r="F200">
            <v>1250</v>
          </cell>
          <cell r="G200" t="str">
            <v>10/06/2026</v>
          </cell>
        </row>
        <row r="201">
          <cell r="F201">
            <v>2620.16</v>
          </cell>
          <cell r="G201" t="str">
            <v>10/06/2026</v>
          </cell>
        </row>
        <row r="202">
          <cell r="F202">
            <v>210</v>
          </cell>
          <cell r="G202" t="str">
            <v>10/06/2026</v>
          </cell>
        </row>
        <row r="203">
          <cell r="F203">
            <v>790.72</v>
          </cell>
          <cell r="G203" t="str">
            <v>11/06/2026</v>
          </cell>
        </row>
        <row r="204">
          <cell r="F204">
            <v>641.46</v>
          </cell>
          <cell r="G204" t="str">
            <v>11/06/2026</v>
          </cell>
        </row>
        <row r="205">
          <cell r="F205">
            <v>548.04999999999995</v>
          </cell>
          <cell r="G205" t="str">
            <v>11/06/2026</v>
          </cell>
        </row>
        <row r="206">
          <cell r="F206">
            <v>1003.74</v>
          </cell>
          <cell r="G206" t="str">
            <v>11/06/2026</v>
          </cell>
        </row>
        <row r="207">
          <cell r="F207">
            <v>567</v>
          </cell>
          <cell r="G207" t="str">
            <v>11/06/2026</v>
          </cell>
        </row>
        <row r="208">
          <cell r="F208">
            <v>436</v>
          </cell>
          <cell r="G208" t="str">
            <v>12/06/2026</v>
          </cell>
        </row>
        <row r="209">
          <cell r="F209">
            <v>631</v>
          </cell>
          <cell r="G209" t="str">
            <v>12/06/2026</v>
          </cell>
        </row>
        <row r="210">
          <cell r="F210">
            <v>633.98</v>
          </cell>
          <cell r="G210" t="str">
            <v>12/06/2026</v>
          </cell>
        </row>
        <row r="211">
          <cell r="F211">
            <v>666.07</v>
          </cell>
          <cell r="G211" t="str">
            <v>12/06/2026</v>
          </cell>
        </row>
        <row r="212">
          <cell r="F212">
            <v>931.74</v>
          </cell>
          <cell r="G212" t="str">
            <v>13/06/2026</v>
          </cell>
        </row>
        <row r="213">
          <cell r="F213">
            <v>1333</v>
          </cell>
          <cell r="G213" t="str">
            <v>13/06/2026</v>
          </cell>
        </row>
        <row r="214">
          <cell r="F214">
            <v>626</v>
          </cell>
          <cell r="G214" t="str">
            <v>13/06/2026</v>
          </cell>
        </row>
        <row r="215">
          <cell r="F215">
            <v>1890.06</v>
          </cell>
          <cell r="G215" t="str">
            <v>14/06/2026</v>
          </cell>
        </row>
        <row r="216">
          <cell r="F216">
            <v>502.77</v>
          </cell>
          <cell r="G216" t="str">
            <v>14/06/2026</v>
          </cell>
        </row>
        <row r="217">
          <cell r="F217">
            <v>439.59</v>
          </cell>
          <cell r="G217" t="str">
            <v>14/06/2026</v>
          </cell>
        </row>
        <row r="218">
          <cell r="F218">
            <v>452</v>
          </cell>
          <cell r="G218" t="str">
            <v>14/06/2026</v>
          </cell>
        </row>
        <row r="219">
          <cell r="F219">
            <v>5800</v>
          </cell>
          <cell r="G219" t="str">
            <v>14/06/2026</v>
          </cell>
        </row>
        <row r="220">
          <cell r="F220">
            <v>546</v>
          </cell>
          <cell r="G220" t="str">
            <v>15/06/2026</v>
          </cell>
        </row>
        <row r="221">
          <cell r="F221">
            <v>545.99</v>
          </cell>
          <cell r="G221" t="str">
            <v>15/06/2026</v>
          </cell>
        </row>
        <row r="222">
          <cell r="F222">
            <v>320</v>
          </cell>
          <cell r="G222" t="str">
            <v>15/06/2026</v>
          </cell>
        </row>
        <row r="223">
          <cell r="F223">
            <v>612</v>
          </cell>
          <cell r="G223" t="str">
            <v>15/06/2026</v>
          </cell>
        </row>
        <row r="224">
          <cell r="F224">
            <v>826.34</v>
          </cell>
          <cell r="G224" t="str">
            <v>16/06/2026</v>
          </cell>
        </row>
        <row r="225">
          <cell r="F225">
            <v>360</v>
          </cell>
          <cell r="G225" t="str">
            <v>16/06/2026</v>
          </cell>
        </row>
        <row r="226">
          <cell r="F226">
            <v>498</v>
          </cell>
          <cell r="G226" t="str">
            <v>17/06/2026</v>
          </cell>
        </row>
        <row r="227">
          <cell r="F227">
            <v>706</v>
          </cell>
          <cell r="G227" t="str">
            <v>18/06/2026</v>
          </cell>
        </row>
        <row r="228">
          <cell r="F228">
            <v>631.01</v>
          </cell>
          <cell r="G228" t="str">
            <v>19/06/2026</v>
          </cell>
        </row>
        <row r="229">
          <cell r="F229">
            <v>650</v>
          </cell>
          <cell r="G229" t="str">
            <v>20/06/2026</v>
          </cell>
        </row>
        <row r="230">
          <cell r="F230">
            <v>493.71</v>
          </cell>
          <cell r="G230" t="str">
            <v>20/06/2026</v>
          </cell>
        </row>
        <row r="231">
          <cell r="F231">
            <v>806.8</v>
          </cell>
          <cell r="G231" t="str">
            <v>20/06/2026</v>
          </cell>
        </row>
        <row r="232">
          <cell r="F232">
            <v>18000</v>
          </cell>
          <cell r="G232" t="str">
            <v>20/06/2026</v>
          </cell>
        </row>
        <row r="233">
          <cell r="F233">
            <v>1100</v>
          </cell>
          <cell r="G233" t="str">
            <v>20/06/2026</v>
          </cell>
        </row>
        <row r="234">
          <cell r="F234">
            <v>496.24</v>
          </cell>
          <cell r="G234" t="str">
            <v>20/06/2026</v>
          </cell>
        </row>
        <row r="235">
          <cell r="F235">
            <v>473.43</v>
          </cell>
          <cell r="G235" t="str">
            <v>20/06/2026</v>
          </cell>
        </row>
        <row r="236">
          <cell r="F236">
            <v>3044.94</v>
          </cell>
          <cell r="G236" t="str">
            <v>21/06/2026</v>
          </cell>
        </row>
        <row r="237">
          <cell r="F237">
            <v>613.79999999999995</v>
          </cell>
          <cell r="G237" t="str">
            <v>21/06/2026</v>
          </cell>
        </row>
        <row r="238">
          <cell r="F238">
            <v>1003</v>
          </cell>
          <cell r="G238" t="str">
            <v>22/06/2026</v>
          </cell>
        </row>
        <row r="239">
          <cell r="F239">
            <v>487.59</v>
          </cell>
          <cell r="G239" t="str">
            <v>22/06/2026</v>
          </cell>
        </row>
        <row r="240">
          <cell r="F240">
            <v>557.5</v>
          </cell>
          <cell r="G240" t="str">
            <v>22/06/2026</v>
          </cell>
        </row>
        <row r="241">
          <cell r="F241">
            <v>411.75</v>
          </cell>
          <cell r="G241" t="str">
            <v>23/06/2026</v>
          </cell>
        </row>
        <row r="242">
          <cell r="F242">
            <v>2500</v>
          </cell>
          <cell r="G242" t="str">
            <v>23/06/2026</v>
          </cell>
        </row>
        <row r="243">
          <cell r="F243">
            <v>450</v>
          </cell>
          <cell r="G243" t="str">
            <v>25/06/2026</v>
          </cell>
        </row>
        <row r="244">
          <cell r="F244">
            <v>548.04999999999995</v>
          </cell>
          <cell r="G244" t="str">
            <v>26/06/2026</v>
          </cell>
        </row>
        <row r="245">
          <cell r="F245">
            <v>666.07</v>
          </cell>
          <cell r="G245" t="str">
            <v>27/06/2026</v>
          </cell>
        </row>
        <row r="246">
          <cell r="F246">
            <v>4200</v>
          </cell>
          <cell r="G246" t="str">
            <v>27/06/2026</v>
          </cell>
        </row>
        <row r="247">
          <cell r="F247">
            <v>600</v>
          </cell>
          <cell r="G247" t="str">
            <v>28/06/2026</v>
          </cell>
        </row>
        <row r="248">
          <cell r="F248">
            <v>400</v>
          </cell>
          <cell r="G248" t="str">
            <v>29/06/2026</v>
          </cell>
        </row>
        <row r="249">
          <cell r="F249">
            <v>2500</v>
          </cell>
          <cell r="G249" t="str">
            <v>05/07/2026</v>
          </cell>
        </row>
        <row r="250">
          <cell r="F250">
            <v>1500</v>
          </cell>
          <cell r="G250" t="str">
            <v>05/07/2026</v>
          </cell>
        </row>
        <row r="251">
          <cell r="F251">
            <v>3000</v>
          </cell>
          <cell r="G251" t="str">
            <v>05/07/2026</v>
          </cell>
        </row>
        <row r="252">
          <cell r="F252">
            <v>0</v>
          </cell>
          <cell r="G252" t="str">
            <v>05/07/2026</v>
          </cell>
        </row>
        <row r="253">
          <cell r="F253">
            <v>2500</v>
          </cell>
          <cell r="G253" t="str">
            <v>05/07/2026</v>
          </cell>
        </row>
        <row r="254">
          <cell r="F254">
            <v>230</v>
          </cell>
          <cell r="G254" t="str">
            <v>05/07/2026</v>
          </cell>
        </row>
        <row r="255">
          <cell r="F255">
            <v>200</v>
          </cell>
          <cell r="G255" t="str">
            <v>05/07/2026</v>
          </cell>
        </row>
        <row r="256">
          <cell r="F256">
            <v>1003</v>
          </cell>
          <cell r="G256" t="str">
            <v>06/07/2026</v>
          </cell>
        </row>
        <row r="257">
          <cell r="F257">
            <v>3044.95</v>
          </cell>
          <cell r="G257" t="str">
            <v>06/07/2026</v>
          </cell>
        </row>
        <row r="258">
          <cell r="F258">
            <v>1800</v>
          </cell>
          <cell r="G258" t="str">
            <v>06/07/2026</v>
          </cell>
        </row>
        <row r="259">
          <cell r="F259">
            <v>220</v>
          </cell>
          <cell r="G259" t="str">
            <v>10/07/2026</v>
          </cell>
        </row>
        <row r="260">
          <cell r="F260">
            <v>1250</v>
          </cell>
          <cell r="G260" t="str">
            <v>10/07/2026</v>
          </cell>
        </row>
        <row r="261">
          <cell r="F261">
            <v>2620.16</v>
          </cell>
          <cell r="G261" t="str">
            <v>10/07/2026</v>
          </cell>
        </row>
        <row r="262">
          <cell r="F262">
            <v>210</v>
          </cell>
          <cell r="G262" t="str">
            <v>10/07/2026</v>
          </cell>
        </row>
        <row r="263">
          <cell r="F263">
            <v>666.06</v>
          </cell>
          <cell r="G263" t="str">
            <v>12/07/2026</v>
          </cell>
        </row>
        <row r="264">
          <cell r="F264">
            <v>5800</v>
          </cell>
          <cell r="G264" t="str">
            <v>14/07/2026</v>
          </cell>
        </row>
        <row r="265">
          <cell r="F265">
            <v>612</v>
          </cell>
          <cell r="G265" t="str">
            <v>15/07/2026</v>
          </cell>
        </row>
        <row r="266">
          <cell r="F266">
            <v>650</v>
          </cell>
          <cell r="G266" t="str">
            <v>20/07/2026</v>
          </cell>
        </row>
        <row r="267">
          <cell r="F267">
            <v>806.8</v>
          </cell>
          <cell r="G267" t="str">
            <v>20/07/2026</v>
          </cell>
        </row>
        <row r="268">
          <cell r="F268">
            <v>18000</v>
          </cell>
          <cell r="G268" t="str">
            <v>20/07/2026</v>
          </cell>
        </row>
        <row r="269">
          <cell r="F269">
            <v>1100</v>
          </cell>
          <cell r="G269" t="str">
            <v>20/07/2026</v>
          </cell>
        </row>
        <row r="270">
          <cell r="F270">
            <v>496.24</v>
          </cell>
          <cell r="G270" t="str">
            <v>20/07/2026</v>
          </cell>
        </row>
        <row r="271">
          <cell r="F271">
            <v>473.43</v>
          </cell>
          <cell r="G271" t="str">
            <v>20/07/2026</v>
          </cell>
        </row>
        <row r="272">
          <cell r="F272">
            <v>2500</v>
          </cell>
          <cell r="G272" t="str">
            <v>23/07/2026</v>
          </cell>
        </row>
        <row r="273">
          <cell r="F273">
            <v>450</v>
          </cell>
          <cell r="G273" t="str">
            <v>25/07/2026</v>
          </cell>
        </row>
        <row r="274">
          <cell r="F274">
            <v>4200</v>
          </cell>
          <cell r="G274" t="str">
            <v>27/07/2026</v>
          </cell>
        </row>
        <row r="275">
          <cell r="F275">
            <v>2500</v>
          </cell>
          <cell r="G275" t="str">
            <v>05/08/2026</v>
          </cell>
        </row>
        <row r="276">
          <cell r="F276">
            <v>1500</v>
          </cell>
          <cell r="G276" t="str">
            <v>05/08/2026</v>
          </cell>
        </row>
        <row r="277">
          <cell r="F277">
            <v>3000</v>
          </cell>
          <cell r="G277" t="str">
            <v>05/08/2026</v>
          </cell>
        </row>
        <row r="278">
          <cell r="F278">
            <v>0</v>
          </cell>
          <cell r="G278" t="str">
            <v>05/08/2026</v>
          </cell>
        </row>
        <row r="279">
          <cell r="F279">
            <v>2500</v>
          </cell>
          <cell r="G279" t="str">
            <v>05/08/2026</v>
          </cell>
        </row>
        <row r="280">
          <cell r="F280">
            <v>230</v>
          </cell>
          <cell r="G280" t="str">
            <v>05/08/2026</v>
          </cell>
        </row>
        <row r="281">
          <cell r="F281">
            <v>200</v>
          </cell>
          <cell r="G281" t="str">
            <v>05/08/2026</v>
          </cell>
        </row>
        <row r="282">
          <cell r="F282">
            <v>1800</v>
          </cell>
          <cell r="G282" t="str">
            <v>06/08/2026</v>
          </cell>
        </row>
        <row r="283">
          <cell r="F283">
            <v>220</v>
          </cell>
          <cell r="G283" t="str">
            <v>10/08/2026</v>
          </cell>
        </row>
        <row r="284">
          <cell r="F284">
            <v>1250</v>
          </cell>
          <cell r="G284" t="str">
            <v>10/08/2026</v>
          </cell>
        </row>
        <row r="285">
          <cell r="F285">
            <v>2620.16</v>
          </cell>
          <cell r="G285" t="str">
            <v>10/08/2026</v>
          </cell>
        </row>
        <row r="286">
          <cell r="F286">
            <v>210</v>
          </cell>
          <cell r="G286" t="str">
            <v>10/08/2026</v>
          </cell>
        </row>
        <row r="287">
          <cell r="F287">
            <v>5800</v>
          </cell>
          <cell r="G287" t="str">
            <v>14/08/2026</v>
          </cell>
        </row>
        <row r="288">
          <cell r="F288">
            <v>612</v>
          </cell>
          <cell r="G288" t="str">
            <v>15/08/2026</v>
          </cell>
        </row>
        <row r="289">
          <cell r="F289">
            <v>650</v>
          </cell>
          <cell r="G289" t="str">
            <v>20/08/2026</v>
          </cell>
        </row>
        <row r="290">
          <cell r="F290">
            <v>806.8</v>
          </cell>
          <cell r="G290" t="str">
            <v>20/08/2026</v>
          </cell>
        </row>
        <row r="291">
          <cell r="F291">
            <v>18000</v>
          </cell>
          <cell r="G291" t="str">
            <v>20/08/2026</v>
          </cell>
        </row>
        <row r="292">
          <cell r="F292">
            <v>1100</v>
          </cell>
          <cell r="G292" t="str">
            <v>20/08/2026</v>
          </cell>
        </row>
        <row r="293">
          <cell r="F293">
            <v>496.24</v>
          </cell>
          <cell r="G293" t="str">
            <v>20/08/2026</v>
          </cell>
        </row>
        <row r="294">
          <cell r="F294">
            <v>473.43</v>
          </cell>
          <cell r="G294" t="str">
            <v>20/08/2026</v>
          </cell>
        </row>
        <row r="295">
          <cell r="F295">
            <v>2500</v>
          </cell>
          <cell r="G295" t="str">
            <v>23/08/2026</v>
          </cell>
        </row>
        <row r="296">
          <cell r="F296">
            <v>450</v>
          </cell>
          <cell r="G296" t="str">
            <v>25/08/2026</v>
          </cell>
        </row>
        <row r="297">
          <cell r="F297">
            <v>4200</v>
          </cell>
          <cell r="G297" t="str">
            <v>27/08/2026</v>
          </cell>
        </row>
        <row r="298">
          <cell r="F298">
            <v>2500</v>
          </cell>
          <cell r="G298" t="str">
            <v>05/09/2026</v>
          </cell>
        </row>
        <row r="299">
          <cell r="F299">
            <v>1500</v>
          </cell>
          <cell r="G299" t="str">
            <v>05/09/2026</v>
          </cell>
        </row>
        <row r="300">
          <cell r="F300">
            <v>3000</v>
          </cell>
          <cell r="G300" t="str">
            <v>05/09/2026</v>
          </cell>
        </row>
        <row r="301">
          <cell r="F301">
            <v>0</v>
          </cell>
          <cell r="G301" t="str">
            <v>05/09/2026</v>
          </cell>
        </row>
        <row r="302">
          <cell r="F302">
            <v>2500</v>
          </cell>
          <cell r="G302" t="str">
            <v>05/09/2026</v>
          </cell>
        </row>
        <row r="303">
          <cell r="F303">
            <v>230</v>
          </cell>
          <cell r="G303" t="str">
            <v>05/09/2026</v>
          </cell>
        </row>
        <row r="304">
          <cell r="F304">
            <v>200</v>
          </cell>
          <cell r="G304" t="str">
            <v>05/09/2026</v>
          </cell>
        </row>
        <row r="305">
          <cell r="F305">
            <v>1800</v>
          </cell>
          <cell r="G305" t="str">
            <v>06/09/2026</v>
          </cell>
        </row>
        <row r="306">
          <cell r="F306">
            <v>220</v>
          </cell>
          <cell r="G306" t="str">
            <v>10/09/2026</v>
          </cell>
        </row>
        <row r="307">
          <cell r="F307">
            <v>1250</v>
          </cell>
          <cell r="G307" t="str">
            <v>10/09/2026</v>
          </cell>
        </row>
        <row r="308">
          <cell r="F308">
            <v>2620.16</v>
          </cell>
          <cell r="G308" t="str">
            <v>10/09/2026</v>
          </cell>
        </row>
        <row r="309">
          <cell r="F309">
            <v>210</v>
          </cell>
          <cell r="G309" t="str">
            <v>10/09/2026</v>
          </cell>
        </row>
        <row r="310">
          <cell r="F310">
            <v>5800</v>
          </cell>
          <cell r="G310" t="str">
            <v>14/09/2026</v>
          </cell>
        </row>
        <row r="311">
          <cell r="F311">
            <v>612</v>
          </cell>
          <cell r="G311" t="str">
            <v>15/09/2026</v>
          </cell>
        </row>
        <row r="312">
          <cell r="F312">
            <v>650</v>
          </cell>
          <cell r="G312" t="str">
            <v>20/09/2026</v>
          </cell>
        </row>
        <row r="313">
          <cell r="F313">
            <v>806.8</v>
          </cell>
          <cell r="G313" t="str">
            <v>20/09/2026</v>
          </cell>
        </row>
        <row r="314">
          <cell r="F314">
            <v>18000</v>
          </cell>
          <cell r="G314" t="str">
            <v>20/09/2026</v>
          </cell>
        </row>
        <row r="315">
          <cell r="F315">
            <v>1100</v>
          </cell>
          <cell r="G315" t="str">
            <v>20/09/2026</v>
          </cell>
        </row>
        <row r="316">
          <cell r="F316">
            <v>496.24</v>
          </cell>
          <cell r="G316" t="str">
            <v>20/09/2026</v>
          </cell>
        </row>
        <row r="317">
          <cell r="F317">
            <v>473.43</v>
          </cell>
          <cell r="G317" t="str">
            <v>20/09/2026</v>
          </cell>
        </row>
        <row r="318">
          <cell r="F318">
            <v>2500</v>
          </cell>
          <cell r="G318" t="str">
            <v>23/09/2026</v>
          </cell>
        </row>
        <row r="319">
          <cell r="F319">
            <v>450</v>
          </cell>
          <cell r="G319" t="str">
            <v>25/09/2026</v>
          </cell>
        </row>
        <row r="320">
          <cell r="F320">
            <v>4200</v>
          </cell>
          <cell r="G320" t="str">
            <v>27/09/2026</v>
          </cell>
        </row>
        <row r="321">
          <cell r="F321">
            <v>2500</v>
          </cell>
          <cell r="G321" t="str">
            <v>05/10/2026</v>
          </cell>
        </row>
        <row r="322">
          <cell r="F322">
            <v>1500</v>
          </cell>
          <cell r="G322" t="str">
            <v>05/10/2026</v>
          </cell>
        </row>
        <row r="323">
          <cell r="F323">
            <v>3000</v>
          </cell>
          <cell r="G323" t="str">
            <v>05/10/2026</v>
          </cell>
        </row>
        <row r="324">
          <cell r="F324">
            <v>0</v>
          </cell>
          <cell r="G324" t="str">
            <v>05/10/2026</v>
          </cell>
        </row>
        <row r="325">
          <cell r="F325">
            <v>2500</v>
          </cell>
          <cell r="G325" t="str">
            <v>05/10/2026</v>
          </cell>
        </row>
        <row r="326">
          <cell r="F326">
            <v>230</v>
          </cell>
          <cell r="G326" t="str">
            <v>05/10/2026</v>
          </cell>
        </row>
        <row r="327">
          <cell r="F327">
            <v>200</v>
          </cell>
          <cell r="G327" t="str">
            <v>05/10/2026</v>
          </cell>
        </row>
        <row r="328">
          <cell r="F328">
            <v>220</v>
          </cell>
          <cell r="G328" t="str">
            <v>10/10/2026</v>
          </cell>
        </row>
        <row r="329">
          <cell r="F329">
            <v>1250</v>
          </cell>
          <cell r="G329" t="str">
            <v>10/10/2026</v>
          </cell>
        </row>
        <row r="330">
          <cell r="F330">
            <v>2620.16</v>
          </cell>
          <cell r="G330" t="str">
            <v>10/10/2026</v>
          </cell>
        </row>
        <row r="331">
          <cell r="F331">
            <v>210</v>
          </cell>
          <cell r="G331" t="str">
            <v>10/10/2026</v>
          </cell>
        </row>
        <row r="332">
          <cell r="F332">
            <v>5800</v>
          </cell>
          <cell r="G332" t="str">
            <v>14/10/2026</v>
          </cell>
        </row>
        <row r="333">
          <cell r="F333">
            <v>612</v>
          </cell>
          <cell r="G333" t="str">
            <v>15/10/2026</v>
          </cell>
        </row>
        <row r="334">
          <cell r="F334">
            <v>650</v>
          </cell>
          <cell r="G334" t="str">
            <v>20/10/2026</v>
          </cell>
        </row>
        <row r="335">
          <cell r="F335">
            <v>806.8</v>
          </cell>
          <cell r="G335" t="str">
            <v>20/10/2026</v>
          </cell>
        </row>
        <row r="336">
          <cell r="F336">
            <v>18000</v>
          </cell>
          <cell r="G336" t="str">
            <v>20/10/2026</v>
          </cell>
        </row>
        <row r="337">
          <cell r="F337">
            <v>1100</v>
          </cell>
          <cell r="G337" t="str">
            <v>20/10/2026</v>
          </cell>
        </row>
        <row r="338">
          <cell r="F338">
            <v>496.24</v>
          </cell>
          <cell r="G338" t="str">
            <v>20/10/2026</v>
          </cell>
        </row>
        <row r="339">
          <cell r="F339">
            <v>473.43</v>
          </cell>
          <cell r="G339" t="str">
            <v>20/10/2026</v>
          </cell>
        </row>
        <row r="340">
          <cell r="F340">
            <v>2500</v>
          </cell>
          <cell r="G340" t="str">
            <v>23/10/2026</v>
          </cell>
        </row>
        <row r="341">
          <cell r="F341">
            <v>450</v>
          </cell>
          <cell r="G341" t="str">
            <v>25/10/2026</v>
          </cell>
        </row>
        <row r="342">
          <cell r="F342">
            <v>4200</v>
          </cell>
          <cell r="G342" t="str">
            <v>27/10/2026</v>
          </cell>
        </row>
        <row r="343">
          <cell r="F343">
            <v>2500</v>
          </cell>
          <cell r="G343" t="str">
            <v>05/11/2026</v>
          </cell>
        </row>
        <row r="344">
          <cell r="F344">
            <v>1500</v>
          </cell>
          <cell r="G344" t="str">
            <v>05/11/2026</v>
          </cell>
        </row>
        <row r="345">
          <cell r="F345">
            <v>3000</v>
          </cell>
          <cell r="G345" t="str">
            <v>05/11/2026</v>
          </cell>
        </row>
        <row r="346">
          <cell r="F346">
            <v>0</v>
          </cell>
          <cell r="G346" t="str">
            <v>05/11/2026</v>
          </cell>
        </row>
        <row r="347">
          <cell r="F347">
            <v>2500</v>
          </cell>
          <cell r="G347" t="str">
            <v>05/11/2026</v>
          </cell>
        </row>
        <row r="348">
          <cell r="F348">
            <v>230</v>
          </cell>
          <cell r="G348" t="str">
            <v>05/11/2026</v>
          </cell>
        </row>
        <row r="349">
          <cell r="F349">
            <v>200</v>
          </cell>
          <cell r="G349" t="str">
            <v>05/11/2026</v>
          </cell>
        </row>
        <row r="350">
          <cell r="F350">
            <v>220</v>
          </cell>
          <cell r="G350" t="str">
            <v>10/11/2026</v>
          </cell>
        </row>
        <row r="351">
          <cell r="F351">
            <v>1250</v>
          </cell>
          <cell r="G351" t="str">
            <v>10/11/2026</v>
          </cell>
        </row>
        <row r="352">
          <cell r="F352">
            <v>2620.16</v>
          </cell>
          <cell r="G352" t="str">
            <v>10/11/2026</v>
          </cell>
        </row>
        <row r="353">
          <cell r="F353">
            <v>210</v>
          </cell>
          <cell r="G353" t="str">
            <v>10/11/2026</v>
          </cell>
        </row>
        <row r="354">
          <cell r="F354">
            <v>612</v>
          </cell>
          <cell r="G354" t="str">
            <v>15/11/2026</v>
          </cell>
        </row>
        <row r="355">
          <cell r="F355">
            <v>650</v>
          </cell>
          <cell r="G355" t="str">
            <v>20/11/2026</v>
          </cell>
        </row>
        <row r="356">
          <cell r="F356">
            <v>806.8</v>
          </cell>
          <cell r="G356" t="str">
            <v>20/11/2026</v>
          </cell>
        </row>
        <row r="357">
          <cell r="F357">
            <v>18000</v>
          </cell>
          <cell r="G357" t="str">
            <v>20/11/2026</v>
          </cell>
        </row>
        <row r="358">
          <cell r="F358">
            <v>1100</v>
          </cell>
          <cell r="G358" t="str">
            <v>20/11/2026</v>
          </cell>
        </row>
        <row r="359">
          <cell r="F359">
            <v>496.24</v>
          </cell>
          <cell r="G359" t="str">
            <v>20/11/2026</v>
          </cell>
        </row>
        <row r="360">
          <cell r="F360">
            <v>473.43</v>
          </cell>
          <cell r="G360" t="str">
            <v>20/11/2026</v>
          </cell>
        </row>
        <row r="361">
          <cell r="F361">
            <v>2500</v>
          </cell>
          <cell r="G361" t="str">
            <v>23/11/2026</v>
          </cell>
        </row>
        <row r="362">
          <cell r="F362">
            <v>450</v>
          </cell>
          <cell r="G362" t="str">
            <v>25/11/2026</v>
          </cell>
        </row>
        <row r="363">
          <cell r="F363">
            <v>4200</v>
          </cell>
          <cell r="G363" t="str">
            <v>27/11/2026</v>
          </cell>
        </row>
        <row r="364">
          <cell r="F364">
            <v>2500</v>
          </cell>
          <cell r="G364" t="str">
            <v>05/12/2026</v>
          </cell>
        </row>
        <row r="365">
          <cell r="F365">
            <v>1500</v>
          </cell>
          <cell r="G365" t="str">
            <v>05/12/2026</v>
          </cell>
        </row>
        <row r="366">
          <cell r="F366">
            <v>3000</v>
          </cell>
          <cell r="G366" t="str">
            <v>05/12/2026</v>
          </cell>
        </row>
        <row r="367">
          <cell r="F367">
            <v>0</v>
          </cell>
          <cell r="G367" t="str">
            <v>05/12/2026</v>
          </cell>
        </row>
        <row r="368">
          <cell r="F368">
            <v>2500</v>
          </cell>
          <cell r="G368" t="str">
            <v>05/12/2026</v>
          </cell>
        </row>
        <row r="369">
          <cell r="F369">
            <v>230</v>
          </cell>
          <cell r="G369" t="str">
            <v>05/12/2026</v>
          </cell>
        </row>
        <row r="370">
          <cell r="F370">
            <v>200</v>
          </cell>
          <cell r="G370" t="str">
            <v>05/12/2026</v>
          </cell>
        </row>
        <row r="371">
          <cell r="F371">
            <v>220</v>
          </cell>
          <cell r="G371" t="str">
            <v>10/12/2026</v>
          </cell>
        </row>
        <row r="372">
          <cell r="F372">
            <v>2620.16</v>
          </cell>
          <cell r="G372" t="str">
            <v>10/12/2026</v>
          </cell>
        </row>
        <row r="373">
          <cell r="F373">
            <v>210</v>
          </cell>
          <cell r="G373" t="str">
            <v>10/12/2026</v>
          </cell>
        </row>
        <row r="374">
          <cell r="F374">
            <v>6714</v>
          </cell>
          <cell r="G374" t="str">
            <v>15/12/2026</v>
          </cell>
        </row>
        <row r="375">
          <cell r="F375">
            <v>612</v>
          </cell>
          <cell r="G375" t="str">
            <v>15/12/2026</v>
          </cell>
        </row>
        <row r="376">
          <cell r="F376">
            <v>757.72</v>
          </cell>
          <cell r="G376" t="str">
            <v>20/12/2026</v>
          </cell>
        </row>
        <row r="377">
          <cell r="F377">
            <v>806.8</v>
          </cell>
          <cell r="G377" t="str">
            <v>20/12/2026</v>
          </cell>
        </row>
        <row r="378">
          <cell r="F378">
            <v>18999.939999999999</v>
          </cell>
          <cell r="G378" t="str">
            <v>20/12/2026</v>
          </cell>
        </row>
        <row r="379">
          <cell r="F379">
            <v>1295.05</v>
          </cell>
          <cell r="G379" t="str">
            <v>20/12/2026</v>
          </cell>
        </row>
        <row r="380">
          <cell r="F380">
            <v>496.24</v>
          </cell>
          <cell r="G380" t="str">
            <v>20/12/2026</v>
          </cell>
        </row>
        <row r="381">
          <cell r="F381">
            <v>452.43</v>
          </cell>
          <cell r="G381" t="str">
            <v>20/12/2026</v>
          </cell>
        </row>
        <row r="382">
          <cell r="F382">
            <v>2500</v>
          </cell>
          <cell r="G382" t="str">
            <v>23/12/2026</v>
          </cell>
        </row>
        <row r="383">
          <cell r="F383">
            <v>450</v>
          </cell>
          <cell r="G383" t="str">
            <v>25/12/2026</v>
          </cell>
        </row>
        <row r="384">
          <cell r="F384">
            <v>4200</v>
          </cell>
          <cell r="G384" t="str">
            <v>27/12/2026</v>
          </cell>
        </row>
      </sheetData>
      <sheetData sheetId="3">
        <row r="2">
          <cell r="F2">
            <v>3720</v>
          </cell>
          <cell r="G2" t="str">
            <v>03/05/2026</v>
          </cell>
        </row>
        <row r="3">
          <cell r="F3">
            <v>1419.63</v>
          </cell>
          <cell r="G3" t="str">
            <v>04/05/2026</v>
          </cell>
        </row>
        <row r="4">
          <cell r="F4">
            <v>5610.67</v>
          </cell>
          <cell r="G4" t="str">
            <v>05/05/2026</v>
          </cell>
        </row>
        <row r="5">
          <cell r="F5">
            <v>949</v>
          </cell>
          <cell r="G5" t="str">
            <v>06/05/2026</v>
          </cell>
        </row>
        <row r="6">
          <cell r="F6">
            <v>6014.9</v>
          </cell>
          <cell r="G6" t="str">
            <v>07/05/2026</v>
          </cell>
        </row>
        <row r="7">
          <cell r="F7">
            <v>114.3</v>
          </cell>
          <cell r="G7" t="str">
            <v>08/05/2026</v>
          </cell>
        </row>
        <row r="8">
          <cell r="F8">
            <v>1419.63</v>
          </cell>
          <cell r="G8" t="str">
            <v>11/05/2026</v>
          </cell>
        </row>
        <row r="9">
          <cell r="F9">
            <v>69</v>
          </cell>
          <cell r="G9" t="str">
            <v>12/05/2026*</v>
          </cell>
        </row>
        <row r="10">
          <cell r="F10">
            <v>6200.33</v>
          </cell>
          <cell r="G10" t="str">
            <v>16/05/2026*</v>
          </cell>
        </row>
        <row r="11">
          <cell r="F11">
            <v>3720</v>
          </cell>
          <cell r="G11" t="str">
            <v>18/05/2026</v>
          </cell>
        </row>
        <row r="12">
          <cell r="F12">
            <v>1419.63</v>
          </cell>
          <cell r="G12" t="str">
            <v>18/05/2026</v>
          </cell>
        </row>
        <row r="13">
          <cell r="F13">
            <v>6014.9</v>
          </cell>
          <cell r="G13" t="str">
            <v>22/05/2026</v>
          </cell>
        </row>
        <row r="14">
          <cell r="F14">
            <v>12352.44</v>
          </cell>
          <cell r="G14" t="str">
            <v>22/05/2026</v>
          </cell>
        </row>
        <row r="15">
          <cell r="F15">
            <v>85</v>
          </cell>
          <cell r="G15" t="str">
            <v>26/05/2026</v>
          </cell>
        </row>
        <row r="16">
          <cell r="F16">
            <v>330</v>
          </cell>
          <cell r="G16" t="str">
            <v>26/05/2026</v>
          </cell>
        </row>
        <row r="17">
          <cell r="F17">
            <v>13412.5</v>
          </cell>
          <cell r="G17" t="str">
            <v>28/05/2026</v>
          </cell>
        </row>
        <row r="18">
          <cell r="F18">
            <v>5838.7</v>
          </cell>
          <cell r="G18" t="str">
            <v>30/05/2026</v>
          </cell>
        </row>
        <row r="19">
          <cell r="F19">
            <v>2505.6</v>
          </cell>
          <cell r="G19" t="str">
            <v>04/06/2026</v>
          </cell>
        </row>
        <row r="20">
          <cell r="F20">
            <v>516.34</v>
          </cell>
          <cell r="G20" t="str">
            <v>05/06/2026</v>
          </cell>
        </row>
        <row r="21">
          <cell r="F21">
            <v>900</v>
          </cell>
          <cell r="G21" t="str">
            <v>05/06/2026</v>
          </cell>
        </row>
        <row r="22">
          <cell r="F22">
            <v>600</v>
          </cell>
          <cell r="G22" t="str">
            <v>05/06/2026</v>
          </cell>
        </row>
        <row r="23">
          <cell r="F23">
            <v>6014.9</v>
          </cell>
          <cell r="G23" t="str">
            <v>06/06/2026</v>
          </cell>
        </row>
        <row r="24">
          <cell r="F24">
            <v>2380</v>
          </cell>
          <cell r="G24" t="str">
            <v>07/06/2026</v>
          </cell>
        </row>
        <row r="25">
          <cell r="F25">
            <v>1175</v>
          </cell>
          <cell r="G25" t="str">
            <v>08/06/2026</v>
          </cell>
        </row>
        <row r="26">
          <cell r="F26">
            <v>987.5</v>
          </cell>
          <cell r="G26" t="str">
            <v>10/06/2026</v>
          </cell>
        </row>
        <row r="27">
          <cell r="F27">
            <v>7316.8</v>
          </cell>
          <cell r="G27" t="str">
            <v>11/06/2026</v>
          </cell>
        </row>
        <row r="28">
          <cell r="F28">
            <v>336</v>
          </cell>
          <cell r="G28" t="str">
            <v>11/06/2026</v>
          </cell>
        </row>
        <row r="29">
          <cell r="F29">
            <v>13412.5</v>
          </cell>
          <cell r="G29" t="str">
            <v>12/06/2026</v>
          </cell>
        </row>
        <row r="30">
          <cell r="F30">
            <v>6200.33</v>
          </cell>
          <cell r="G30" t="str">
            <v>15/06/2026</v>
          </cell>
        </row>
        <row r="31">
          <cell r="F31">
            <v>336</v>
          </cell>
          <cell r="G31" t="str">
            <v>18/06/2026</v>
          </cell>
        </row>
        <row r="32">
          <cell r="F32">
            <v>900</v>
          </cell>
          <cell r="G32" t="str">
            <v>20/06/2026</v>
          </cell>
        </row>
        <row r="33">
          <cell r="F33">
            <v>6014.9</v>
          </cell>
          <cell r="G33" t="str">
            <v>21/06/2026</v>
          </cell>
        </row>
        <row r="34">
          <cell r="F34">
            <v>12352.44</v>
          </cell>
          <cell r="G34" t="str">
            <v>21/06/2026</v>
          </cell>
        </row>
        <row r="35">
          <cell r="F35">
            <v>987.5</v>
          </cell>
          <cell r="G35" t="str">
            <v>25/06/2026</v>
          </cell>
        </row>
        <row r="36">
          <cell r="F36">
            <v>7316.8</v>
          </cell>
          <cell r="G36" t="str">
            <v>26/06/2026</v>
          </cell>
        </row>
        <row r="37">
          <cell r="F37">
            <v>516.33000000000004</v>
          </cell>
          <cell r="G37" t="str">
            <v>05/07/2026</v>
          </cell>
        </row>
        <row r="38">
          <cell r="F38">
            <v>900</v>
          </cell>
          <cell r="G38" t="str">
            <v>05/07/2026</v>
          </cell>
        </row>
        <row r="39">
          <cell r="F39">
            <v>6014.9</v>
          </cell>
          <cell r="G39" t="str">
            <v>06/07/2026</v>
          </cell>
        </row>
        <row r="40">
          <cell r="F40">
            <v>516.33000000000004</v>
          </cell>
          <cell r="G40" t="str">
            <v>04/08/2026</v>
          </cell>
        </row>
      </sheetData>
      <sheetData sheetId="4">
        <row r="2">
          <cell r="F2">
            <v>3117.76</v>
          </cell>
          <cell r="G2" t="str">
            <v>02/05/2026</v>
          </cell>
        </row>
        <row r="3">
          <cell r="F3">
            <v>109.8</v>
          </cell>
          <cell r="G3" t="str">
            <v>02/05/2026</v>
          </cell>
        </row>
        <row r="4">
          <cell r="F4">
            <v>1900</v>
          </cell>
          <cell r="G4" t="str">
            <v>03/05/2026</v>
          </cell>
        </row>
        <row r="5">
          <cell r="F5">
            <v>3700</v>
          </cell>
          <cell r="G5" t="str">
            <v>13/05/2026</v>
          </cell>
        </row>
        <row r="6">
          <cell r="F6">
            <v>612</v>
          </cell>
          <cell r="G6" t="str">
            <v>15/05/2026</v>
          </cell>
        </row>
        <row r="7">
          <cell r="F7">
            <v>1900</v>
          </cell>
          <cell r="G7" t="str">
            <v>18/05/2026</v>
          </cell>
        </row>
        <row r="8">
          <cell r="F8">
            <v>2000</v>
          </cell>
          <cell r="G8" t="str">
            <v>20/05/2026</v>
          </cell>
        </row>
        <row r="9">
          <cell r="F9">
            <v>1834</v>
          </cell>
          <cell r="G9" t="str">
            <v>28/05/2026</v>
          </cell>
        </row>
        <row r="10">
          <cell r="F10">
            <v>3723.1</v>
          </cell>
          <cell r="G10" t="str">
            <v>28/05/2026</v>
          </cell>
        </row>
        <row r="11">
          <cell r="F11">
            <v>1900</v>
          </cell>
          <cell r="G11" t="str">
            <v>02/06/2026</v>
          </cell>
        </row>
        <row r="12">
          <cell r="F12">
            <v>2957.83</v>
          </cell>
          <cell r="G12" t="str">
            <v>02/06/2026</v>
          </cell>
        </row>
        <row r="13">
          <cell r="F13">
            <v>109.8</v>
          </cell>
          <cell r="G13" t="str">
            <v>02/06/2026</v>
          </cell>
        </row>
        <row r="14">
          <cell r="F14">
            <v>2516</v>
          </cell>
          <cell r="G14" t="str">
            <v>07/06/2026</v>
          </cell>
        </row>
        <row r="15">
          <cell r="F15">
            <v>1834</v>
          </cell>
          <cell r="G15" t="str">
            <v>11/06/2026</v>
          </cell>
        </row>
        <row r="16">
          <cell r="F16">
            <v>3723.1</v>
          </cell>
          <cell r="G16" t="str">
            <v>12/06/2026</v>
          </cell>
        </row>
        <row r="17">
          <cell r="F17">
            <v>3500</v>
          </cell>
          <cell r="G17" t="str">
            <v>13/06/2026</v>
          </cell>
        </row>
        <row r="18">
          <cell r="F18">
            <v>612</v>
          </cell>
          <cell r="G18" t="str">
            <v>15/06/2026</v>
          </cell>
        </row>
        <row r="19">
          <cell r="F19">
            <v>2000</v>
          </cell>
          <cell r="G19" t="str">
            <v>20/06/2026</v>
          </cell>
        </row>
        <row r="20">
          <cell r="F20">
            <v>2516</v>
          </cell>
          <cell r="G20" t="str">
            <v>22/06/2026</v>
          </cell>
        </row>
        <row r="21">
          <cell r="F21">
            <v>3723.1</v>
          </cell>
          <cell r="G21" t="str">
            <v>27/06/2026</v>
          </cell>
        </row>
        <row r="22">
          <cell r="F22">
            <v>2957.83</v>
          </cell>
          <cell r="G22" t="str">
            <v>02/07/2026</v>
          </cell>
        </row>
        <row r="23">
          <cell r="F23">
            <v>109.8</v>
          </cell>
          <cell r="G23" t="str">
            <v>02/07/2026</v>
          </cell>
        </row>
        <row r="24">
          <cell r="F24">
            <v>2516</v>
          </cell>
          <cell r="G24" t="str">
            <v>07/07/2026</v>
          </cell>
        </row>
        <row r="25">
          <cell r="F25">
            <v>3723.1</v>
          </cell>
          <cell r="G25" t="str">
            <v>12/07/2026</v>
          </cell>
        </row>
        <row r="26">
          <cell r="F26">
            <v>3500</v>
          </cell>
          <cell r="G26" t="str">
            <v>13/07/2026</v>
          </cell>
        </row>
        <row r="27">
          <cell r="F27">
            <v>612</v>
          </cell>
          <cell r="G27" t="str">
            <v>15/07/2026</v>
          </cell>
        </row>
        <row r="28">
          <cell r="F28">
            <v>2000</v>
          </cell>
          <cell r="G28" t="str">
            <v>20/07/2026</v>
          </cell>
        </row>
        <row r="29">
          <cell r="F29">
            <v>2516</v>
          </cell>
          <cell r="G29" t="str">
            <v>22/07/2026</v>
          </cell>
        </row>
        <row r="30">
          <cell r="F30">
            <v>3723.1</v>
          </cell>
          <cell r="G30" t="str">
            <v>27/07/2026</v>
          </cell>
        </row>
        <row r="31">
          <cell r="F31">
            <v>5216.8599999999997</v>
          </cell>
          <cell r="G31" t="str">
            <v>02/08/2026</v>
          </cell>
        </row>
        <row r="32">
          <cell r="F32">
            <v>109.8</v>
          </cell>
          <cell r="G32" t="str">
            <v>02/08/2026</v>
          </cell>
        </row>
        <row r="33">
          <cell r="F33">
            <v>3500</v>
          </cell>
          <cell r="G33" t="str">
            <v>13/08/2026</v>
          </cell>
        </row>
        <row r="34">
          <cell r="F34">
            <v>612</v>
          </cell>
          <cell r="G34" t="str">
            <v>15/08/2026</v>
          </cell>
        </row>
        <row r="35">
          <cell r="F35">
            <v>2000</v>
          </cell>
          <cell r="G35" t="str">
            <v>20/08/2026</v>
          </cell>
        </row>
        <row r="36">
          <cell r="F36">
            <v>5216.8599999999997</v>
          </cell>
          <cell r="G36" t="str">
            <v>02/09/2026</v>
          </cell>
        </row>
        <row r="37">
          <cell r="F37">
            <v>109.8</v>
          </cell>
          <cell r="G37" t="str">
            <v>02/09/2026</v>
          </cell>
        </row>
        <row r="38">
          <cell r="F38">
            <v>3500</v>
          </cell>
          <cell r="G38" t="str">
            <v>13/09/2026</v>
          </cell>
        </row>
        <row r="39">
          <cell r="F39">
            <v>612</v>
          </cell>
          <cell r="G39" t="str">
            <v>15/09/2026</v>
          </cell>
        </row>
        <row r="40">
          <cell r="F40">
            <v>2000</v>
          </cell>
          <cell r="G40" t="str">
            <v>20/09/2026</v>
          </cell>
        </row>
        <row r="41">
          <cell r="F41">
            <v>5216.8599999999997</v>
          </cell>
          <cell r="G41" t="str">
            <v>02/10/2026</v>
          </cell>
        </row>
        <row r="42">
          <cell r="F42">
            <v>109.8</v>
          </cell>
          <cell r="G42" t="str">
            <v>02/10/2026</v>
          </cell>
        </row>
        <row r="43">
          <cell r="F43">
            <v>3500</v>
          </cell>
          <cell r="G43" t="str">
            <v>13/10/2026</v>
          </cell>
        </row>
        <row r="44">
          <cell r="F44">
            <v>612</v>
          </cell>
          <cell r="G44" t="str">
            <v>15/10/2026</v>
          </cell>
        </row>
        <row r="45">
          <cell r="F45">
            <v>2000</v>
          </cell>
          <cell r="G45" t="str">
            <v>20/10/2026</v>
          </cell>
        </row>
        <row r="46">
          <cell r="F46">
            <v>5216.8599999999997</v>
          </cell>
          <cell r="G46" t="str">
            <v>02/11/2026</v>
          </cell>
        </row>
        <row r="47">
          <cell r="F47">
            <v>109.8</v>
          </cell>
          <cell r="G47" t="str">
            <v>02/11/2026</v>
          </cell>
        </row>
        <row r="48">
          <cell r="F48">
            <v>3500</v>
          </cell>
          <cell r="G48" t="str">
            <v>13/11/2026</v>
          </cell>
        </row>
        <row r="49">
          <cell r="F49">
            <v>612</v>
          </cell>
          <cell r="G49" t="str">
            <v>15/11/2026</v>
          </cell>
        </row>
        <row r="50">
          <cell r="F50">
            <v>2000</v>
          </cell>
          <cell r="G50" t="str">
            <v>20/11/2026</v>
          </cell>
        </row>
        <row r="51">
          <cell r="F51">
            <v>5216.8599999999997</v>
          </cell>
          <cell r="G51" t="str">
            <v>02/12/2026</v>
          </cell>
        </row>
        <row r="52">
          <cell r="F52">
            <v>109.8</v>
          </cell>
          <cell r="G52" t="str">
            <v>02/12/2026</v>
          </cell>
        </row>
        <row r="53">
          <cell r="F53">
            <v>3500</v>
          </cell>
          <cell r="G53" t="str">
            <v>13/12/2026</v>
          </cell>
        </row>
        <row r="54">
          <cell r="F54">
            <v>612</v>
          </cell>
          <cell r="G54" t="str">
            <v>15/12/2026</v>
          </cell>
        </row>
        <row r="55">
          <cell r="F55">
            <v>5272.59</v>
          </cell>
          <cell r="G55" t="str">
            <v>20/12/2026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3131B6-E434-4E0B-8341-6D3AFA17002B}" name="Tabela3" displayName="Tabela3" ref="A1:E21" totalsRowShown="0">
  <autoFilter ref="A1:E21" xr:uid="{423131B6-E434-4E0B-8341-6D3AFA17002B}"/>
  <tableColumns count="5">
    <tableColumn id="1" xr3:uid="{73382128-4F4F-4D65-AB1D-FDC2181EAB22}" name="Linha do Tempo" dataDxfId="42"/>
    <tableColumn id="2" xr3:uid="{DC1C8DF0-A395-46D8-8A7C-2175399C60CF}" name="Valores"/>
    <tableColumn id="3" xr3:uid="{83A4F9A9-C4E9-498F-89EE-6BA152A32425}" name="Previsão" dataDxfId="41">
      <calculatedColumnFormula>_xlfn.FORECAST.ETS(A2,$B$2:$B$17,$A$2:$A$17,1,1)</calculatedColumnFormula>
    </tableColumn>
    <tableColumn id="4" xr3:uid="{6B3B3A50-5CE8-461E-AD17-3CA544163343}" name="Limite de Confiança Inferior" dataDxfId="40">
      <calculatedColumnFormula>C2-_xlfn.FORECAST.ETS.CONFINT(A2,$B$2:$B$17,$A$2:$A$17,0.95,1,1)</calculatedColumnFormula>
    </tableColumn>
    <tableColumn id="5" xr3:uid="{655AAA2E-F6B8-49CC-9E52-97656FB6A69E}" name="Limite de Confiança Superior" dataDxfId="39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D019C-34EE-46F8-8C4D-AD40AAA25690}" name="Tabela4" displayName="Tabela4" ref="A1:E22" totalsRowShown="0">
  <autoFilter ref="A1:E22" xr:uid="{BB1D019C-34EE-46F8-8C4D-AD40AAA25690}"/>
  <tableColumns count="5">
    <tableColumn id="1" xr3:uid="{7CCD04EB-8D63-4919-92B4-A62984CD6B13}" name="Linha do Tempo"/>
    <tableColumn id="2" xr3:uid="{FCEFFE8E-9169-452D-87AE-4DD37402E43C}" name="Valores"/>
    <tableColumn id="3" xr3:uid="{3A6AFD16-5701-4914-9AB0-85438A9AFAE2}" name="Previsão">
      <calculatedColumnFormula>_xlfn.FORECAST.ETS(A2,$B$2:$B$17,$A$2:$A$17,1,1)</calculatedColumnFormula>
    </tableColumn>
    <tableColumn id="4" xr3:uid="{A4F25873-FC8A-4FA6-ACC5-A903F32942F3}" name="Limite de Confiança Inferior" dataDxfId="38">
      <calculatedColumnFormula>C2-_xlfn.FORECAST.ETS.CONFINT(A2,$B$2:$B$17,$A$2:$A$17,0.95,1,1)</calculatedColumnFormula>
    </tableColumn>
    <tableColumn id="5" xr3:uid="{A0BB2F95-A3E7-4F71-A5BB-25F9EE9E5AB8}" name="Limite de Confiança Superior" dataDxfId="37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C77E3-A7A4-44A8-8AB4-3AD1469FF60E}" name="Tabela1" displayName="Tabela1" ref="A1:E23" totalsRowShown="0">
  <autoFilter ref="A1:E23" xr:uid="{456C77E3-A7A4-44A8-8AB4-3AD1469FF60E}"/>
  <tableColumns count="5">
    <tableColumn id="1" xr3:uid="{9FF3E208-B69D-4555-8A75-E2D2A9CD5D75}" name="Linha do Tempo" dataDxfId="36"/>
    <tableColumn id="2" xr3:uid="{BC32F1C7-031C-4495-8775-98E0FB5D52BE}" name="Valores"/>
    <tableColumn id="3" xr3:uid="{ED0636AA-780F-48E1-93FA-6D54954A6203}" name="Previsão" dataDxfId="35">
      <calculatedColumnFormula>_xlfn.FORECAST.ETS(A2,$B$2:$B$17,$A$2:$A$17,1,1)</calculatedColumnFormula>
    </tableColumn>
    <tableColumn id="4" xr3:uid="{AB4A019B-73B9-4877-9347-4635FD54DF48}" name="Limite de Confiança Inferior" dataDxfId="34">
      <calculatedColumnFormula>C2-_xlfn.FORECAST.ETS.CONFINT(A2,$B$2:$B$17,$A$2:$A$17,0.95,1,1)</calculatedColumnFormula>
    </tableColumn>
    <tableColumn id="5" xr3:uid="{E143DBAE-4132-4DCA-95EB-0BDA92BD8B63}" name="Limite de Confiança Superior" dataDxfId="33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3956B-361C-452C-9598-8E5232EB0570}" name="Tabela2" displayName="Tabela2" ref="A1:E21" totalsRowShown="0">
  <autoFilter ref="A1:E21" xr:uid="{9DC3956B-361C-452C-9598-8E5232EB0570}"/>
  <tableColumns count="5">
    <tableColumn id="1" xr3:uid="{0AB5B693-04A3-48EF-B0FD-02EE6D8C04E4}" name="Linha do Tempo"/>
    <tableColumn id="2" xr3:uid="{C7578A9C-EF56-41F6-866C-74CA390B2068}" name="Valores"/>
    <tableColumn id="3" xr3:uid="{2B8EC1FF-FE24-40B2-B910-FEB8F4EC93C8}" name="Previsão">
      <calculatedColumnFormula>_xlfn.FORECAST.ETS(A2,$B$2:$B$17,$A$2:$A$17,1,1)</calculatedColumnFormula>
    </tableColumn>
    <tableColumn id="4" xr3:uid="{A16FBE74-766A-4C35-9F29-EE7C86F71E1D}" name="Limite de Confiança Inferior" dataDxfId="32">
      <calculatedColumnFormula>C2-_xlfn.FORECAST.ETS.CONFINT(A2,$B$2:$B$17,$A$2:$A$17,0.95,1,1)</calculatedColumnFormula>
    </tableColumn>
    <tableColumn id="5" xr3:uid="{021FBBB9-FE21-43AA-B7BA-B3B833682912}" name="Limite de Confiança Superior" dataDxfId="31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4ECBB4-B910-4A32-B1D1-9CAF8226765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d8e1c71-abec-4eed-8b53-43a42f32835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9108-CEBB-4F1C-B75E-4C4478202271}">
  <dimension ref="A1:E21"/>
  <sheetViews>
    <sheetView workbookViewId="0">
      <selection activeCell="B32" sqref="B32"/>
    </sheetView>
  </sheetViews>
  <sheetFormatPr defaultRowHeight="15"/>
  <cols>
    <col min="1" max="1" width="17.140625" customWidth="1"/>
    <col min="2" max="3" width="14.28515625" bestFit="1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 s="370">
        <v>159260.53</v>
      </c>
    </row>
    <row r="3" spans="1:5">
      <c r="A3" s="369">
        <v>45689</v>
      </c>
      <c r="B3" s="370">
        <v>205465.7</v>
      </c>
    </row>
    <row r="4" spans="1:5">
      <c r="A4" s="369">
        <v>45717</v>
      </c>
      <c r="B4" s="370">
        <v>212696.97</v>
      </c>
    </row>
    <row r="5" spans="1:5">
      <c r="A5" s="369">
        <v>45748</v>
      </c>
      <c r="B5" s="370">
        <v>225882.05</v>
      </c>
    </row>
    <row r="6" spans="1:5">
      <c r="A6" s="369">
        <v>45778</v>
      </c>
      <c r="B6" s="370">
        <v>252020.4</v>
      </c>
    </row>
    <row r="7" spans="1:5">
      <c r="A7" s="369">
        <v>45809</v>
      </c>
      <c r="B7" s="370">
        <v>159826.26</v>
      </c>
    </row>
    <row r="8" spans="1:5">
      <c r="A8" s="369">
        <v>45839</v>
      </c>
      <c r="B8" s="370">
        <v>205248.67</v>
      </c>
    </row>
    <row r="9" spans="1:5">
      <c r="A9" s="369">
        <v>45870</v>
      </c>
      <c r="B9" s="370">
        <v>183735.51</v>
      </c>
    </row>
    <row r="10" spans="1:5">
      <c r="A10" s="369">
        <v>45901</v>
      </c>
      <c r="B10" s="370">
        <v>202938.1</v>
      </c>
    </row>
    <row r="11" spans="1:5">
      <c r="A11" s="369">
        <v>45931</v>
      </c>
      <c r="B11" s="370">
        <v>178379.29</v>
      </c>
    </row>
    <row r="12" spans="1:5">
      <c r="A12" s="369">
        <v>45962</v>
      </c>
      <c r="B12" s="370">
        <v>184310.95</v>
      </c>
    </row>
    <row r="13" spans="1:5">
      <c r="A13" s="369">
        <v>45992</v>
      </c>
      <c r="B13" s="370">
        <v>198779.59</v>
      </c>
    </row>
    <row r="14" spans="1:5">
      <c r="A14" s="369">
        <v>46023</v>
      </c>
      <c r="B14" s="370">
        <v>132275.4</v>
      </c>
    </row>
    <row r="15" spans="1:5">
      <c r="A15" s="369">
        <v>46054</v>
      </c>
      <c r="B15" s="370">
        <v>126679.25</v>
      </c>
    </row>
    <row r="16" spans="1:5">
      <c r="A16" s="369">
        <v>46082</v>
      </c>
      <c r="B16" s="370">
        <v>183424.12</v>
      </c>
    </row>
    <row r="17" spans="1:5">
      <c r="A17" s="369">
        <v>46113</v>
      </c>
      <c r="B17" s="370">
        <v>214380.68</v>
      </c>
      <c r="C17" s="370">
        <v>214380.68</v>
      </c>
      <c r="D17" s="370">
        <v>214380.68</v>
      </c>
      <c r="E17" s="370">
        <v>214380.68</v>
      </c>
    </row>
    <row r="18" spans="1:5">
      <c r="A18" s="369">
        <v>46143</v>
      </c>
      <c r="C18" s="370">
        <f>_xlfn.FORECAST.ETS(A18,$B$2:$B$17,$A$2:$A$17,1,1)</f>
        <v>184769.4379337921</v>
      </c>
      <c r="D18" s="370">
        <f>C18-_xlfn.FORECAST.ETS.CONFINT(A18,$B$2:$B$17,$A$2:$A$17,0.95,1,1)</f>
        <v>113467.07208419387</v>
      </c>
      <c r="E18" s="370">
        <f>C18+_xlfn.FORECAST.ETS.CONFINT(A18,$B$2:$B$17,$A$2:$A$17,0.95,1,1)</f>
        <v>256071.80378339032</v>
      </c>
    </row>
    <row r="19" spans="1:5">
      <c r="A19" s="369">
        <v>46174</v>
      </c>
      <c r="C19" s="370">
        <f>_xlfn.FORECAST.ETS(A19,$B$2:$B$17,$A$2:$A$17,1,1)</f>
        <v>182596.93676256787</v>
      </c>
      <c r="D19" s="370">
        <f>C19-_xlfn.FORECAST.ETS.CONFINT(A19,$B$2:$B$17,$A$2:$A$17,0.95,1,1)</f>
        <v>102846.55537733209</v>
      </c>
      <c r="E19" s="370">
        <f>C19+_xlfn.FORECAST.ETS.CONFINT(A19,$B$2:$B$17,$A$2:$A$17,0.95,1,1)</f>
        <v>262347.31814780366</v>
      </c>
    </row>
    <row r="20" spans="1:5">
      <c r="A20" s="369">
        <v>46204</v>
      </c>
      <c r="C20" s="370">
        <f>_xlfn.FORECAST.ETS(A20,$B$2:$B$17,$A$2:$A$17,1,1)</f>
        <v>180424.43559134362</v>
      </c>
      <c r="D20" s="370">
        <f>C20-_xlfn.FORECAST.ETS.CONFINT(A20,$B$2:$B$17,$A$2:$A$17,0.95,1,1)</f>
        <v>93009.799712166874</v>
      </c>
      <c r="E20" s="370">
        <f>C20+_xlfn.FORECAST.ETS.CONFINT(A20,$B$2:$B$17,$A$2:$A$17,0.95,1,1)</f>
        <v>267839.07147052034</v>
      </c>
    </row>
    <row r="21" spans="1:5">
      <c r="A21" s="369">
        <v>46235</v>
      </c>
      <c r="C21" s="370">
        <f>_xlfn.FORECAST.ETS(A21,$B$2:$B$17,$A$2:$A$17,1,1)</f>
        <v>178251.93442011939</v>
      </c>
      <c r="D21" s="370">
        <f>C21-_xlfn.FORECAST.ETS.CONFINT(A21,$B$2:$B$17,$A$2:$A$17,0.95,1,1)</f>
        <v>83765.833599944934</v>
      </c>
      <c r="E21" s="370">
        <f>C21+_xlfn.FORECAST.ETS.CONFINT(A21,$B$2:$B$17,$A$2:$A$17,0.95,1,1)</f>
        <v>272738.03524029383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4605-FD4E-46AE-B627-CE7BC56FFE75}">
  <dimension ref="A1:E22"/>
  <sheetViews>
    <sheetView workbookViewId="0">
      <selection activeCell="A2" sqref="A2:A22"/>
    </sheetView>
  </sheetViews>
  <sheetFormatPr defaultRowHeight="15"/>
  <cols>
    <col min="1" max="1" width="17.140625" customWidth="1"/>
    <col min="2" max="2" width="9.85546875" customWidth="1"/>
    <col min="3" max="3" width="10.7109375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>
        <v>217.88999999999942</v>
      </c>
    </row>
    <row r="3" spans="1:5">
      <c r="A3" s="369">
        <v>45689</v>
      </c>
      <c r="B3">
        <v>7973.1200000000026</v>
      </c>
    </row>
    <row r="4" spans="1:5">
      <c r="A4" s="369">
        <v>45717</v>
      </c>
      <c r="B4">
        <v>5366.1699999999983</v>
      </c>
    </row>
    <row r="5" spans="1:5">
      <c r="A5" s="369">
        <v>45748</v>
      </c>
      <c r="B5">
        <v>-20347.550000000003</v>
      </c>
    </row>
    <row r="6" spans="1:5">
      <c r="A6" s="369">
        <v>45778</v>
      </c>
      <c r="B6">
        <v>10741.169999999998</v>
      </c>
    </row>
    <row r="7" spans="1:5">
      <c r="A7" s="369">
        <v>45809</v>
      </c>
      <c r="B7">
        <v>-13284.030000000002</v>
      </c>
    </row>
    <row r="8" spans="1:5">
      <c r="A8" s="369">
        <v>45839</v>
      </c>
      <c r="B8">
        <v>2867.7799999999988</v>
      </c>
    </row>
    <row r="9" spans="1:5">
      <c r="A9" s="369">
        <v>45870</v>
      </c>
      <c r="B9">
        <v>-641.36999999999534</v>
      </c>
    </row>
    <row r="10" spans="1:5">
      <c r="A10" s="369">
        <v>45901</v>
      </c>
      <c r="B10">
        <v>8471.3499999999913</v>
      </c>
    </row>
    <row r="11" spans="1:5">
      <c r="A11" s="369">
        <v>45931</v>
      </c>
      <c r="B11">
        <v>-8746.6900000000023</v>
      </c>
    </row>
    <row r="12" spans="1:5">
      <c r="A12" s="369">
        <v>45962</v>
      </c>
      <c r="B12">
        <v>402.91999999999825</v>
      </c>
    </row>
    <row r="13" spans="1:5">
      <c r="A13" s="369">
        <v>45992</v>
      </c>
      <c r="B13">
        <v>71166.290000000008</v>
      </c>
    </row>
    <row r="14" spans="1:5">
      <c r="A14" s="369">
        <v>46023</v>
      </c>
      <c r="B14">
        <v>-61283.409999999974</v>
      </c>
    </row>
    <row r="15" spans="1:5">
      <c r="A15" s="369">
        <v>46054</v>
      </c>
      <c r="B15">
        <v>-7673</v>
      </c>
    </row>
    <row r="16" spans="1:5">
      <c r="A16" s="369">
        <v>46082</v>
      </c>
      <c r="B16">
        <v>2497.1400000000067</v>
      </c>
    </row>
    <row r="17" spans="1:5">
      <c r="A17" s="369">
        <v>46113</v>
      </c>
      <c r="B17">
        <v>-2426.6600000000035</v>
      </c>
      <c r="C17">
        <v>-2426.6600000000035</v>
      </c>
      <c r="D17" s="385">
        <v>-2426.6600000000035</v>
      </c>
      <c r="E17" s="385">
        <v>-2426.6600000000035</v>
      </c>
    </row>
    <row r="18" spans="1:5">
      <c r="A18" s="369">
        <v>46143</v>
      </c>
      <c r="C18">
        <f>_xlfn.FORECAST.ETS(A18,$B$2:$B$17,$A$2:$A$17,1,1)</f>
        <v>-3277.4477652911946</v>
      </c>
      <c r="D18" s="385">
        <f>C18-_xlfn.FORECAST.ETS.CONFINT(A18,$B$2:$B$17,$A$2:$A$17,0.95,1,1)</f>
        <v>-51978.621584485583</v>
      </c>
      <c r="E18" s="385">
        <f>C18+_xlfn.FORECAST.ETS.CONFINT(A18,$B$2:$B$17,$A$2:$A$17,0.95,1,1)</f>
        <v>45423.726053903192</v>
      </c>
    </row>
    <row r="19" spans="1:5">
      <c r="A19" s="369">
        <v>46174</v>
      </c>
      <c r="C19">
        <f>_xlfn.FORECAST.ETS(A19,$B$2:$B$17,$A$2:$A$17,1,1)</f>
        <v>-3489.7571214259392</v>
      </c>
      <c r="D19" s="385">
        <f>C19-_xlfn.FORECAST.ETS.CONFINT(A19,$B$2:$B$17,$A$2:$A$17,0.95,1,1)</f>
        <v>-52191.150095409415</v>
      </c>
      <c r="E19" s="385">
        <f>C19+_xlfn.FORECAST.ETS.CONFINT(A19,$B$2:$B$17,$A$2:$A$17,0.95,1,1)</f>
        <v>45211.635852557542</v>
      </c>
    </row>
    <row r="20" spans="1:5">
      <c r="A20" s="369">
        <v>46204</v>
      </c>
      <c r="C20">
        <f>_xlfn.FORECAST.ETS(A20,$B$2:$B$17,$A$2:$A$17,1,1)</f>
        <v>-3702.0664775607092</v>
      </c>
      <c r="D20" s="385">
        <f>C20-_xlfn.FORECAST.ETS.CONFINT(A20,$B$2:$B$17,$A$2:$A$17,0.95,1,1)</f>
        <v>-52403.849057623098</v>
      </c>
      <c r="E20" s="385">
        <f>C20+_xlfn.FORECAST.ETS.CONFINT(A20,$B$2:$B$17,$A$2:$A$17,0.95,1,1)</f>
        <v>44999.716102501683</v>
      </c>
    </row>
    <row r="21" spans="1:5">
      <c r="A21" s="369">
        <v>46235</v>
      </c>
      <c r="C21">
        <f>_xlfn.FORECAST.ETS(A21,$B$2:$B$17,$A$2:$A$17,1,1)</f>
        <v>-3914.3758336954534</v>
      </c>
      <c r="D21" s="385">
        <f>C21-_xlfn.FORECAST.ETS.CONFINT(A21,$B$2:$B$17,$A$2:$A$17,0.95,1,1)</f>
        <v>-52616.767167016595</v>
      </c>
      <c r="E21" s="385">
        <f>C21+_xlfn.FORECAST.ETS.CONFINT(A21,$B$2:$B$17,$A$2:$A$17,0.95,1,1)</f>
        <v>44788.015499625682</v>
      </c>
    </row>
    <row r="22" spans="1:5">
      <c r="A22" s="369">
        <v>46266</v>
      </c>
      <c r="C22">
        <f>_xlfn.FORECAST.ETS(A22,$B$2:$B$17,$A$2:$A$17,1,1)</f>
        <v>-4126.6851898302239</v>
      </c>
      <c r="D22" s="385">
        <f>C22-_xlfn.FORECAST.ETS.CONFINT(A22,$B$2:$B$17,$A$2:$A$17,0.95,1,1)</f>
        <v>-52829.953114476542</v>
      </c>
      <c r="E22" s="385">
        <f>C22+_xlfn.FORECAST.ETS.CONFINT(A22,$B$2:$B$17,$A$2:$A$17,0.95,1,1)</f>
        <v>44576.582734816089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F930-4E9B-4839-8556-45FB1AF4F9D3}">
  <dimension ref="A1:AC121"/>
  <sheetViews>
    <sheetView zoomScale="70" zoomScaleNormal="70" workbookViewId="0">
      <selection activeCell="K28" sqref="K28:K29"/>
    </sheetView>
  </sheetViews>
  <sheetFormatPr defaultRowHeight="15"/>
  <cols>
    <col min="1" max="1" width="8.5703125" style="33" customWidth="1"/>
    <col min="2" max="2" width="11.7109375" style="33" customWidth="1"/>
    <col min="3" max="3" width="26.85546875" style="33" bestFit="1" customWidth="1"/>
    <col min="4" max="4" width="23.85546875" style="33" bestFit="1" customWidth="1"/>
    <col min="5" max="5" width="22" style="33" customWidth="1"/>
    <col min="6" max="6" width="23.42578125" style="33" customWidth="1"/>
    <col min="7" max="7" width="25" style="33" customWidth="1"/>
    <col min="8" max="8" width="9.85546875" style="33" customWidth="1"/>
    <col min="9" max="9" width="20.7109375" style="33" bestFit="1" customWidth="1"/>
    <col min="10" max="10" width="17.7109375" style="33" customWidth="1"/>
    <col min="11" max="11" width="20.7109375" style="33" customWidth="1"/>
    <col min="12" max="12" width="20.5703125" style="33" customWidth="1"/>
    <col min="13" max="13" width="12.42578125" style="229" customWidth="1"/>
    <col min="14" max="14" width="16" style="33" customWidth="1"/>
    <col min="15" max="15" width="3" style="35" customWidth="1"/>
    <col min="16" max="16" width="10.7109375" style="33" bestFit="1" customWidth="1"/>
    <col min="17" max="17" width="9.140625" style="33"/>
    <col min="18" max="18" width="10.5703125" style="33" customWidth="1"/>
    <col min="19" max="16384" width="9.140625" style="33"/>
  </cols>
  <sheetData>
    <row r="1" spans="1:29" ht="15" customHeight="1">
      <c r="A1" s="229"/>
      <c r="B1" s="574" t="s">
        <v>5</v>
      </c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6"/>
      <c r="N1" s="351"/>
      <c r="O1" s="350"/>
      <c r="P1" s="37"/>
      <c r="Q1" s="573" t="s">
        <v>6</v>
      </c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35"/>
    </row>
    <row r="2" spans="1:29" ht="15" customHeight="1">
      <c r="A2" s="322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8"/>
      <c r="N2" s="351"/>
      <c r="O2" s="350"/>
      <c r="P2" s="37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35"/>
    </row>
    <row r="3" spans="1:29" ht="15" customHeight="1">
      <c r="A3" s="353"/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80"/>
      <c r="N3" s="351"/>
      <c r="O3" s="352"/>
      <c r="P3" s="355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35"/>
    </row>
    <row r="4" spans="1:29">
      <c r="A4" s="354">
        <f>IF(C4="ANUAL",DATE(2026,1,1),DATE(2026,MATCH(C4,{"JANEIRO";"FEVEREIRO";"MARÇO";"ABRIL";"MAIO";"JUNHO";"JULHO";"AGOSTO";"SETEMBRO";"OUTUBRO";"NOVEMBRO";"DEZEMBRO"},0),1))</f>
        <v>46023</v>
      </c>
      <c r="B4" s="588" t="s">
        <v>7</v>
      </c>
      <c r="C4" s="582" t="s">
        <v>8</v>
      </c>
      <c r="D4" s="233"/>
      <c r="E4" s="584"/>
      <c r="F4" s="585"/>
      <c r="G4" s="233"/>
      <c r="H4" s="584"/>
      <c r="I4" s="585"/>
      <c r="J4" s="233"/>
      <c r="K4" s="233"/>
      <c r="L4" s="233"/>
      <c r="M4" s="314"/>
      <c r="O4" s="352"/>
      <c r="P4" s="354">
        <f>IF(R4="ANUAL",DATE(2026,1,1),DATE(2026,MATCH(R4,{"JANEIRO";"FEVEREIRO";"MARÇO";"ABRIL";"MAIO";"JUNHO";"JULHO";"AGOSTO";"SETEMBRO";"OUTUBRO";"NOVEMBRO";"DEZEMBRO"},0),1))</f>
        <v>46023</v>
      </c>
      <c r="Q4" s="581" t="s">
        <v>7</v>
      </c>
      <c r="R4" s="582" t="s">
        <v>8</v>
      </c>
      <c r="S4" s="233"/>
      <c r="T4" s="233"/>
      <c r="U4" s="233"/>
      <c r="V4" s="233"/>
      <c r="W4" s="233"/>
      <c r="X4" s="233"/>
      <c r="Y4" s="233"/>
      <c r="Z4" s="233"/>
      <c r="AA4" s="233"/>
      <c r="AB4" s="233"/>
    </row>
    <row r="5" spans="1:29">
      <c r="A5" s="354">
        <f>IF(C4="ANUAL",DATE(2026,12,31),EOMONTH(DATE(2026,MATCH(C4,{"JANEIRO";"FEVEREIRO";"MARÇO";"ABRIL";"MAIO";"JUNHO";"JULHO";"AGOSTO";"SETEMBRO";"OUTUBRO";"NOVEMBRO";"DEZEMBRO"},0),1),0))</f>
        <v>46387</v>
      </c>
      <c r="B5" s="589"/>
      <c r="C5" s="583"/>
      <c r="E5" s="586"/>
      <c r="F5" s="587"/>
      <c r="H5" s="586"/>
      <c r="I5" s="587"/>
      <c r="O5" s="352"/>
      <c r="P5" s="354">
        <f>IF(R4="ANUAL",DATE(2026,12,31),EOMONTH(DATE(2026,MATCH(R4,{"JANEIRO";"FEVEREIRO";"MARÇO";"ABRIL";"MAIO";"JUNHO";"JULHO";"AGOSTO";"SETEMBRO";"OUTUBRO";"NOVEMBRO";"DEZEMBRO"},0),1),0))</f>
        <v>46387</v>
      </c>
      <c r="Q5" s="581"/>
      <c r="R5" s="583"/>
    </row>
    <row r="6" spans="1:29">
      <c r="A6" s="315"/>
      <c r="B6" s="337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316"/>
      <c r="O6" s="352"/>
      <c r="P6" s="315"/>
    </row>
    <row r="7" spans="1:29">
      <c r="A7" s="37"/>
      <c r="B7" s="572" t="s">
        <v>9</v>
      </c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35"/>
      <c r="O7" s="350"/>
      <c r="P7" s="229"/>
      <c r="Q7" s="572" t="s">
        <v>9</v>
      </c>
      <c r="R7" s="572"/>
      <c r="S7" s="572"/>
      <c r="T7" s="572"/>
      <c r="U7" s="572"/>
      <c r="V7" s="572"/>
      <c r="W7" s="572"/>
      <c r="X7" s="572"/>
      <c r="Y7" s="572"/>
      <c r="Z7" s="572"/>
      <c r="AA7" s="572"/>
      <c r="AB7" s="572"/>
    </row>
    <row r="8" spans="1:29">
      <c r="A8" s="37"/>
      <c r="B8" s="563" t="s">
        <v>10</v>
      </c>
      <c r="C8" s="563"/>
      <c r="D8" s="563"/>
      <c r="E8" s="563"/>
      <c r="F8" s="563" t="s">
        <v>11</v>
      </c>
      <c r="G8" s="563"/>
      <c r="H8" s="563"/>
      <c r="I8" s="563"/>
      <c r="J8" s="563" t="s">
        <v>12</v>
      </c>
      <c r="K8" s="563"/>
      <c r="L8" s="563"/>
      <c r="M8" s="563"/>
      <c r="N8" s="347"/>
      <c r="O8" s="350"/>
      <c r="P8" s="229"/>
      <c r="Q8" s="563" t="s">
        <v>10</v>
      </c>
      <c r="R8" s="563"/>
      <c r="S8" s="563"/>
      <c r="T8" s="563"/>
      <c r="U8" s="563" t="s">
        <v>11</v>
      </c>
      <c r="V8" s="563"/>
      <c r="W8" s="563"/>
      <c r="X8" s="563"/>
      <c r="Y8" s="563" t="s">
        <v>12</v>
      </c>
      <c r="Z8" s="563"/>
      <c r="AA8" s="563"/>
      <c r="AB8" s="563"/>
    </row>
    <row r="9" spans="1:29" ht="15.75">
      <c r="A9" s="37"/>
      <c r="B9" s="591">
        <f>SUMIFS('ENTRADAS - FIN - ilumi'!D:D,'ENTRADAS - FIN - ilumi'!A:A,"&gt;="&amp;A4,'ENTRADAS - FIN - ilumi'!A:A,"&lt;="&amp;A5)+SUMIFS('Entradas- fin- import'!D:D,'Entradas- fin- import'!A:A,"&gt;="&amp;A4,'Entradas- fin- import'!A:A,"&lt;="&amp;A5)</f>
        <v>1086398.6199999999</v>
      </c>
      <c r="C9" s="591"/>
      <c r="D9" s="591"/>
      <c r="E9" s="591"/>
      <c r="F9" s="564">
        <f>SUMIFS('Saidas-fin-import'!D:D,'Saidas-fin-import'!A:A,"&gt;="&amp;A4,'Saidas-fin-import'!A:A,"&lt;="&amp;A5)+SUMIFS('SAIDAS-FIN-ilumi'!D:D,'SAIDAS-FIN-ilumi'!A:A,"&gt;="&amp;A4,'SAIDAS-FIN-ilumi'!A:A,"&lt;="&amp;A5)</f>
        <v>1166871.2100000004</v>
      </c>
      <c r="G9" s="564"/>
      <c r="H9" s="564"/>
      <c r="I9" s="564"/>
      <c r="J9" s="595">
        <f>B9+D10-F9</f>
        <v>-80472.590000000549</v>
      </c>
      <c r="K9" s="596"/>
      <c r="L9" s="596"/>
      <c r="M9" s="596"/>
      <c r="N9" s="347"/>
      <c r="O9" s="350"/>
      <c r="P9" s="229"/>
      <c r="Q9" s="561">
        <f>SUMIFS('SAÍDA NFE ILUMI'!D:D,'SAÍDA NFE ILUMI'!A:A,"&gt;="&amp;P4,'SAÍDA NFE ILUMI'!A:A,"&lt;="&amp;P5)+SUMIFS('Saídas-NFE-import'!D:D,'Saídas-NFE-import'!A:A,"&gt;="&amp;P4,'Saídas-NFE-import'!A:A,"&lt;="&amp;P5)</f>
        <v>1120588.8699999982</v>
      </c>
      <c r="R9" s="561"/>
      <c r="S9" s="561"/>
      <c r="T9" s="561"/>
      <c r="U9" s="562">
        <f>SUMIFS('Entradas-NFE-Import'!D:D,'Entradas-NFE-Import'!A:A,"&gt;="&amp;P4,'Entradas-NFE-Import'!A:A,"&lt;="&amp;P5)+SUMIFS('ENTRADA NFE ILUMI'!D:D,'ENTRADA NFE ILUMI'!A:A,"&gt;="&amp;P4,'ENTRADA NFE ILUMI'!A:A,"&lt;="&amp;P5)</f>
        <v>624281.02999999968</v>
      </c>
      <c r="V9" s="563"/>
      <c r="W9" s="563"/>
      <c r="X9" s="563"/>
      <c r="Y9" s="562">
        <f>Q9-U9</f>
        <v>496307.83999999857</v>
      </c>
      <c r="Z9" s="563"/>
      <c r="AA9" s="563"/>
      <c r="AB9" s="563"/>
    </row>
    <row r="10" spans="1:29">
      <c r="A10" s="316"/>
      <c r="B10" s="356"/>
      <c r="C10" s="356"/>
      <c r="D10" s="356"/>
      <c r="E10" s="356"/>
      <c r="F10" s="356"/>
      <c r="G10" s="344"/>
      <c r="H10" s="344"/>
      <c r="I10" s="344"/>
      <c r="J10" s="344"/>
      <c r="K10" s="344"/>
      <c r="L10" s="344"/>
      <c r="M10" s="344"/>
      <c r="N10" s="347"/>
      <c r="O10" s="350"/>
      <c r="P10" s="356"/>
      <c r="Q10" s="356"/>
      <c r="R10" s="356"/>
      <c r="S10" s="356"/>
      <c r="T10" s="356"/>
      <c r="U10" s="356"/>
      <c r="V10" s="344"/>
      <c r="W10" s="344"/>
      <c r="X10" s="344"/>
      <c r="Y10" s="344"/>
      <c r="Z10" s="344"/>
      <c r="AA10" s="344"/>
      <c r="AB10" s="344"/>
    </row>
    <row r="11" spans="1:29">
      <c r="B11" s="357"/>
      <c r="C11" s="357"/>
      <c r="D11" s="357"/>
      <c r="E11" s="357"/>
      <c r="F11" s="346"/>
      <c r="G11" s="346"/>
      <c r="H11" s="346"/>
      <c r="I11" s="346"/>
      <c r="J11" s="346"/>
      <c r="K11" s="346"/>
      <c r="L11" s="346"/>
      <c r="M11" s="346"/>
      <c r="N11" s="347"/>
      <c r="O11" s="350"/>
      <c r="P11" s="229"/>
      <c r="Q11" s="357"/>
      <c r="R11" s="357"/>
      <c r="S11" s="357"/>
      <c r="T11" s="357"/>
      <c r="U11" s="346"/>
      <c r="V11" s="346"/>
      <c r="W11" s="346"/>
      <c r="X11" s="346"/>
      <c r="Y11" s="346"/>
      <c r="Z11" s="346"/>
      <c r="AA11" s="346"/>
      <c r="AB11" s="346"/>
    </row>
    <row r="12" spans="1:29">
      <c r="A12" s="229"/>
      <c r="B12" s="563" t="s">
        <v>13</v>
      </c>
      <c r="C12" s="563"/>
      <c r="D12" s="563"/>
      <c r="E12" s="563"/>
      <c r="F12" s="563"/>
      <c r="G12" s="563"/>
      <c r="H12" s="563"/>
      <c r="I12" s="563"/>
      <c r="J12" s="563"/>
      <c r="K12" s="563"/>
      <c r="L12" s="563"/>
      <c r="M12" s="563"/>
      <c r="N12" s="347"/>
      <c r="O12" s="350"/>
      <c r="Q12" s="567" t="s">
        <v>13</v>
      </c>
      <c r="R12" s="568"/>
      <c r="S12" s="568"/>
      <c r="T12" s="568"/>
      <c r="U12" s="568"/>
      <c r="V12" s="568"/>
      <c r="W12" s="568"/>
      <c r="X12" s="568"/>
      <c r="Y12" s="568"/>
      <c r="Z12" s="568"/>
      <c r="AA12" s="568"/>
      <c r="AB12" s="569"/>
    </row>
    <row r="13" spans="1:29">
      <c r="A13" s="37"/>
      <c r="B13" s="563" t="s">
        <v>14</v>
      </c>
      <c r="C13" s="563"/>
      <c r="D13" s="563"/>
      <c r="E13" s="563"/>
      <c r="F13" s="563" t="s">
        <v>15</v>
      </c>
      <c r="G13" s="563"/>
      <c r="H13" s="563"/>
      <c r="I13" s="563"/>
      <c r="J13" s="563" t="s">
        <v>12</v>
      </c>
      <c r="K13" s="563"/>
      <c r="L13" s="563"/>
      <c r="M13" s="563"/>
      <c r="N13" s="347"/>
      <c r="O13" s="350"/>
      <c r="Q13" s="567" t="s">
        <v>14</v>
      </c>
      <c r="R13" s="568"/>
      <c r="S13" s="568"/>
      <c r="T13" s="569"/>
      <c r="U13" s="567" t="s">
        <v>15</v>
      </c>
      <c r="V13" s="568"/>
      <c r="W13" s="568"/>
      <c r="X13" s="569"/>
      <c r="Y13" s="567" t="s">
        <v>12</v>
      </c>
      <c r="Z13" s="568"/>
      <c r="AA13" s="568"/>
      <c r="AB13" s="569"/>
    </row>
    <row r="14" spans="1:29" ht="15.75">
      <c r="A14" s="229"/>
      <c r="B14" s="564">
        <f>SUMIFS('ENTRADAS - FIN - ilumi'!D:D,'ENTRADAS - FIN - ilumi'!A:A,"&gt;="&amp;A4,'ENTRADAS - FIN - ilumi'!A:A,"&lt;="&amp;A5)</f>
        <v>810757.62999999989</v>
      </c>
      <c r="C14" s="564"/>
      <c r="D14" s="564"/>
      <c r="E14" s="564"/>
      <c r="F14" s="564">
        <f>SUMIFS('SAIDAS-FIN-ilumi'!D:D,'SAIDAS-FIN-ilumi'!A:A,"&gt;="&amp;A4,'SAIDAS-FIN-ilumi'!A:A,"&lt;="&amp;A5)</f>
        <v>830291.4300000004</v>
      </c>
      <c r="G14" s="564"/>
      <c r="H14" s="564"/>
      <c r="I14" s="564"/>
      <c r="J14" s="565">
        <f>B14+D15-F14</f>
        <v>-19533.800000000512</v>
      </c>
      <c r="K14" s="566"/>
      <c r="L14" s="566"/>
      <c r="M14" s="566"/>
      <c r="N14" s="347"/>
      <c r="O14" s="350"/>
      <c r="Q14" s="570">
        <f>SUMIFS('SAÍDA NFE ILUMI'!D:D,'SAÍDA NFE ILUMI'!A:A,"&gt;="&amp;P4,'SAÍDA NFE ILUMI'!A:A,"&lt;="&amp;P5)</f>
        <v>805816.76999999816</v>
      </c>
      <c r="R14" s="570"/>
      <c r="S14" s="570"/>
      <c r="T14" s="570"/>
      <c r="U14" s="570">
        <f>SUMIFS('ENTRADA NFE ILUMI'!D:D,'ENTRADA NFE ILUMI'!A:A,"&gt;="&amp;P4,'ENTRADA NFE ILUMI'!A:A,"&lt;="&amp;P5)</f>
        <v>465723.82999999967</v>
      </c>
      <c r="V14" s="570"/>
      <c r="W14" s="570"/>
      <c r="X14" s="570"/>
      <c r="Y14" s="571">
        <f>Q14-U14</f>
        <v>340092.93999999849</v>
      </c>
      <c r="Z14" s="572"/>
      <c r="AA14" s="572"/>
      <c r="AB14" s="572"/>
    </row>
    <row r="15" spans="1:29">
      <c r="A15" s="229"/>
      <c r="B15" s="339"/>
      <c r="C15" s="339"/>
      <c r="D15" s="339"/>
      <c r="E15" s="339"/>
      <c r="F15" s="339"/>
      <c r="G15" s="233"/>
      <c r="H15" s="233"/>
      <c r="I15" s="233"/>
      <c r="J15" s="233"/>
      <c r="K15" s="233"/>
      <c r="L15" s="233"/>
      <c r="M15" s="314"/>
      <c r="N15" s="345"/>
      <c r="O15" s="350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314"/>
    </row>
    <row r="16" spans="1:29">
      <c r="B16" s="239"/>
      <c r="C16" s="239"/>
      <c r="D16" s="239"/>
      <c r="E16" s="239"/>
      <c r="F16" s="232"/>
      <c r="G16" s="232"/>
      <c r="H16" s="232"/>
      <c r="I16" s="232"/>
      <c r="J16" s="232"/>
      <c r="K16" s="232"/>
      <c r="L16" s="232"/>
      <c r="M16" s="232"/>
      <c r="O16" s="350"/>
      <c r="P16" s="229"/>
      <c r="Q16" s="239"/>
      <c r="R16" s="239"/>
      <c r="S16" s="239"/>
      <c r="T16" s="239"/>
      <c r="U16" s="232"/>
      <c r="V16" s="232"/>
      <c r="W16" s="232"/>
      <c r="X16" s="232"/>
      <c r="Y16" s="232"/>
      <c r="Z16" s="232"/>
      <c r="AA16" s="232"/>
      <c r="AB16" s="232"/>
    </row>
    <row r="17" spans="1:28">
      <c r="A17" s="229"/>
      <c r="B17" s="563" t="s">
        <v>16</v>
      </c>
      <c r="C17" s="563"/>
      <c r="D17" s="563"/>
      <c r="E17" s="563"/>
      <c r="F17" s="563"/>
      <c r="G17" s="563"/>
      <c r="H17" s="563"/>
      <c r="I17" s="563"/>
      <c r="J17" s="563"/>
      <c r="K17" s="563"/>
      <c r="L17" s="563"/>
      <c r="M17" s="563"/>
      <c r="N17" s="35"/>
      <c r="O17" s="350"/>
      <c r="P17" s="229"/>
      <c r="Q17" s="563" t="s">
        <v>16</v>
      </c>
      <c r="R17" s="563"/>
      <c r="S17" s="563"/>
      <c r="T17" s="563"/>
      <c r="U17" s="563"/>
      <c r="V17" s="563"/>
      <c r="W17" s="563"/>
      <c r="X17" s="563"/>
      <c r="Y17" s="563"/>
      <c r="Z17" s="563"/>
      <c r="AA17" s="563"/>
      <c r="AB17" s="563"/>
    </row>
    <row r="18" spans="1:28">
      <c r="A18" s="229"/>
      <c r="B18" s="563" t="s">
        <v>17</v>
      </c>
      <c r="C18" s="563"/>
      <c r="D18" s="563"/>
      <c r="E18" s="563"/>
      <c r="F18" s="563" t="s">
        <v>15</v>
      </c>
      <c r="G18" s="563"/>
      <c r="H18" s="563"/>
      <c r="I18" s="563"/>
      <c r="J18" s="563" t="s">
        <v>12</v>
      </c>
      <c r="K18" s="563"/>
      <c r="L18" s="563"/>
      <c r="M18" s="563"/>
      <c r="N18" s="35"/>
      <c r="O18" s="350"/>
      <c r="P18" s="229"/>
      <c r="Q18" s="563" t="s">
        <v>17</v>
      </c>
      <c r="R18" s="563"/>
      <c r="S18" s="563"/>
      <c r="T18" s="563"/>
      <c r="U18" s="563" t="s">
        <v>15</v>
      </c>
      <c r="V18" s="563"/>
      <c r="W18" s="563"/>
      <c r="X18" s="563"/>
      <c r="Y18" s="563" t="s">
        <v>12</v>
      </c>
      <c r="Z18" s="563"/>
      <c r="AA18" s="563"/>
      <c r="AB18" s="563"/>
    </row>
    <row r="19" spans="1:28" ht="15.75">
      <c r="A19" s="229"/>
      <c r="B19" s="591">
        <f>SUMIFS('Entradas- fin- import'!D:D,'Entradas- fin- import'!A:A,"&gt;="&amp;A4,'Entradas- fin- import'!A:A,"&lt;="&amp;A5)</f>
        <v>275640.99</v>
      </c>
      <c r="C19" s="591"/>
      <c r="D19" s="591"/>
      <c r="E19" s="591"/>
      <c r="F19" s="591">
        <f>SUMIFS('Saidas-fin-import'!D:D,'Saidas-fin-import'!A:A,"&gt;="&amp;A4,'Saidas-fin-import'!A:A,"&lt;="&amp;A5)</f>
        <v>336579.77999999991</v>
      </c>
      <c r="G19" s="591"/>
      <c r="H19" s="591"/>
      <c r="I19" s="591"/>
      <c r="J19" s="595">
        <f>B19+D20-F19</f>
        <v>-60938.789999999921</v>
      </c>
      <c r="K19" s="596"/>
      <c r="L19" s="596"/>
      <c r="M19" s="596"/>
      <c r="N19" s="35"/>
      <c r="O19" s="350"/>
      <c r="P19" s="229"/>
      <c r="Q19" s="561">
        <f>SUMIFS('Saídas-NFE-import'!D:D,'Saídas-NFE-import'!A:A,"&gt;="&amp;P4,'Saídas-NFE-import'!A:A,"&lt;="&amp;P5)</f>
        <v>314772.10000000003</v>
      </c>
      <c r="R19" s="561"/>
      <c r="S19" s="561"/>
      <c r="T19" s="561"/>
      <c r="U19" s="561">
        <f>SUMIFS('Entradas-NFE-Import'!D:D,'Entradas-NFE-Import'!A:A,"&gt;="&amp;P4,'Entradas-NFE-Import'!A:A,"&lt;="&amp;P5)</f>
        <v>158557.20000000001</v>
      </c>
      <c r="V19" s="561"/>
      <c r="W19" s="561"/>
      <c r="X19" s="561"/>
      <c r="Y19" s="562">
        <f>Q19-U19</f>
        <v>156214.90000000002</v>
      </c>
      <c r="Z19" s="563"/>
      <c r="AA19" s="563"/>
      <c r="AB19" s="563"/>
    </row>
    <row r="20" spans="1:28">
      <c r="A20" s="229"/>
      <c r="B20" s="339"/>
      <c r="C20" s="339"/>
      <c r="D20" s="339"/>
      <c r="E20" s="339"/>
      <c r="F20" s="339"/>
      <c r="G20" s="233"/>
      <c r="H20" s="233"/>
      <c r="I20" s="233"/>
      <c r="J20" s="233"/>
      <c r="K20" s="233"/>
      <c r="L20" s="233"/>
      <c r="M20" s="314"/>
      <c r="N20" s="345"/>
      <c r="O20" s="350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314"/>
    </row>
    <row r="21" spans="1:28">
      <c r="A21" s="35"/>
      <c r="B21" s="344"/>
      <c r="C21" s="344"/>
      <c r="D21" s="344"/>
      <c r="E21" s="344"/>
      <c r="F21" s="345"/>
      <c r="G21" s="345"/>
      <c r="H21" s="345"/>
      <c r="I21" s="345"/>
      <c r="J21" s="345"/>
      <c r="K21" s="345"/>
      <c r="L21" s="345"/>
      <c r="M21" s="348"/>
      <c r="N21" s="345"/>
      <c r="O21" s="350"/>
      <c r="Q21" s="344"/>
      <c r="R21" s="344"/>
      <c r="S21" s="344"/>
      <c r="T21" s="344"/>
      <c r="U21" s="345"/>
      <c r="V21" s="345"/>
      <c r="W21" s="345"/>
      <c r="X21" s="345"/>
      <c r="Y21" s="345"/>
      <c r="Z21" s="345"/>
      <c r="AA21" s="345"/>
      <c r="AB21" s="348"/>
    </row>
    <row r="22" spans="1:28"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9"/>
      <c r="N22" s="345"/>
      <c r="O22" s="350"/>
    </row>
    <row r="23" spans="1:28">
      <c r="A23" s="229"/>
      <c r="B23" s="572" t="s">
        <v>13</v>
      </c>
      <c r="C23" s="572"/>
      <c r="D23" s="572"/>
      <c r="E23" s="572"/>
      <c r="F23" s="229"/>
      <c r="G23" s="229"/>
      <c r="H23" s="592" t="s">
        <v>16</v>
      </c>
      <c r="I23" s="593"/>
      <c r="J23" s="593"/>
      <c r="K23" s="594"/>
      <c r="L23" s="35"/>
      <c r="M23" s="35"/>
      <c r="O23" s="350"/>
    </row>
    <row r="24" spans="1:28">
      <c r="A24" s="229"/>
      <c r="B24" s="363" t="s">
        <v>18</v>
      </c>
      <c r="C24" s="362" t="s">
        <v>19</v>
      </c>
      <c r="D24" s="362" t="s">
        <v>20</v>
      </c>
      <c r="E24" s="359" t="s">
        <v>21</v>
      </c>
      <c r="F24" s="229"/>
      <c r="G24" s="229"/>
      <c r="H24" s="363" t="s">
        <v>18</v>
      </c>
      <c r="I24" s="362" t="s">
        <v>19</v>
      </c>
      <c r="J24" s="362" t="s">
        <v>22</v>
      </c>
      <c r="K24" s="410" t="s">
        <v>12</v>
      </c>
      <c r="M24" s="35"/>
      <c r="O24" s="350"/>
    </row>
    <row r="25" spans="1:28">
      <c r="A25" s="229"/>
      <c r="B25" s="364" t="s">
        <v>23</v>
      </c>
      <c r="C25" s="361">
        <f>SUMIF('ENTRADAS - FIN - ilumi'!F:F,"Janeiro",'ENTRADAS - FIN - ilumi'!D:D)</f>
        <v>132275.39999999997</v>
      </c>
      <c r="D25" s="361">
        <f>SUMIF('SAIDAS-FIN-ilumi'!F:F,"Janeiro",'SAIDAS-FIN-ilumi'!D:D)</f>
        <v>116350.31</v>
      </c>
      <c r="E25" s="360">
        <f>D15+C25-D25</f>
        <v>15925.089999999967</v>
      </c>
      <c r="F25" s="229"/>
      <c r="G25" s="229"/>
      <c r="H25" s="364" t="s">
        <v>23</v>
      </c>
      <c r="I25" s="365">
        <f>SUMIF('Entradas- fin- import'!E:E,"Janeiro",'Entradas- fin- import'!D:D)</f>
        <v>13593.52</v>
      </c>
      <c r="J25" s="365">
        <f>SUMIF('Saidas-fin-import'!E:E,"Janeiro",'Saidas-fin-import'!D:D)</f>
        <v>74876.929999999978</v>
      </c>
      <c r="K25" s="360">
        <f>I25-J25</f>
        <v>-61283.409999999974</v>
      </c>
      <c r="M25" s="35"/>
      <c r="O25" s="350"/>
    </row>
    <row r="26" spans="1:28">
      <c r="A26" s="229"/>
      <c r="B26" s="364" t="s">
        <v>24</v>
      </c>
      <c r="C26" s="361">
        <f>SUMIF('ENTRADAS - FIN - ilumi'!F:F,"Fevereiro",'ENTRADAS - FIN - ilumi'!D:D)</f>
        <v>126679.25000000001</v>
      </c>
      <c r="D26" s="361">
        <f>SUMIF('SAIDAS-FIN-ilumi'!F:F,"FEVEREIRO",'SAIDAS-FIN-ilumi'!D:D)</f>
        <v>133410.26</v>
      </c>
      <c r="E26" s="360">
        <f t="shared" ref="E26:E29" si="0">D16+C26-D26</f>
        <v>-6731.0099999999948</v>
      </c>
      <c r="F26" s="229"/>
      <c r="G26" s="229"/>
      <c r="H26" s="364" t="s">
        <v>24</v>
      </c>
      <c r="I26" s="365">
        <f>SUMIF('Entradas- fin- import'!E:E,"FEVEREIRO",'Entradas- fin- import'!D:D)</f>
        <v>37091.380000000005</v>
      </c>
      <c r="J26" s="365">
        <f>SUMIF('Saidas-fin-import'!E:E,"FEVEREIRO",'Saidas-fin-import'!D:D)</f>
        <v>44764.380000000005</v>
      </c>
      <c r="K26" s="360">
        <f t="shared" ref="K26:K29" si="1">I26-J26</f>
        <v>-7673</v>
      </c>
      <c r="M26" s="35"/>
      <c r="O26" s="350"/>
    </row>
    <row r="27" spans="1:28">
      <c r="A27" s="229"/>
      <c r="B27" s="364" t="s">
        <v>25</v>
      </c>
      <c r="C27" s="361">
        <f>SUMIF('ENTRADAS - FIN - ilumi'!F:F,"MARÇO",'ENTRADAS - FIN - ilumi'!D:D)</f>
        <v>183424.12</v>
      </c>
      <c r="D27" s="361">
        <f>SUMIF('SAIDAS-FIN-ilumi'!F:F,"MARÇO",'SAIDAS-FIN-ilumi'!D:D)</f>
        <v>192968.08000000005</v>
      </c>
      <c r="E27" s="360">
        <f t="shared" si="0"/>
        <v>-9543.9600000000501</v>
      </c>
      <c r="F27" s="229"/>
      <c r="G27" s="229"/>
      <c r="H27" s="364" t="s">
        <v>25</v>
      </c>
      <c r="I27" s="365">
        <f>SUMIF('Entradas- fin- import'!E:E,"MARÇO",'Entradas- fin- import'!D:D)</f>
        <v>37723.490000000005</v>
      </c>
      <c r="J27" s="365">
        <f>SUMIF('Saidas-fin-import'!E:E,"MARÇO",'Saidas-fin-import'!D:D)</f>
        <v>35226.35</v>
      </c>
      <c r="K27" s="360">
        <f t="shared" si="1"/>
        <v>2497.1400000000067</v>
      </c>
      <c r="M27" s="37"/>
      <c r="O27" s="350"/>
    </row>
    <row r="28" spans="1:28">
      <c r="A28" s="229"/>
      <c r="B28" s="364" t="s">
        <v>26</v>
      </c>
      <c r="C28" s="361">
        <f>SUMIF('ENTRADAS - FIN - ilumi'!F:F,"Abril",'ENTRADAS - FIN - ilumi'!D:D)</f>
        <v>214380.68000000005</v>
      </c>
      <c r="D28" s="361">
        <f>SUMIF('SAIDAS-FIN-ilumi'!F:F,"ABRIL",'SAIDAS-FIN-ilumi'!D:D)</f>
        <v>231574.29999999984</v>
      </c>
      <c r="E28" s="360">
        <f t="shared" si="0"/>
        <v>-17193.619999999792</v>
      </c>
      <c r="F28" s="229"/>
      <c r="G28" s="229"/>
      <c r="H28" s="364" t="s">
        <v>26</v>
      </c>
      <c r="I28" s="365">
        <f>SUMIF('Entradas- fin- import'!E:E,"ABRIL",'Entradas- fin- import'!D:D)</f>
        <v>105609.12</v>
      </c>
      <c r="J28" s="365">
        <f>SUMIF('Saidas-fin-import'!E:E,"ABRIL",'Saidas-fin-import'!D:D)</f>
        <v>108035.78</v>
      </c>
      <c r="K28" s="360">
        <f t="shared" si="1"/>
        <v>-2426.6600000000035</v>
      </c>
      <c r="M28" s="37"/>
      <c r="O28" s="350"/>
    </row>
    <row r="29" spans="1:28">
      <c r="A29" s="229"/>
      <c r="B29" s="364" t="s">
        <v>27</v>
      </c>
      <c r="C29" s="361">
        <f>SUMIF('ENTRADAS - FIN - ilumi'!F:F,"Maio",'ENTRADAS - FIN - ilumi'!D:D)</f>
        <v>153998.17999999991</v>
      </c>
      <c r="D29" s="361">
        <f>SUMIF('SAIDAS-FIN-ilumi'!F:F,"MAIO",'SAIDAS-FIN-ilumi'!D:D)</f>
        <v>155988.48000000001</v>
      </c>
      <c r="E29" s="360">
        <f t="shared" si="0"/>
        <v>-1990.3000000001048</v>
      </c>
      <c r="F29" s="229"/>
      <c r="G29" s="229"/>
      <c r="H29" s="364" t="s">
        <v>27</v>
      </c>
      <c r="I29" s="365">
        <f>SUMIF('Entradas- fin- import'!E:E,"MAIO",'Entradas- fin- import'!D:D)</f>
        <v>80008.320000000007</v>
      </c>
      <c r="J29" s="365">
        <f>SUMIF('Saidas-fin-import'!E:E,"MAIO",'Saidas-fin-import'!D:D)</f>
        <v>70645.67</v>
      </c>
      <c r="K29" s="360">
        <f t="shared" si="1"/>
        <v>9362.6500000000087</v>
      </c>
      <c r="M29" s="37"/>
      <c r="O29" s="350"/>
    </row>
    <row r="30" spans="1:28">
      <c r="A30" s="229"/>
      <c r="B30" s="364" t="s">
        <v>29</v>
      </c>
      <c r="C30" s="361">
        <f>SUMIF('ENTRADAS - FIN - ilumi'!F:F,"Junho",'ENTRADAS - FIN - ilumi'!D:D)</f>
        <v>0</v>
      </c>
      <c r="D30" s="361">
        <f>SUMIF('SAIDAS-FIN-ilumi'!F:F,"JUNHO",'SAIDAS-FIN-ilumi'!D:D)</f>
        <v>0</v>
      </c>
      <c r="E30" s="358" t="s">
        <v>28</v>
      </c>
      <c r="F30" s="229"/>
      <c r="G30" s="229"/>
      <c r="H30" s="364" t="s">
        <v>29</v>
      </c>
      <c r="I30" s="365">
        <f>SUMIF('Entradas- fin- import'!E:E,"JUNHO",'Entradas- fin- import'!D:D)</f>
        <v>0</v>
      </c>
      <c r="J30" s="365">
        <f>SUMIF('Saidas-fin-import'!E:E,"JUNHO",'Saidas-fin-import'!D:D)</f>
        <v>0</v>
      </c>
      <c r="K30" s="366" t="s">
        <v>28</v>
      </c>
      <c r="M30" s="37"/>
      <c r="O30" s="350"/>
    </row>
    <row r="31" spans="1:28">
      <c r="A31" s="229"/>
      <c r="B31" s="364" t="s">
        <v>30</v>
      </c>
      <c r="C31" s="361">
        <f>SUMIF('ENTRADAS - FIN - ilumi'!F:F,"Julho",'ENTRADAS - FIN - ilumi'!D:D)</f>
        <v>0</v>
      </c>
      <c r="D31" s="361">
        <f>SUMIF('SAIDAS-FIN-ilumi'!F:F,"JULHO",'SAIDAS-FIN-ilumi'!D:D)</f>
        <v>0</v>
      </c>
      <c r="E31" s="358" t="s">
        <v>28</v>
      </c>
      <c r="F31" s="229"/>
      <c r="G31" s="229"/>
      <c r="H31" s="364" t="s">
        <v>31</v>
      </c>
      <c r="I31" s="365">
        <f>SUMIF('Entradas- fin- import'!E:E,"JULHO",'Entradas- fin- import'!D:D)</f>
        <v>0</v>
      </c>
      <c r="J31" s="365">
        <f>SUMIF('Saidas-fin-import'!E:E,"JULHO",'Saidas-fin-import'!D:D)</f>
        <v>0</v>
      </c>
      <c r="K31" s="366" t="s">
        <v>28</v>
      </c>
      <c r="M31" s="37"/>
      <c r="O31" s="350"/>
    </row>
    <row r="32" spans="1:28">
      <c r="A32" s="229"/>
      <c r="B32" s="364" t="s">
        <v>32</v>
      </c>
      <c r="C32" s="361">
        <f>SUMIF('ENTRADAS - FIN - ilumi'!F:F,"Agosto",'ENTRADAS - FIN - ilumi'!D:D)</f>
        <v>0</v>
      </c>
      <c r="D32" s="361">
        <f>SUMIF('SAIDAS-FIN-ilumi'!F:F,"AGOSTO",'SAIDAS-FIN-ilumi'!D:D)</f>
        <v>0</v>
      </c>
      <c r="E32" s="358" t="s">
        <v>28</v>
      </c>
      <c r="F32" s="229"/>
      <c r="G32" s="229"/>
      <c r="H32" s="364" t="s">
        <v>33</v>
      </c>
      <c r="I32" s="365">
        <f>SUMIF('Entradas- fin- import'!E:E,"AGOSTO",'Entradas- fin- import'!D:D)</f>
        <v>0</v>
      </c>
      <c r="J32" s="365">
        <f>SUMIF('Saidas-fin-import'!E:E,"AGOSTO",'Saidas-fin-import'!D:D)</f>
        <v>0</v>
      </c>
      <c r="K32" s="366" t="s">
        <v>28</v>
      </c>
      <c r="M32" s="37"/>
      <c r="O32" s="350"/>
    </row>
    <row r="33" spans="1:16">
      <c r="A33" s="229"/>
      <c r="B33" s="364" t="s">
        <v>34</v>
      </c>
      <c r="C33" s="361">
        <f>SUMIF('ENTRADAS - FIN - ilumi'!F:F,"Setembro",'ENTRADAS - FIN - ilumi'!D:D)</f>
        <v>0</v>
      </c>
      <c r="D33" s="361">
        <f>SUMIF('SAIDAS-FIN-ilumi'!F:F,"SETEMBRO",'SAIDAS-FIN-ilumi'!D:D)</f>
        <v>0</v>
      </c>
      <c r="E33" s="358" t="s">
        <v>28</v>
      </c>
      <c r="F33" s="229"/>
      <c r="G33" s="229"/>
      <c r="H33" s="364" t="s">
        <v>34</v>
      </c>
      <c r="I33" s="365">
        <f>SUMIF('Entradas- fin- import'!E:E,"SETEMBRO",'Entradas- fin- import'!D:D)</f>
        <v>0</v>
      </c>
      <c r="J33" s="365">
        <f>SUMIF('Saidas-fin-import'!E:E,"SETEMBRO",'Saidas-fin-import'!D:D)</f>
        <v>0</v>
      </c>
      <c r="K33" s="366" t="s">
        <v>28</v>
      </c>
      <c r="M33" s="37"/>
      <c r="O33" s="350"/>
    </row>
    <row r="34" spans="1:16">
      <c r="A34" s="229"/>
      <c r="B34" s="364" t="s">
        <v>35</v>
      </c>
      <c r="C34" s="361">
        <f>SUMIF('ENTRADAS - FIN - ilumi'!F:F,"Outubro",'ENTRADAS - FIN - ilumi'!D:D)</f>
        <v>0</v>
      </c>
      <c r="D34" s="361">
        <f>SUMIF('SAIDAS-FIN-ilumi'!F:F,"OUTUBRO",'SAIDAS-FIN-ilumi'!D:D)</f>
        <v>0</v>
      </c>
      <c r="E34" s="358" t="s">
        <v>28</v>
      </c>
      <c r="F34" s="229"/>
      <c r="G34" s="229"/>
      <c r="H34" s="364" t="s">
        <v>35</v>
      </c>
      <c r="I34" s="365">
        <f>SUMIF('Entradas- fin- import'!E:E,"OUTUBRO",'Entradas- fin- import'!D:D)</f>
        <v>0</v>
      </c>
      <c r="J34" s="365">
        <f>SUMIF('Saidas-fin-import'!E:E,"OUTUBRO",'Saidas-fin-import'!D:D)</f>
        <v>0</v>
      </c>
      <c r="K34" s="366" t="s">
        <v>28</v>
      </c>
      <c r="M34" s="37"/>
      <c r="O34" s="350"/>
    </row>
    <row r="35" spans="1:16">
      <c r="A35" s="229"/>
      <c r="B35" s="364" t="s">
        <v>36</v>
      </c>
      <c r="C35" s="361">
        <f>SUMIF('ENTRADAS - FIN - ilumi'!F:F,"Novembro",'ENTRADAS - FIN - ilumi'!D:D)</f>
        <v>0</v>
      </c>
      <c r="D35" s="361">
        <f>SUMIF('SAIDAS-FIN-ilumi'!F:F,"NOVEMBRO",'SAIDAS-FIN-ilumi'!D:D)</f>
        <v>0</v>
      </c>
      <c r="E35" s="358" t="s">
        <v>28</v>
      </c>
      <c r="F35" s="229"/>
      <c r="G35" s="229"/>
      <c r="H35" s="364" t="s">
        <v>36</v>
      </c>
      <c r="I35" s="365">
        <f>SUMIF('Entradas- fin- import'!E:E,"NVEMBRO",'Entradas- fin- import'!D:D)</f>
        <v>0</v>
      </c>
      <c r="J35" s="365">
        <f>SUMIF('Saidas-fin-import'!E:E,"NOVEMBRO",'Saidas-fin-import'!D:D)</f>
        <v>0</v>
      </c>
      <c r="K35" s="366" t="s">
        <v>28</v>
      </c>
      <c r="M35" s="37"/>
      <c r="O35" s="350"/>
    </row>
    <row r="36" spans="1:16">
      <c r="A36" s="229"/>
      <c r="B36" s="364" t="s">
        <v>37</v>
      </c>
      <c r="C36" s="361">
        <f>SUMIF('ENTRADAS - FIN - ilumi'!F:F,"Dezembro",'ENTRADAS - FIN - ilumi'!D:D)</f>
        <v>0</v>
      </c>
      <c r="D36" s="361">
        <f>SUMIF('SAIDAS-FIN-ilumi'!F:F,"DEZEMBRO",'SAIDAS-FIN-ilumi'!D:D)</f>
        <v>0</v>
      </c>
      <c r="E36" s="358" t="s">
        <v>28</v>
      </c>
      <c r="F36" s="229"/>
      <c r="G36" s="229"/>
      <c r="H36" s="364" t="s">
        <v>37</v>
      </c>
      <c r="I36" s="365">
        <f>SUMIF('Entradas- fin- import'!E:E,"DEZEMBRO",'Entradas- fin- import'!D:D)</f>
        <v>0</v>
      </c>
      <c r="J36" s="365">
        <f>SUMIF('Saidas-fin-import'!E:E,"DEZEMBRO",'Saidas-fin-import'!D:D)</f>
        <v>0</v>
      </c>
      <c r="K36" s="366" t="s">
        <v>28</v>
      </c>
      <c r="M36" s="37"/>
      <c r="O36" s="350"/>
    </row>
    <row r="37" spans="1:16">
      <c r="A37" s="229"/>
      <c r="B37" s="364" t="s">
        <v>38</v>
      </c>
      <c r="C37" s="358">
        <f>SUM(C25:C36)</f>
        <v>810757.62999999989</v>
      </c>
      <c r="D37" s="361">
        <f>SUM(D25:D36)</f>
        <v>830291.42999999982</v>
      </c>
      <c r="E37" s="358">
        <f>SUM(E25:E28)</f>
        <v>-17543.499999999869</v>
      </c>
      <c r="F37" s="229"/>
      <c r="G37" s="229"/>
      <c r="H37" s="364" t="s">
        <v>38</v>
      </c>
      <c r="I37" s="358">
        <f>SUM(I25:I36)</f>
        <v>274025.83</v>
      </c>
      <c r="J37" s="358">
        <f>SUM(J25:J36)</f>
        <v>333549.10999999993</v>
      </c>
      <c r="K37" s="358">
        <f>SUM(K25:K36)</f>
        <v>-59523.279999999955</v>
      </c>
      <c r="M37" s="37"/>
      <c r="O37" s="350"/>
    </row>
    <row r="38" spans="1:16">
      <c r="B38" s="233"/>
      <c r="C38" s="233"/>
      <c r="D38" s="233"/>
      <c r="E38" s="233"/>
      <c r="H38" s="233"/>
      <c r="I38" s="233"/>
      <c r="J38" s="233"/>
      <c r="K38" s="233"/>
      <c r="L38" s="233"/>
      <c r="O38" s="350"/>
      <c r="P38" s="35"/>
    </row>
    <row r="39" spans="1:16">
      <c r="F39" s="232"/>
      <c r="O39" s="350"/>
      <c r="P39" s="35"/>
    </row>
    <row r="40" spans="1:16">
      <c r="A40" s="229"/>
      <c r="F40" s="35"/>
      <c r="G40" s="35"/>
      <c r="O40" s="350"/>
      <c r="P40" s="35"/>
    </row>
    <row r="41" spans="1:16">
      <c r="A41" s="229"/>
      <c r="F41" s="339"/>
      <c r="O41" s="350"/>
      <c r="P41" s="35"/>
    </row>
    <row r="42" spans="1:16">
      <c r="A42" s="229"/>
      <c r="F42" s="35"/>
      <c r="O42" s="350"/>
      <c r="P42" s="35"/>
    </row>
    <row r="43" spans="1:16">
      <c r="A43" s="229"/>
      <c r="F43" s="35"/>
      <c r="O43" s="350"/>
      <c r="P43" s="35"/>
    </row>
    <row r="44" spans="1:16">
      <c r="A44" s="229"/>
      <c r="F44" s="35"/>
      <c r="O44" s="350"/>
      <c r="P44" s="35"/>
    </row>
    <row r="45" spans="1:16">
      <c r="A45" s="229"/>
      <c r="F45" s="35"/>
      <c r="O45" s="350"/>
      <c r="P45" s="35"/>
    </row>
    <row r="46" spans="1:16">
      <c r="A46" s="229"/>
      <c r="F46" s="35"/>
      <c r="O46" s="350"/>
      <c r="P46" s="35"/>
    </row>
    <row r="47" spans="1:16">
      <c r="A47" s="229"/>
      <c r="F47" s="35"/>
      <c r="O47" s="350"/>
      <c r="P47" s="35"/>
    </row>
    <row r="48" spans="1:16">
      <c r="A48" s="229"/>
      <c r="F48" s="35"/>
      <c r="O48" s="350"/>
      <c r="P48" s="35"/>
    </row>
    <row r="49" spans="1:16">
      <c r="A49" s="229"/>
      <c r="F49" s="35"/>
      <c r="O49" s="350"/>
      <c r="P49" s="35"/>
    </row>
    <row r="50" spans="1:16">
      <c r="A50" s="229"/>
      <c r="F50" s="35"/>
      <c r="O50" s="350"/>
      <c r="P50" s="35"/>
    </row>
    <row r="51" spans="1:16">
      <c r="A51" s="229"/>
      <c r="F51" s="35"/>
      <c r="O51" s="350"/>
      <c r="P51" s="35"/>
    </row>
    <row r="52" spans="1:16">
      <c r="A52" s="229"/>
      <c r="F52" s="35"/>
      <c r="O52" s="350"/>
      <c r="P52" s="35"/>
    </row>
    <row r="53" spans="1:16">
      <c r="A53" s="229"/>
      <c r="B53" s="232"/>
      <c r="C53" s="232"/>
      <c r="D53" s="232"/>
      <c r="E53" s="232"/>
      <c r="F53" s="35"/>
      <c r="H53" s="232"/>
      <c r="I53" s="232"/>
      <c r="J53" s="232"/>
      <c r="K53" s="232"/>
      <c r="O53" s="350"/>
      <c r="P53" s="35"/>
    </row>
    <row r="54" spans="1:16">
      <c r="A54" s="229"/>
      <c r="B54" s="590" t="s">
        <v>39</v>
      </c>
      <c r="C54" s="590"/>
      <c r="D54" s="590"/>
      <c r="E54" s="590"/>
      <c r="F54" s="35"/>
      <c r="G54" s="229"/>
      <c r="H54" s="590" t="s">
        <v>40</v>
      </c>
      <c r="I54" s="590"/>
      <c r="J54" s="590"/>
      <c r="K54" s="590"/>
      <c r="L54" s="35"/>
      <c r="O54" s="350"/>
      <c r="P54" s="35"/>
    </row>
    <row r="55" spans="1:16">
      <c r="A55" s="229"/>
      <c r="B55" s="384"/>
      <c r="C55" s="387" t="s">
        <v>41</v>
      </c>
      <c r="D55" s="387" t="s">
        <v>42</v>
      </c>
      <c r="E55" s="387" t="s">
        <v>38</v>
      </c>
      <c r="F55" s="35"/>
      <c r="G55" s="229"/>
      <c r="H55" s="384"/>
      <c r="I55" s="387" t="s">
        <v>41</v>
      </c>
      <c r="J55" s="387" t="s">
        <v>42</v>
      </c>
      <c r="K55" s="387" t="s">
        <v>38</v>
      </c>
      <c r="L55" s="35"/>
      <c r="O55" s="350"/>
      <c r="P55" s="35"/>
    </row>
    <row r="56" spans="1:16">
      <c r="A56" s="229"/>
      <c r="B56" s="386">
        <v>45658</v>
      </c>
      <c r="C56" s="388">
        <v>159260.53</v>
      </c>
      <c r="D56" s="388">
        <v>175562.16</v>
      </c>
      <c r="E56" s="389">
        <f>C56-D56</f>
        <v>-16301.630000000005</v>
      </c>
      <c r="F56" s="35"/>
      <c r="G56" s="229"/>
      <c r="H56" s="386">
        <v>45658</v>
      </c>
      <c r="I56" s="388">
        <v>19591.87</v>
      </c>
      <c r="J56" s="388">
        <v>19373.98</v>
      </c>
      <c r="K56" s="389">
        <f>I56-J56</f>
        <v>217.88999999999942</v>
      </c>
      <c r="L56" s="391"/>
      <c r="O56" s="350"/>
      <c r="P56" s="35"/>
    </row>
    <row r="57" spans="1:16">
      <c r="A57" s="229"/>
      <c r="B57" s="386">
        <v>45689</v>
      </c>
      <c r="C57" s="388">
        <v>205465.7</v>
      </c>
      <c r="D57" s="388">
        <v>187413.04</v>
      </c>
      <c r="E57" s="389">
        <f t="shared" ref="E57:E71" si="2">C57-D57</f>
        <v>18052.660000000003</v>
      </c>
      <c r="F57" s="35"/>
      <c r="G57" s="229"/>
      <c r="H57" s="386">
        <v>45689</v>
      </c>
      <c r="I57" s="388">
        <v>57998.11</v>
      </c>
      <c r="J57" s="388">
        <v>50024.99</v>
      </c>
      <c r="K57" s="389">
        <f t="shared" ref="K57:K67" si="3">I57-J57</f>
        <v>7973.1200000000026</v>
      </c>
      <c r="L57" s="391"/>
      <c r="O57" s="350"/>
      <c r="P57" s="35"/>
    </row>
    <row r="58" spans="1:16">
      <c r="A58" s="229"/>
      <c r="B58" s="386">
        <v>45717</v>
      </c>
      <c r="C58" s="388">
        <v>212696.97</v>
      </c>
      <c r="D58" s="388">
        <v>235789.98</v>
      </c>
      <c r="E58" s="389">
        <f t="shared" si="2"/>
        <v>-23093.010000000009</v>
      </c>
      <c r="F58" s="35"/>
      <c r="G58" s="229"/>
      <c r="H58" s="386">
        <v>45717</v>
      </c>
      <c r="I58" s="388">
        <v>56487.68</v>
      </c>
      <c r="J58" s="388">
        <v>51121.51</v>
      </c>
      <c r="K58" s="389">
        <f t="shared" si="3"/>
        <v>5366.1699999999983</v>
      </c>
      <c r="L58" s="391"/>
      <c r="O58" s="350"/>
    </row>
    <row r="59" spans="1:16">
      <c r="A59" s="229"/>
      <c r="B59" s="386">
        <v>45748</v>
      </c>
      <c r="C59" s="388">
        <v>225882.05</v>
      </c>
      <c r="D59" s="388">
        <v>204028.74</v>
      </c>
      <c r="E59" s="389">
        <f t="shared" si="2"/>
        <v>21853.309999999998</v>
      </c>
      <c r="F59" s="35"/>
      <c r="G59" s="229"/>
      <c r="H59" s="386">
        <v>45748</v>
      </c>
      <c r="I59" s="388">
        <v>61782.7</v>
      </c>
      <c r="J59" s="388">
        <v>82130.25</v>
      </c>
      <c r="K59" s="389">
        <f t="shared" si="3"/>
        <v>-20347.550000000003</v>
      </c>
      <c r="L59" s="35"/>
      <c r="O59" s="350"/>
    </row>
    <row r="60" spans="1:16">
      <c r="A60" s="229"/>
      <c r="B60" s="386">
        <v>45778</v>
      </c>
      <c r="C60" s="388">
        <v>252020.4</v>
      </c>
      <c r="D60" s="388">
        <v>225748.62</v>
      </c>
      <c r="E60" s="389">
        <f t="shared" si="2"/>
        <v>26271.78</v>
      </c>
      <c r="F60" s="35"/>
      <c r="G60" s="229"/>
      <c r="H60" s="386">
        <v>45778</v>
      </c>
      <c r="I60" s="388">
        <v>39163.78</v>
      </c>
      <c r="J60" s="388">
        <v>28422.61</v>
      </c>
      <c r="K60" s="389">
        <f t="shared" si="3"/>
        <v>10741.169999999998</v>
      </c>
      <c r="L60" s="35"/>
      <c r="O60" s="350"/>
    </row>
    <row r="61" spans="1:16">
      <c r="A61" s="229"/>
      <c r="B61" s="386">
        <v>45809</v>
      </c>
      <c r="C61" s="388">
        <v>159826.26</v>
      </c>
      <c r="D61" s="388">
        <v>201481.58</v>
      </c>
      <c r="E61" s="389">
        <f t="shared" si="2"/>
        <v>-41655.319999999978</v>
      </c>
      <c r="F61" s="35"/>
      <c r="G61" s="229"/>
      <c r="H61" s="386">
        <v>45809</v>
      </c>
      <c r="I61" s="388">
        <v>17138.87</v>
      </c>
      <c r="J61" s="388">
        <v>30422.9</v>
      </c>
      <c r="K61" s="389">
        <f t="shared" si="3"/>
        <v>-13284.030000000002</v>
      </c>
      <c r="L61" s="35"/>
      <c r="O61" s="350"/>
    </row>
    <row r="62" spans="1:16">
      <c r="A62" s="229"/>
      <c r="B62" s="386">
        <v>45839</v>
      </c>
      <c r="C62" s="388">
        <v>205248.67</v>
      </c>
      <c r="D62" s="388">
        <v>214354.38</v>
      </c>
      <c r="E62" s="389">
        <f t="shared" si="2"/>
        <v>-9105.7099999999919</v>
      </c>
      <c r="F62" s="35"/>
      <c r="G62" s="229"/>
      <c r="H62" s="386">
        <v>45839</v>
      </c>
      <c r="I62" s="388">
        <v>68605.59</v>
      </c>
      <c r="J62" s="388">
        <v>65737.81</v>
      </c>
      <c r="K62" s="389">
        <f t="shared" si="3"/>
        <v>2867.7799999999988</v>
      </c>
      <c r="L62" s="35"/>
      <c r="O62" s="350"/>
    </row>
    <row r="63" spans="1:16">
      <c r="A63" s="229"/>
      <c r="B63" s="386">
        <v>45870</v>
      </c>
      <c r="C63" s="388">
        <v>183735.51</v>
      </c>
      <c r="D63" s="388">
        <v>191802.78</v>
      </c>
      <c r="E63" s="389">
        <f t="shared" si="2"/>
        <v>-8067.2699999999895</v>
      </c>
      <c r="F63" s="35"/>
      <c r="G63" s="229"/>
      <c r="H63" s="386">
        <v>45870</v>
      </c>
      <c r="I63" s="388">
        <v>84229.75</v>
      </c>
      <c r="J63" s="388">
        <v>84871.12</v>
      </c>
      <c r="K63" s="389">
        <f t="shared" si="3"/>
        <v>-641.36999999999534</v>
      </c>
      <c r="L63" s="35"/>
      <c r="O63" s="350"/>
    </row>
    <row r="64" spans="1:16">
      <c r="A64" s="229"/>
      <c r="B64" s="386">
        <v>45901</v>
      </c>
      <c r="C64" s="388">
        <v>202938.1</v>
      </c>
      <c r="D64" s="388">
        <v>204295.82</v>
      </c>
      <c r="E64" s="389">
        <f t="shared" si="2"/>
        <v>-1357.7200000000012</v>
      </c>
      <c r="F64" s="35"/>
      <c r="G64" s="229"/>
      <c r="H64" s="386">
        <v>45901</v>
      </c>
      <c r="I64" s="388">
        <v>126144.65</v>
      </c>
      <c r="J64" s="388">
        <v>117673.3</v>
      </c>
      <c r="K64" s="389">
        <f t="shared" si="3"/>
        <v>8471.3499999999913</v>
      </c>
      <c r="L64" s="35"/>
      <c r="O64" s="350"/>
    </row>
    <row r="65" spans="1:15">
      <c r="A65" s="229"/>
      <c r="B65" s="386">
        <v>45931</v>
      </c>
      <c r="C65" s="388">
        <v>178379.29</v>
      </c>
      <c r="D65" s="388">
        <v>167394.79</v>
      </c>
      <c r="E65" s="389">
        <f t="shared" si="2"/>
        <v>10984.5</v>
      </c>
      <c r="F65" s="35"/>
      <c r="G65" s="229"/>
      <c r="H65" s="386">
        <v>45931</v>
      </c>
      <c r="I65" s="388">
        <v>61637.75</v>
      </c>
      <c r="J65" s="388">
        <v>70384.44</v>
      </c>
      <c r="K65" s="389">
        <f t="shared" si="3"/>
        <v>-8746.6900000000023</v>
      </c>
      <c r="L65" s="35"/>
      <c r="O65" s="350"/>
    </row>
    <row r="66" spans="1:15">
      <c r="A66" s="229"/>
      <c r="B66" s="386">
        <v>45962</v>
      </c>
      <c r="C66" s="388">
        <v>184310.95</v>
      </c>
      <c r="D66" s="388">
        <v>183155.39</v>
      </c>
      <c r="E66" s="389">
        <f t="shared" si="2"/>
        <v>1155.5599999999977</v>
      </c>
      <c r="F66" s="35"/>
      <c r="G66" s="229"/>
      <c r="H66" s="386">
        <v>45962</v>
      </c>
      <c r="I66" s="388">
        <v>58123.77</v>
      </c>
      <c r="J66" s="388">
        <v>57720.85</v>
      </c>
      <c r="K66" s="389">
        <f t="shared" si="3"/>
        <v>402.91999999999825</v>
      </c>
      <c r="L66" s="35"/>
      <c r="O66" s="350"/>
    </row>
    <row r="67" spans="1:15">
      <c r="A67" s="229"/>
      <c r="B67" s="386">
        <v>45992</v>
      </c>
      <c r="C67" s="388">
        <v>198779.59</v>
      </c>
      <c r="D67" s="388">
        <v>179590.32</v>
      </c>
      <c r="E67" s="389">
        <f t="shared" si="2"/>
        <v>19189.26999999999</v>
      </c>
      <c r="F67" s="35"/>
      <c r="G67" s="229"/>
      <c r="H67" s="386">
        <v>45992</v>
      </c>
      <c r="I67" s="388">
        <v>150258.42000000001</v>
      </c>
      <c r="J67" s="388">
        <v>79092.13</v>
      </c>
      <c r="K67" s="389">
        <f t="shared" si="3"/>
        <v>71166.290000000008</v>
      </c>
      <c r="L67" s="35"/>
      <c r="O67" s="350"/>
    </row>
    <row r="68" spans="1:15">
      <c r="A68" s="229"/>
      <c r="B68" s="386">
        <v>46023</v>
      </c>
      <c r="C68" s="388">
        <v>132275.4</v>
      </c>
      <c r="D68" s="388">
        <v>116350.31</v>
      </c>
      <c r="E68" s="389">
        <f t="shared" si="2"/>
        <v>15925.089999999997</v>
      </c>
      <c r="F68" s="35"/>
      <c r="G68" s="229"/>
      <c r="H68" s="386">
        <v>46023</v>
      </c>
      <c r="I68" s="388">
        <v>13593.52</v>
      </c>
      <c r="J68" s="388">
        <v>74876.929999999978</v>
      </c>
      <c r="K68" s="389">
        <f>I68-J68</f>
        <v>-61283.409999999974</v>
      </c>
      <c r="L68" s="35"/>
      <c r="O68" s="350"/>
    </row>
    <row r="69" spans="1:15">
      <c r="A69" s="229"/>
      <c r="B69" s="386">
        <v>46054</v>
      </c>
      <c r="C69" s="388">
        <v>126679.25</v>
      </c>
      <c r="D69" s="388">
        <v>133410.26</v>
      </c>
      <c r="E69" s="389">
        <f t="shared" si="2"/>
        <v>-6731.0100000000093</v>
      </c>
      <c r="F69" s="35"/>
      <c r="G69" s="229"/>
      <c r="H69" s="386">
        <v>46054</v>
      </c>
      <c r="I69" s="388">
        <v>37091.380000000005</v>
      </c>
      <c r="J69" s="388">
        <v>44764.380000000005</v>
      </c>
      <c r="K69" s="389">
        <f t="shared" ref="K69:K71" si="4">I69-J69</f>
        <v>-7673</v>
      </c>
      <c r="L69" s="35"/>
      <c r="O69" s="350"/>
    </row>
    <row r="70" spans="1:15">
      <c r="A70" s="229"/>
      <c r="B70" s="386">
        <v>46082</v>
      </c>
      <c r="C70" s="388">
        <v>183424.12</v>
      </c>
      <c r="D70" s="388">
        <v>192968.08</v>
      </c>
      <c r="E70" s="389">
        <f t="shared" si="2"/>
        <v>-9543.9599999999919</v>
      </c>
      <c r="F70" s="35"/>
      <c r="G70" s="229"/>
      <c r="H70" s="386">
        <v>46082</v>
      </c>
      <c r="I70" s="388">
        <v>37723.490000000005</v>
      </c>
      <c r="J70" s="388">
        <v>35226.35</v>
      </c>
      <c r="K70" s="389">
        <f t="shared" si="4"/>
        <v>2497.1400000000067</v>
      </c>
      <c r="L70" s="35"/>
      <c r="O70" s="350"/>
    </row>
    <row r="71" spans="1:15">
      <c r="A71" s="229"/>
      <c r="B71" s="386">
        <v>46113</v>
      </c>
      <c r="C71" s="388">
        <v>214380.68</v>
      </c>
      <c r="D71" s="388">
        <v>231574.3</v>
      </c>
      <c r="E71" s="389">
        <f t="shared" si="2"/>
        <v>-17193.619999999995</v>
      </c>
      <c r="F71" s="35"/>
      <c r="G71" s="229"/>
      <c r="H71" s="386">
        <v>46113</v>
      </c>
      <c r="I71" s="388">
        <v>105609.12</v>
      </c>
      <c r="J71" s="388">
        <v>108035.78</v>
      </c>
      <c r="K71" s="389">
        <f t="shared" si="4"/>
        <v>-2426.6600000000035</v>
      </c>
      <c r="L71" s="35"/>
      <c r="O71" s="350"/>
    </row>
    <row r="72" spans="1:15">
      <c r="B72" s="390">
        <v>46143</v>
      </c>
      <c r="C72" s="399">
        <f>AVERAGE(C56:C71)+C90</f>
        <v>349223.296875</v>
      </c>
      <c r="D72" s="400">
        <f>AVERAGE(D54:D69)+D90</f>
        <v>342064.33928571432</v>
      </c>
      <c r="E72" s="393">
        <f>C72-D72</f>
        <v>7158.957589285681</v>
      </c>
      <c r="F72" s="35"/>
      <c r="H72" s="390">
        <v>46143</v>
      </c>
      <c r="I72" s="392">
        <f>AVERAGE(I56:I71)+I90</f>
        <v>130889.40812500002</v>
      </c>
      <c r="J72" s="393">
        <f>AVERAGE(J56:J71)+J90</f>
        <v>81389.118125000008</v>
      </c>
      <c r="K72" s="393">
        <f>I72-J72</f>
        <v>49500.290000000008</v>
      </c>
      <c r="L72" s="35"/>
      <c r="O72" s="350"/>
    </row>
    <row r="73" spans="1:15">
      <c r="B73" s="390">
        <v>46174</v>
      </c>
      <c r="C73" s="399">
        <f>AVERAGE(C56:C72)+C91</f>
        <v>302449.43452205881</v>
      </c>
      <c r="D73" s="400">
        <f t="shared" ref="D73" si="5">AVERAGE(D55:D70)+D91</f>
        <v>293406.05666666664</v>
      </c>
      <c r="E73" s="393">
        <f t="shared" ref="E73:E76" si="6">C73-D73</f>
        <v>9043.3778553921729</v>
      </c>
      <c r="F73" s="35"/>
      <c r="H73" s="390">
        <v>46174</v>
      </c>
      <c r="I73" s="392">
        <f>AVERAGE(I57:I71)+I91</f>
        <v>135291.84866666666</v>
      </c>
      <c r="J73" s="393">
        <f>AVERAGE(J56:J72)+J91</f>
        <v>88995.856360294129</v>
      </c>
      <c r="K73" s="393">
        <f t="shared" ref="K73:K76" si="7">I73-J73</f>
        <v>46295.992306372529</v>
      </c>
      <c r="L73" s="35"/>
      <c r="O73" s="350"/>
    </row>
    <row r="74" spans="1:15">
      <c r="B74" s="390">
        <v>46204</v>
      </c>
      <c r="C74" s="399">
        <f>AVERAGE(C56:C73)+C92</f>
        <v>229714.05563316995</v>
      </c>
      <c r="D74" s="400">
        <f>AVERAGE(D56:D71)-D92</f>
        <v>134474.89437499997</v>
      </c>
      <c r="E74" s="393">
        <f t="shared" si="6"/>
        <v>95239.161258169974</v>
      </c>
      <c r="F74" s="35"/>
      <c r="H74" s="390">
        <v>46204</v>
      </c>
      <c r="I74" s="392">
        <f>AVERAGE(I56:I71)+I92</f>
        <v>69630.008125000008</v>
      </c>
      <c r="J74" s="393">
        <f>AVERAGE(J56:J73)-J92</f>
        <v>43356.853582516356</v>
      </c>
      <c r="K74" s="393">
        <f t="shared" si="7"/>
        <v>26273.154542483651</v>
      </c>
      <c r="L74" s="35"/>
      <c r="O74" s="350"/>
    </row>
    <row r="75" spans="1:15">
      <c r="B75" s="390">
        <v>46235</v>
      </c>
      <c r="C75" s="399">
        <f>AVERAGE(C56:C74)+C93</f>
        <v>209498.80668580154</v>
      </c>
      <c r="D75" s="400">
        <f>AVERAGE(D57:D72)-D93</f>
        <v>149595.29058035713</v>
      </c>
      <c r="E75" s="393">
        <f t="shared" si="6"/>
        <v>59903.516105444403</v>
      </c>
      <c r="F75" s="35"/>
      <c r="H75" s="390">
        <v>46235</v>
      </c>
      <c r="I75" s="392">
        <f>AVERAGE(I56:I71)+I93</f>
        <v>62715.108125000006</v>
      </c>
      <c r="J75" s="393">
        <f>AVERAGE(J56:J74)-J93</f>
        <v>52436.137793042668</v>
      </c>
      <c r="K75" s="393">
        <f t="shared" si="7"/>
        <v>10278.970331957338</v>
      </c>
      <c r="L75" s="35"/>
      <c r="O75" s="350"/>
    </row>
    <row r="76" spans="1:15">
      <c r="B76" s="390">
        <v>46266</v>
      </c>
      <c r="C76" s="399">
        <f>AVERAGE(C56:C75)+C94</f>
        <v>205809.45318580154</v>
      </c>
      <c r="D76" s="400">
        <f>AVERAGE(D58:D73)-D94</f>
        <v>156219.8541220238</v>
      </c>
      <c r="E76" s="393">
        <f t="shared" si="6"/>
        <v>49589.599063777743</v>
      </c>
      <c r="F76" s="35"/>
      <c r="H76" s="390">
        <v>46266</v>
      </c>
      <c r="I76" s="392">
        <f>AVERAGE(I56:I71)+I94</f>
        <v>62198.778125000004</v>
      </c>
      <c r="J76" s="393">
        <f>AVERAGE(J56:J71)-J94</f>
        <v>51053.798125000001</v>
      </c>
      <c r="K76" s="393">
        <f t="shared" si="7"/>
        <v>11144.980000000003</v>
      </c>
      <c r="L76" s="35"/>
      <c r="O76" s="350"/>
    </row>
    <row r="77" spans="1:15">
      <c r="B77" s="233"/>
      <c r="C77" s="233"/>
      <c r="D77" s="233"/>
      <c r="E77" s="233"/>
      <c r="H77" s="233"/>
      <c r="I77" s="233"/>
      <c r="J77" s="233"/>
      <c r="K77" s="233"/>
      <c r="O77" s="350"/>
    </row>
    <row r="78" spans="1:15">
      <c r="O78" s="350"/>
    </row>
    <row r="79" spans="1:15">
      <c r="O79" s="350"/>
    </row>
    <row r="80" spans="1:15">
      <c r="O80" s="350"/>
    </row>
    <row r="81" spans="2:15">
      <c r="O81" s="350"/>
    </row>
    <row r="82" spans="2:15">
      <c r="O82" s="350"/>
    </row>
    <row r="83" spans="2:15">
      <c r="O83" s="350"/>
    </row>
    <row r="84" spans="2:15">
      <c r="O84" s="350"/>
    </row>
    <row r="85" spans="2:15">
      <c r="O85" s="350"/>
    </row>
    <row r="86" spans="2:15">
      <c r="O86" s="350"/>
    </row>
    <row r="87" spans="2:15">
      <c r="O87" s="350"/>
    </row>
    <row r="88" spans="2:15">
      <c r="O88" s="350"/>
    </row>
    <row r="89" spans="2:15">
      <c r="B89" s="394" t="s">
        <v>7</v>
      </c>
      <c r="C89" s="394" t="s">
        <v>43</v>
      </c>
      <c r="D89" s="394" t="s">
        <v>44</v>
      </c>
      <c r="E89" s="394" t="s">
        <v>45</v>
      </c>
      <c r="H89" s="394" t="s">
        <v>7</v>
      </c>
      <c r="I89" s="394" t="s">
        <v>46</v>
      </c>
      <c r="J89" s="394" t="s">
        <v>47</v>
      </c>
      <c r="K89" s="394" t="s">
        <v>45</v>
      </c>
      <c r="O89" s="350"/>
    </row>
    <row r="90" spans="2:15">
      <c r="B90" s="395" t="s">
        <v>48</v>
      </c>
      <c r="C90" s="396" cm="1">
        <f t="array" ref="C90">SUMPRODUCT((MID('[1]A receer iluminação'!$E$2:$E$271,4,2)="05")*(MID('[1]A receer iluminação'!$E$2:$E$271,7,4)="2026")*('[1]A receer iluminação'!$D$2:$D$271))</f>
        <v>160141.82999999999</v>
      </c>
      <c r="D90" s="396" cm="1">
        <f t="array" ref="D90">SUMPRODUCT((MID('[1]a pagar iluminação'!$G$2:$G$384,4,2)="05")*(MID('[1]a pagar iluminação'!$G$2:$G$384,7,4)="2026")*('[1]a pagar iluminação'!$F$2:$F$384))</f>
        <v>154894.47</v>
      </c>
      <c r="E90" s="396">
        <f t="shared" ref="E90:E95" si="8">C90-D90</f>
        <v>5247.359999999986</v>
      </c>
      <c r="H90" s="248" t="s">
        <v>48</v>
      </c>
      <c r="I90" s="403" cm="1">
        <f t="array" ref="I90">SUMPRODUCT((VALUE(MID('[1]a reverber importação'!$G$2:$G$40,4,2))=5)*(VALUE(MID('[1]a reverber importação'!$G$2:$G$40,7,4))=2026)*('[1]a reverber importação'!$F$2:$F$40))</f>
        <v>68690.63</v>
      </c>
      <c r="J90" s="403" cm="1">
        <f t="array" ref="J90">SUMPRODUCT((VALUE(MID('[1]a pagar importaçãp'!$G$2:$G$55,4,2))=5)*(VALUE(MID('[1]a pagar importaçãp'!$G$2:$G$55,7,4))=2026)*('[1]a pagar importaçãp'!$F$2:$F$55))</f>
        <v>18896.66</v>
      </c>
      <c r="K90" s="403">
        <f t="shared" ref="K90:K95" si="9">I90-J90</f>
        <v>49793.97</v>
      </c>
      <c r="O90" s="350"/>
    </row>
    <row r="91" spans="2:15">
      <c r="B91" s="395" t="s">
        <v>49</v>
      </c>
      <c r="C91" s="396" cm="1">
        <f t="array" ref="C91">SUMPRODUCT((MID('[1]A receer iluminação'!$E$2:$E$271,4,2)="06")*(MID('[1]A receer iluminação'!$E$2:$E$271,7,4)="2026")*('[1]A receer iluminação'!$D$2:$D$271))</f>
        <v>103947.86000000002</v>
      </c>
      <c r="D91" s="396" cm="1">
        <f t="array" ref="D91">SUMPRODUCT((MID('[1]a pagar iluminação'!$G$2:$G$384,4,2)="06")*(MID('[1]a pagar iluminação'!$G$2:$G$384,7,4)="2026")*('[1]a pagar iluminação'!$F$2:$F$384))</f>
        <v>105849.64</v>
      </c>
      <c r="E91" s="396">
        <f t="shared" si="8"/>
        <v>-1901.7799999999843</v>
      </c>
      <c r="H91" s="401">
        <v>46199</v>
      </c>
      <c r="I91" s="403" cm="1">
        <f t="array" ref="I91">SUMPRODUCT((VALUE(MID('[1]a reverber importação'!$G$2:$G$40,4,2))=6)*(VALUE(MID('[1]a reverber importação'!$G$2:$G$40,7,4))=2026)*('[1]a reverber importação'!$F$2:$F$40))</f>
        <v>70252.61</v>
      </c>
      <c r="J91" s="403" cm="1">
        <f t="array" ref="J91">SUMPRODUCT((VALUE(MID('[1]a pagar importaçãp'!$G$2:$G$55,4,2))=6)*(VALUE(MID('[1]a pagar importaçãp'!$G$2:$G$55,7,4))=2026)*('[1]a pagar importaçãp'!$F$2:$F$55))</f>
        <v>25391.83</v>
      </c>
      <c r="K91" s="403">
        <f t="shared" si="9"/>
        <v>44860.78</v>
      </c>
      <c r="O91" s="350"/>
    </row>
    <row r="92" spans="2:15">
      <c r="B92" s="395" t="s">
        <v>50</v>
      </c>
      <c r="C92" s="396" cm="1">
        <f t="array" ref="C92">SUMPRODUCT((MID('[1]A receer iluminação'!$E$2:$E$271,4,2)="07")*(MID('[1]A receer iluminação'!$E$2:$E$271,7,4)="2026")*('[1]A receer iluminação'!$D$2:$D$271))</f>
        <v>25437.599999999999</v>
      </c>
      <c r="D92" s="396" cm="1">
        <f t="array" ref="D92">SUMPRODUCT((MID('[1]a pagar iluminação'!$G$2:$G$384,4,2)="07")*(MID('[1]a pagar iluminação'!$G$2:$G$384,7,4)="2026")*('[1]a pagar iluminação'!$F$2:$F$384))</f>
        <v>55832.639999999999</v>
      </c>
      <c r="E92" s="396">
        <f t="shared" si="8"/>
        <v>-30395.040000000001</v>
      </c>
      <c r="H92" s="401">
        <v>46229</v>
      </c>
      <c r="I92" s="403" cm="1">
        <f t="array" ref="I92">SUMPRODUCT((VALUE(MID('[1]a reverber importação'!$G$2:$G$40,4,2))=7)*(VALUE(MID('[1]a reverber importação'!$G$2:$G$40,7,4))=2026)*('[1]a reverber importação'!$F$2:$F$40))</f>
        <v>7431.23</v>
      </c>
      <c r="J92" s="403" cm="1">
        <f t="array" ref="J92">SUMPRODUCT((VALUE(MID('[1]a pagar importaçãp'!$G$2:$G$55,4,2))=7)*(VALUE(MID('[1]a pagar importaçãp'!$G$2:$G$55,7,4))=2026)*('[1]a pagar importaçãp'!$F$2:$F$55))</f>
        <v>21657.829999999998</v>
      </c>
      <c r="K92" s="403">
        <f t="shared" si="9"/>
        <v>-14226.599999999999</v>
      </c>
      <c r="O92" s="350"/>
    </row>
    <row r="93" spans="2:15">
      <c r="B93" s="395" t="s">
        <v>51</v>
      </c>
      <c r="C93" s="396" cm="1">
        <f t="array" ref="C93">SUMPRODUCT((MID('[1]A receer iluminação'!$E$2:$E$271,4,2)="08")*(MID('[1]A receer iluminação'!$E$2:$E$271,7,4)="2026")*('[1]A receer iluminação'!$D$2:$D$271))</f>
        <v>3883.53</v>
      </c>
      <c r="D93" s="396" cm="1">
        <f t="array" ref="D93">SUMPRODUCT((MID('[1]a pagar iluminação'!$G$2:$G$384,4,2)="08")*(MID('[1]a pagar iluminação'!$G$2:$G$384,7,4)="2026")*('[1]a pagar iluminação'!$F$2:$F$384))</f>
        <v>51118.63</v>
      </c>
      <c r="E93" s="396">
        <f t="shared" si="8"/>
        <v>-47235.1</v>
      </c>
      <c r="H93" s="248" t="s">
        <v>51</v>
      </c>
      <c r="I93" s="403" cm="1">
        <f t="array" ref="I93">SUMPRODUCT((VALUE(MID('[1]a reverber importação'!$G$2:$G$40,4,2))=8)*(VALUE(MID('[1]a reverber importação'!$G$2:$G$40,7,4))=2026)*('[1]a reverber importação'!$F$2:$F$40))</f>
        <v>516.33000000000004</v>
      </c>
      <c r="J93" s="403" cm="1">
        <f t="array" ref="J93">SUMPRODUCT((VALUE(MID('[1]a pagar importaçãp'!$G$2:$G$55,4,2))=8)*(VALUE(MID('[1]a pagar importaçãp'!$G$2:$G$55,7,4))=2026)*('[1]a pagar importaçãp'!$F$2:$F$55))</f>
        <v>11438.66</v>
      </c>
      <c r="K93" s="403">
        <f t="shared" si="9"/>
        <v>-10922.33</v>
      </c>
      <c r="O93" s="350"/>
    </row>
    <row r="94" spans="2:15">
      <c r="B94" s="395" t="s">
        <v>52</v>
      </c>
      <c r="C94" s="396" cm="1">
        <f t="array" ref="C94">SUMPRODUCT((MID('[1]A receer iluminação'!$E$2:$E$271,4,2)="09")*(MID('[1]A receer iluminação'!$E$2:$E$271,7,4)="2026")*('[1]A receer iluminação'!$D$2:$D$271))</f>
        <v>0</v>
      </c>
      <c r="D94" s="396" cm="1">
        <f t="array" ref="D94">SUMPRODUCT((MID('[1]a pagar iluminação'!$G$2:$G$384,4,2)="09")*(MID('[1]a pagar iluminação'!$G$2:$G$384,7,4)="2026")*('[1]a pagar iluminação'!$F$2:$F$384))</f>
        <v>51118.63</v>
      </c>
      <c r="E94" s="396">
        <f t="shared" si="8"/>
        <v>-51118.63</v>
      </c>
      <c r="H94" s="248" t="s">
        <v>52</v>
      </c>
      <c r="I94" s="403" cm="1">
        <f t="array" ref="I94">SUMPRODUCT((VALUE(MID('[1]a reverber importação'!$G$2:$G$40,4,2))=9)*(VALUE(MID('[1]a reverber importação'!$G$2:$G$40,7,4))=2026)*('[1]a reverber importação'!$F$2:$F$40))</f>
        <v>0</v>
      </c>
      <c r="J94" s="403" cm="1">
        <f t="array" ref="J94">SUMPRODUCT((VALUE(MID('[1]a pagar importaçãp'!$G$2:$G$55,4,2))=9)*(VALUE(MID('[1]a pagar importaçãp'!$G$2:$G$55,7,4))=2026)*('[1]a pagar importaçãp'!$F$2:$F$55))</f>
        <v>11438.66</v>
      </c>
      <c r="K94" s="403">
        <f t="shared" si="9"/>
        <v>-11438.66</v>
      </c>
      <c r="O94" s="350"/>
    </row>
    <row r="95" spans="2:15">
      <c r="B95" s="397" t="s">
        <v>12</v>
      </c>
      <c r="C95" s="398">
        <f>SUM(C90:C94)</f>
        <v>293410.82</v>
      </c>
      <c r="D95" s="398">
        <f>SUM(D90:D94)</f>
        <v>418814.01</v>
      </c>
      <c r="E95" s="398">
        <f t="shared" si="8"/>
        <v>-125403.19</v>
      </c>
      <c r="H95" s="402" t="s">
        <v>12</v>
      </c>
      <c r="I95" s="404">
        <f>SUM(I90:I94)</f>
        <v>146890.79999999999</v>
      </c>
      <c r="J95" s="404">
        <f>SUM(J90:J94)</f>
        <v>88823.640000000014</v>
      </c>
      <c r="K95" s="404">
        <f t="shared" si="9"/>
        <v>58067.159999999974</v>
      </c>
      <c r="O95" s="350"/>
    </row>
    <row r="96" spans="2:15">
      <c r="O96" s="350"/>
    </row>
    <row r="97" spans="3:15">
      <c r="O97" s="350"/>
    </row>
    <row r="98" spans="3:15">
      <c r="O98" s="350"/>
    </row>
    <row r="99" spans="3:15">
      <c r="O99" s="350"/>
    </row>
    <row r="100" spans="3:15">
      <c r="O100" s="350"/>
    </row>
    <row r="101" spans="3:15">
      <c r="O101" s="350"/>
    </row>
    <row r="102" spans="3:15">
      <c r="O102" s="350"/>
    </row>
    <row r="105" spans="3:15">
      <c r="C105" s="454">
        <f>(D110/D111)</f>
        <v>3125</v>
      </c>
      <c r="D105"/>
      <c r="E105" s="436"/>
      <c r="F105" s="436"/>
    </row>
    <row r="106" spans="3:15">
      <c r="C106" s="455">
        <f>C105+(1+0.65*0.1075)</f>
        <v>3126.0698750000001</v>
      </c>
      <c r="D106"/>
      <c r="E106" s="435"/>
      <c r="F106" s="435"/>
      <c r="O106" s="33"/>
    </row>
    <row r="107" spans="3:15">
      <c r="C107" s="550" t="s">
        <v>53</v>
      </c>
      <c r="D107" s="554"/>
      <c r="E107" s="554"/>
      <c r="F107" s="551"/>
      <c r="I107" s="555" t="s">
        <v>54</v>
      </c>
      <c r="J107" s="556"/>
      <c r="K107" s="556"/>
      <c r="L107" s="557"/>
    </row>
    <row r="108" spans="3:15">
      <c r="C108" s="550"/>
      <c r="D108" s="554"/>
      <c r="E108" s="554"/>
      <c r="F108" s="551"/>
      <c r="I108" s="558"/>
      <c r="J108" s="559"/>
      <c r="K108" s="559"/>
      <c r="L108" s="560"/>
    </row>
    <row r="109" spans="3:15">
      <c r="C109" s="550" t="s">
        <v>55</v>
      </c>
      <c r="D109" s="551"/>
      <c r="E109" s="552" t="s">
        <v>56</v>
      </c>
      <c r="F109" s="553"/>
      <c r="I109" s="550" t="s">
        <v>57</v>
      </c>
      <c r="J109" s="551"/>
      <c r="K109" s="552" t="s">
        <v>58</v>
      </c>
      <c r="L109" s="553"/>
    </row>
    <row r="110" spans="3:15">
      <c r="C110" s="460" t="s">
        <v>59</v>
      </c>
      <c r="D110" s="461">
        <v>150000</v>
      </c>
      <c r="E110" s="460" t="s">
        <v>59</v>
      </c>
      <c r="F110" s="461">
        <v>92187.62</v>
      </c>
      <c r="I110" s="517" t="s">
        <v>60</v>
      </c>
      <c r="J110" s="461">
        <v>116965.8</v>
      </c>
      <c r="K110" s="517" t="s">
        <v>60</v>
      </c>
      <c r="L110" s="461">
        <v>139755.03</v>
      </c>
    </row>
    <row r="111" spans="3:15">
      <c r="C111" s="450" t="s">
        <v>61</v>
      </c>
      <c r="D111" s="456">
        <v>48</v>
      </c>
      <c r="E111" s="450" t="s">
        <v>61</v>
      </c>
      <c r="F111" s="456">
        <v>48</v>
      </c>
      <c r="I111" s="450" t="s">
        <v>61</v>
      </c>
      <c r="J111" s="456">
        <v>48</v>
      </c>
      <c r="K111" s="450" t="s">
        <v>61</v>
      </c>
      <c r="L111" s="456">
        <v>48</v>
      </c>
    </row>
    <row r="112" spans="3:15">
      <c r="C112" s="450" t="s">
        <v>62</v>
      </c>
      <c r="D112" s="456">
        <f>COUNTIF('SAIDAS-FIN-ilumi'!C:C,"EMPRÉSTIMO CAPITAL DE GIRO BRADESCO")+41</f>
        <v>46</v>
      </c>
      <c r="E112" s="450" t="s">
        <v>62</v>
      </c>
      <c r="F112" s="456">
        <f>COUNTIF('SAIDAS-FIN-ilumi'!C:C,"EMPRÉSTIMO CAPITAL DE GIRO ITAÚ")+2</f>
        <v>4</v>
      </c>
      <c r="I112" s="450" t="s">
        <v>62</v>
      </c>
      <c r="J112" s="456">
        <f>COUNTIF('Saidas-fin-import'!E:E,"EMPRÉSTIMO PRONAMP")+14</f>
        <v>14</v>
      </c>
      <c r="K112" s="450" t="s">
        <v>62</v>
      </c>
      <c r="L112" s="456">
        <f>COUNTIF('Saidas-fin-import'!E:E,"EMPRÉSTIMOS FGI")+2</f>
        <v>2</v>
      </c>
    </row>
    <row r="113" spans="3:12">
      <c r="C113" s="450" t="s">
        <v>63</v>
      </c>
      <c r="D113" s="453">
        <f>C105+C106</f>
        <v>6251.0698750000001</v>
      </c>
      <c r="E113" s="450" t="s">
        <v>63</v>
      </c>
      <c r="F113" s="451">
        <f>(F110/F111)*(1+0.49%+10.75%)</f>
        <v>2136.4480934999997</v>
      </c>
      <c r="I113" s="450" t="s">
        <v>63</v>
      </c>
      <c r="J113" s="451">
        <f>(J110/J111)*(1+1.62%+10.75%)</f>
        <v>2738.2181137499997</v>
      </c>
      <c r="K113" s="450" t="s">
        <v>63</v>
      </c>
      <c r="L113" s="451">
        <f>(L110/L111)*(1+1.62%)</f>
        <v>2958.7304476250001</v>
      </c>
    </row>
    <row r="114" spans="3:12">
      <c r="C114" s="450" t="s">
        <v>64</v>
      </c>
      <c r="D114" s="456">
        <f>D111-D112</f>
        <v>2</v>
      </c>
      <c r="E114" s="450" t="s">
        <v>64</v>
      </c>
      <c r="F114" s="456">
        <f>F111-F112</f>
        <v>44</v>
      </c>
      <c r="I114" s="450" t="s">
        <v>64</v>
      </c>
      <c r="J114" s="456">
        <f>J111-J112</f>
        <v>34</v>
      </c>
      <c r="K114" s="450" t="s">
        <v>64</v>
      </c>
      <c r="L114" s="456">
        <f>L111-L112</f>
        <v>46</v>
      </c>
    </row>
    <row r="115" spans="3:12">
      <c r="C115" s="465" t="s">
        <v>65</v>
      </c>
      <c r="D115" s="467">
        <f>SUMIF('SAIDAS-FIN-ilumi'!C:C,"EMPRÉSTIMO CAPITAL DE GIRO BRADESCO",'SAIDAS-FIN-ilumi'!D:D)</f>
        <v>31535.000000000004</v>
      </c>
      <c r="E115" s="465" t="s">
        <v>65</v>
      </c>
      <c r="F115" s="466">
        <f>F110-F116</f>
        <v>82811.23</v>
      </c>
      <c r="I115" s="518" t="s">
        <v>66</v>
      </c>
      <c r="J115" s="464">
        <f>SUMIF('Saidas-fin-import'!E:E,"EMPRÉSTIMO PRONAMP",'Saidas-fin-import'!F:F)+47315.47</f>
        <v>47315.47</v>
      </c>
      <c r="K115" s="518" t="s">
        <v>66</v>
      </c>
      <c r="L115" s="464">
        <f>SUMIF('Saidas-fin-import'!E:E,"EMPRÉSTIMOS FGI",'Saidas-fin-import'!F:F)+5275.86</f>
        <v>5275.86</v>
      </c>
    </row>
    <row r="116" spans="3:12">
      <c r="C116" s="462" t="s">
        <v>67</v>
      </c>
      <c r="D116" s="463">
        <f>D110-D115</f>
        <v>118465</v>
      </c>
      <c r="E116" s="462" t="s">
        <v>66</v>
      </c>
      <c r="F116" s="464">
        <f>SUMIF('SAIDAS-FIN-ilumi'!C:C,"EMPRÉSTIMO CAPITAL DE GIRO ITAÚ",'SAIDAS-FIN-ilumi'!D:D)+4272.9</f>
        <v>9376.39</v>
      </c>
      <c r="I116" s="519" t="s">
        <v>65</v>
      </c>
      <c r="J116" s="466">
        <f>J110-J115</f>
        <v>69650.33</v>
      </c>
      <c r="K116" s="519" t="s">
        <v>65</v>
      </c>
      <c r="L116" s="466">
        <f>L110-L115</f>
        <v>134479.17000000001</v>
      </c>
    </row>
    <row r="117" spans="3:12">
      <c r="C117" s="468" t="s">
        <v>68</v>
      </c>
      <c r="D117" s="469">
        <f>(D115+D116)*0.75</f>
        <v>112500</v>
      </c>
      <c r="E117" s="468" t="s">
        <v>68</v>
      </c>
      <c r="F117" s="469">
        <f>(F116+F115)*0.59</f>
        <v>54390.695799999994</v>
      </c>
      <c r="I117" s="520" t="s">
        <v>68</v>
      </c>
      <c r="J117" s="469">
        <f>(J115+J116)*1.172</f>
        <v>137083.91759999999</v>
      </c>
      <c r="K117" s="520" t="s">
        <v>68</v>
      </c>
      <c r="L117" s="469">
        <f>(L115+L116)*1.62</f>
        <v>226403.14860000001</v>
      </c>
    </row>
    <row r="118" spans="3:12">
      <c r="C118" s="460" t="s">
        <v>69</v>
      </c>
      <c r="D118" s="459">
        <f>D110+D117</f>
        <v>262500</v>
      </c>
      <c r="E118" s="460" t="s">
        <v>69</v>
      </c>
      <c r="F118" s="459">
        <f>F110+F117</f>
        <v>146578.31579999998</v>
      </c>
      <c r="I118" s="517" t="s">
        <v>70</v>
      </c>
      <c r="J118" s="459">
        <f>J110+J117</f>
        <v>254049.71759999997</v>
      </c>
      <c r="K118" s="517" t="s">
        <v>71</v>
      </c>
      <c r="L118" s="459">
        <f>L110+L117</f>
        <v>366158.17859999998</v>
      </c>
    </row>
    <row r="119" spans="3:12">
      <c r="C119" s="458" t="s">
        <v>72</v>
      </c>
      <c r="D119" s="457">
        <v>44988</v>
      </c>
      <c r="E119" s="458" t="s">
        <v>72</v>
      </c>
      <c r="F119" s="457">
        <v>46106</v>
      </c>
      <c r="I119" s="458" t="s">
        <v>72</v>
      </c>
      <c r="J119" s="457">
        <v>45994</v>
      </c>
      <c r="K119" s="458" t="s">
        <v>72</v>
      </c>
      <c r="L119" s="457">
        <v>46024</v>
      </c>
    </row>
    <row r="120" spans="3:12">
      <c r="C120" s="450" t="s">
        <v>73</v>
      </c>
      <c r="D120" s="452">
        <f>EDATE(D119,D111)</f>
        <v>46449</v>
      </c>
      <c r="E120" s="450" t="s">
        <v>73</v>
      </c>
      <c r="F120" s="452">
        <f>EDATE(F119,F111)</f>
        <v>47567</v>
      </c>
      <c r="I120" s="450" t="s">
        <v>73</v>
      </c>
      <c r="J120" s="452">
        <v>47133</v>
      </c>
      <c r="K120" s="450" t="s">
        <v>73</v>
      </c>
      <c r="L120" s="452">
        <v>47455</v>
      </c>
    </row>
    <row r="121" spans="3:12">
      <c r="C121" s="435"/>
      <c r="D121" s="435"/>
      <c r="E121" s="435"/>
      <c r="F121" s="435"/>
    </row>
  </sheetData>
  <mergeCells count="61">
    <mergeCell ref="H54:K54"/>
    <mergeCell ref="B54:E54"/>
    <mergeCell ref="C4:C5"/>
    <mergeCell ref="B9:E9"/>
    <mergeCell ref="B23:E23"/>
    <mergeCell ref="H23:K23"/>
    <mergeCell ref="B12:M12"/>
    <mergeCell ref="B19:E19"/>
    <mergeCell ref="F19:I19"/>
    <mergeCell ref="F9:I9"/>
    <mergeCell ref="J9:M9"/>
    <mergeCell ref="B17:M17"/>
    <mergeCell ref="J19:M19"/>
    <mergeCell ref="J18:M18"/>
    <mergeCell ref="B14:E14"/>
    <mergeCell ref="B18:E18"/>
    <mergeCell ref="Q1:AB3"/>
    <mergeCell ref="B1:M3"/>
    <mergeCell ref="B7:M7"/>
    <mergeCell ref="Q12:AB12"/>
    <mergeCell ref="Q13:T13"/>
    <mergeCell ref="B8:E8"/>
    <mergeCell ref="F8:I8"/>
    <mergeCell ref="J8:M8"/>
    <mergeCell ref="Q4:Q5"/>
    <mergeCell ref="R4:R5"/>
    <mergeCell ref="E4:F5"/>
    <mergeCell ref="H4:I5"/>
    <mergeCell ref="B4:B5"/>
    <mergeCell ref="B13:E13"/>
    <mergeCell ref="F13:I13"/>
    <mergeCell ref="J13:M13"/>
    <mergeCell ref="Q7:AB7"/>
    <mergeCell ref="Q8:T8"/>
    <mergeCell ref="U8:X8"/>
    <mergeCell ref="Y8:AB8"/>
    <mergeCell ref="Q9:T9"/>
    <mergeCell ref="U9:X9"/>
    <mergeCell ref="Y9:AB9"/>
    <mergeCell ref="U13:X13"/>
    <mergeCell ref="Y13:AB13"/>
    <mergeCell ref="Q14:T14"/>
    <mergeCell ref="U14:X14"/>
    <mergeCell ref="Y14:AB14"/>
    <mergeCell ref="Q19:T19"/>
    <mergeCell ref="U19:X19"/>
    <mergeCell ref="Y19:AB19"/>
    <mergeCell ref="F14:I14"/>
    <mergeCell ref="J14:M14"/>
    <mergeCell ref="Q17:AB17"/>
    <mergeCell ref="Q18:T18"/>
    <mergeCell ref="U18:X18"/>
    <mergeCell ref="Y18:AB18"/>
    <mergeCell ref="F18:I18"/>
    <mergeCell ref="I109:J109"/>
    <mergeCell ref="K109:L109"/>
    <mergeCell ref="C107:F107"/>
    <mergeCell ref="C108:F108"/>
    <mergeCell ref="C109:D109"/>
    <mergeCell ref="E109:F109"/>
    <mergeCell ref="I107:L108"/>
  </mergeCells>
  <phoneticPr fontId="11" type="noConversion"/>
  <conditionalFormatting sqref="B24:E36 E37">
    <cfRule type="cellIs" dxfId="30" priority="6" operator="equal">
      <formula>$C$4</formula>
    </cfRule>
  </conditionalFormatting>
  <conditionalFormatting sqref="E24:E37 K24:K37">
    <cfRule type="cellIs" dxfId="29" priority="7" operator="lessThan">
      <formula>0</formula>
    </cfRule>
    <cfRule type="cellIs" dxfId="28" priority="8" operator="greaterThan">
      <formula>0</formula>
    </cfRule>
  </conditionalFormatting>
  <conditionalFormatting sqref="H25:H28">
    <cfRule type="cellIs" dxfId="27" priority="1" operator="equal">
      <formula>$C$4</formula>
    </cfRule>
  </conditionalFormatting>
  <conditionalFormatting sqref="H24:K24 I25:K28 H29:K37">
    <cfRule type="cellIs" dxfId="26" priority="2" operator="equal">
      <formula>$C$4</formula>
    </cfRule>
  </conditionalFormatting>
  <conditionalFormatting sqref="J9:M9 Y9:AB9 J14:M14 Y14:AB14 J19:M19 Y19:AB19">
    <cfRule type="cellIs" dxfId="25" priority="18" operator="lessThan">
      <formula>0</formula>
    </cfRule>
    <cfRule type="cellIs" dxfId="24" priority="19" operator="greaterThan">
      <formula>0</formula>
    </cfRule>
  </conditionalFormatting>
  <dataValidations count="1">
    <dataValidation type="list" allowBlank="1" showInputMessage="1" showErrorMessage="1" sqref="C4 R4" xr:uid="{285CFEF1-BED4-4F3D-A223-B43BD52EC13E}">
      <formula1>"Janeiro, Fevereiro, Março, Abril, Maio,  Junho,  Julho, Agosto, Setembro, Outubro,  Novembro, Dezembro, Anual"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175C-216F-4EA3-A3A9-4BEF541665EB}">
  <dimension ref="A1:E23"/>
  <sheetViews>
    <sheetView workbookViewId="0"/>
  </sheetViews>
  <sheetFormatPr defaultRowHeight="15"/>
  <cols>
    <col min="1" max="1" width="17.140625" customWidth="1"/>
    <col min="2" max="3" width="13.28515625" bestFit="1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 s="370">
        <v>-16301.630000000005</v>
      </c>
    </row>
    <row r="3" spans="1:5">
      <c r="A3" s="369">
        <v>45689</v>
      </c>
      <c r="B3" s="370">
        <v>18052.660000000003</v>
      </c>
    </row>
    <row r="4" spans="1:5">
      <c r="A4" s="369">
        <v>45717</v>
      </c>
      <c r="B4" s="370">
        <v>-23093.010000000009</v>
      </c>
    </row>
    <row r="5" spans="1:5">
      <c r="A5" s="369">
        <v>45748</v>
      </c>
      <c r="B5" s="370">
        <v>21853.309999999998</v>
      </c>
    </row>
    <row r="6" spans="1:5">
      <c r="A6" s="369">
        <v>45778</v>
      </c>
      <c r="B6" s="370">
        <v>26271.78</v>
      </c>
    </row>
    <row r="7" spans="1:5">
      <c r="A7" s="369">
        <v>45809</v>
      </c>
      <c r="B7" s="370">
        <v>-41655.319999999978</v>
      </c>
    </row>
    <row r="8" spans="1:5">
      <c r="A8" s="369">
        <v>45839</v>
      </c>
      <c r="B8" s="370">
        <v>-9105.7099999999919</v>
      </c>
    </row>
    <row r="9" spans="1:5">
      <c r="A9" s="369">
        <v>45870</v>
      </c>
      <c r="B9" s="370">
        <v>-8067.2699999999895</v>
      </c>
    </row>
    <row r="10" spans="1:5">
      <c r="A10" s="369">
        <v>45901</v>
      </c>
      <c r="B10" s="370">
        <v>-1357.7200000000012</v>
      </c>
    </row>
    <row r="11" spans="1:5">
      <c r="A11" s="369">
        <v>45931</v>
      </c>
      <c r="B11" s="370">
        <v>10984.5</v>
      </c>
    </row>
    <row r="12" spans="1:5">
      <c r="A12" s="369">
        <v>45962</v>
      </c>
      <c r="B12" s="370">
        <v>1155.5599999999977</v>
      </c>
    </row>
    <row r="13" spans="1:5">
      <c r="A13" s="369">
        <v>45992</v>
      </c>
      <c r="B13" s="370">
        <v>19189.26999999999</v>
      </c>
    </row>
    <row r="14" spans="1:5">
      <c r="A14" s="369">
        <v>46023</v>
      </c>
      <c r="B14" s="370">
        <v>15925.089999999997</v>
      </c>
    </row>
    <row r="15" spans="1:5">
      <c r="A15" s="369">
        <v>46054</v>
      </c>
      <c r="B15" s="370">
        <v>-6731.0100000000093</v>
      </c>
    </row>
    <row r="16" spans="1:5">
      <c r="A16" s="369">
        <v>46082</v>
      </c>
      <c r="B16" s="370">
        <v>-9543.9599999999919</v>
      </c>
    </row>
    <row r="17" spans="1:5">
      <c r="A17" s="369">
        <v>46113</v>
      </c>
      <c r="B17" s="370">
        <v>-17193.619999999995</v>
      </c>
      <c r="C17" s="370">
        <v>-17193.619999999995</v>
      </c>
      <c r="D17" s="370">
        <v>-17193.619999999995</v>
      </c>
      <c r="E17" s="370">
        <v>-17193.619999999995</v>
      </c>
    </row>
    <row r="18" spans="1:5">
      <c r="A18" s="369">
        <v>46143</v>
      </c>
      <c r="C18" s="370">
        <f t="shared" ref="C18:C23" si="0">_xlfn.FORECAST.ETS(A18,$B$2:$B$17,$A$2:$A$17,1,1)</f>
        <v>-3062.1006070559861</v>
      </c>
      <c r="D18" s="370">
        <f t="shared" ref="D18:D23" si="1">C18-_xlfn.FORECAST.ETS.CONFINT(A18,$B$2:$B$17,$A$2:$A$17,0.95,1,1)</f>
        <v>-43764.003024152829</v>
      </c>
      <c r="E18" s="370">
        <f t="shared" ref="E18:E23" si="2">C18+_xlfn.FORECAST.ETS.CONFINT(A18,$B$2:$B$17,$A$2:$A$17,0.95,1,1)</f>
        <v>37639.801810040852</v>
      </c>
    </row>
    <row r="19" spans="1:5">
      <c r="A19" s="369">
        <v>46174</v>
      </c>
      <c r="C19" s="370">
        <f t="shared" si="0"/>
        <v>-2984.5892203227868</v>
      </c>
      <c r="D19" s="370">
        <f t="shared" si="1"/>
        <v>-44013.419149091111</v>
      </c>
      <c r="E19" s="370">
        <f t="shared" si="2"/>
        <v>38044.240708445541</v>
      </c>
    </row>
    <row r="20" spans="1:5">
      <c r="A20" s="369">
        <v>46204</v>
      </c>
      <c r="C20" s="370">
        <f t="shared" si="0"/>
        <v>-2907.0778335895916</v>
      </c>
      <c r="D20" s="370">
        <f t="shared" si="1"/>
        <v>-44265.358198180562</v>
      </c>
      <c r="E20" s="370">
        <f t="shared" si="2"/>
        <v>38451.202531001385</v>
      </c>
    </row>
    <row r="21" spans="1:5">
      <c r="A21" s="369">
        <v>46235</v>
      </c>
      <c r="C21" s="370">
        <f t="shared" si="0"/>
        <v>-2829.5664468563923</v>
      </c>
      <c r="D21" s="370">
        <f t="shared" si="1"/>
        <v>-44519.800097407489</v>
      </c>
      <c r="E21" s="370">
        <f t="shared" si="2"/>
        <v>38860.667203694706</v>
      </c>
    </row>
    <row r="22" spans="1:5">
      <c r="A22" s="369">
        <v>46266</v>
      </c>
      <c r="C22" s="370">
        <f t="shared" si="0"/>
        <v>-2752.0550601231967</v>
      </c>
      <c r="D22" s="370">
        <f t="shared" si="1"/>
        <v>-44776.72495743246</v>
      </c>
      <c r="E22" s="370">
        <f t="shared" si="2"/>
        <v>39272.614837186069</v>
      </c>
    </row>
    <row r="23" spans="1:5">
      <c r="A23" s="369">
        <v>46296</v>
      </c>
      <c r="C23" s="370">
        <f t="shared" si="0"/>
        <v>-2674.5436733899974</v>
      </c>
      <c r="D23" s="370">
        <f t="shared" si="1"/>
        <v>-45036.113078059556</v>
      </c>
      <c r="E23" s="370">
        <f t="shared" si="2"/>
        <v>39687.025731279558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4490-0498-4D7F-A3AF-5FF237F87C2B}">
  <dimension ref="B1:T41"/>
  <sheetViews>
    <sheetView zoomScale="85" zoomScaleNormal="85" workbookViewId="0">
      <selection activeCell="O3" sqref="O3:R19"/>
    </sheetView>
  </sheetViews>
  <sheetFormatPr defaultRowHeight="15"/>
  <cols>
    <col min="2" max="2" width="10.85546875" bestFit="1" customWidth="1"/>
    <col min="3" max="4" width="16" bestFit="1" customWidth="1"/>
    <col min="5" max="5" width="18.28515625" bestFit="1" customWidth="1"/>
    <col min="6" max="6" width="13.5703125" bestFit="1" customWidth="1"/>
    <col min="9" max="9" width="10.85546875" bestFit="1" customWidth="1"/>
    <col min="10" max="10" width="18.42578125" style="40" bestFit="1" customWidth="1"/>
    <col min="11" max="11" width="18.5703125" style="40" customWidth="1"/>
    <col min="12" max="12" width="18.28515625" bestFit="1" customWidth="1"/>
    <col min="13" max="13" width="13.5703125" bestFit="1" customWidth="1"/>
    <col min="15" max="15" width="15.42578125" customWidth="1"/>
    <col min="16" max="16" width="15.85546875" style="40" bestFit="1" customWidth="1"/>
    <col min="17" max="17" width="14.28515625" bestFit="1" customWidth="1"/>
    <col min="18" max="18" width="13.28515625" bestFit="1" customWidth="1"/>
    <col min="19" max="19" width="12" customWidth="1"/>
  </cols>
  <sheetData>
    <row r="1" spans="2:20">
      <c r="P1"/>
    </row>
    <row r="2" spans="2:20">
      <c r="P2"/>
      <c r="Q2" s="370"/>
    </row>
    <row r="3" spans="2:20" ht="15.75" thickBot="1">
      <c r="B3" s="413" t="s">
        <v>7</v>
      </c>
      <c r="C3" s="372" t="s">
        <v>41</v>
      </c>
      <c r="D3" s="372" t="s">
        <v>74</v>
      </c>
      <c r="E3" s="372" t="s">
        <v>75</v>
      </c>
      <c r="F3" s="372" t="s">
        <v>76</v>
      </c>
      <c r="I3" s="413" t="s">
        <v>7</v>
      </c>
      <c r="J3" s="414" t="s">
        <v>41</v>
      </c>
      <c r="K3" s="414" t="s">
        <v>74</v>
      </c>
      <c r="L3" s="372" t="s">
        <v>75</v>
      </c>
      <c r="M3" s="372" t="s">
        <v>76</v>
      </c>
      <c r="P3" t="s">
        <v>41</v>
      </c>
      <c r="Q3" t="s">
        <v>42</v>
      </c>
      <c r="R3" t="s">
        <v>38</v>
      </c>
    </row>
    <row r="4" spans="2:20" ht="15.75" thickBot="1">
      <c r="B4" s="415" t="s">
        <v>23</v>
      </c>
      <c r="C4" s="371" t="s">
        <v>77</v>
      </c>
      <c r="D4" s="371" t="s">
        <v>78</v>
      </c>
      <c r="E4" s="371" t="s">
        <v>79</v>
      </c>
      <c r="F4" s="372" t="s">
        <v>80</v>
      </c>
      <c r="I4" s="415" t="s">
        <v>23</v>
      </c>
      <c r="J4" s="373" t="s">
        <v>81</v>
      </c>
      <c r="K4" s="373" t="s">
        <v>82</v>
      </c>
      <c r="L4" s="371" t="s">
        <v>83</v>
      </c>
      <c r="M4" s="372" t="s">
        <v>84</v>
      </c>
      <c r="O4" s="369">
        <v>45658</v>
      </c>
      <c r="P4" s="40">
        <v>159260.53</v>
      </c>
      <c r="Q4" s="40">
        <v>175562.16</v>
      </c>
      <c r="R4" s="370">
        <f>P4-Q4</f>
        <v>-16301.630000000005</v>
      </c>
      <c r="S4" s="374">
        <f>_xlfn.PERCENTOF(P4,Q4)</f>
        <v>0.9071461071110084</v>
      </c>
      <c r="T4" s="597">
        <v>1.0187999999999999</v>
      </c>
    </row>
    <row r="5" spans="2:20" ht="15.75" thickBot="1">
      <c r="B5" s="415" t="s">
        <v>24</v>
      </c>
      <c r="C5" s="371" t="s">
        <v>85</v>
      </c>
      <c r="D5" s="371" t="s">
        <v>86</v>
      </c>
      <c r="E5" s="371" t="s">
        <v>87</v>
      </c>
      <c r="F5" s="372" t="s">
        <v>88</v>
      </c>
      <c r="I5" s="415" t="s">
        <v>24</v>
      </c>
      <c r="J5" s="373" t="s">
        <v>89</v>
      </c>
      <c r="K5" s="373" t="s">
        <v>90</v>
      </c>
      <c r="L5" s="371" t="s">
        <v>91</v>
      </c>
      <c r="M5" s="372" t="s">
        <v>92</v>
      </c>
      <c r="O5" s="369">
        <v>45689</v>
      </c>
      <c r="P5" s="40">
        <v>205465.7</v>
      </c>
      <c r="Q5" s="40">
        <v>187413.04</v>
      </c>
      <c r="R5" s="370">
        <f t="shared" ref="R5:R19" si="0">P5-Q5</f>
        <v>18052.660000000003</v>
      </c>
      <c r="S5" s="374">
        <f t="shared" ref="S5:S23" si="1">_xlfn.PERCENTOF(P5,Q5)</f>
        <v>1.0963255278288</v>
      </c>
      <c r="T5" s="597"/>
    </row>
    <row r="6" spans="2:20" ht="15.75" thickBot="1">
      <c r="B6" s="415" t="s">
        <v>25</v>
      </c>
      <c r="C6" s="371" t="s">
        <v>93</v>
      </c>
      <c r="D6" s="371" t="s">
        <v>94</v>
      </c>
      <c r="E6" s="371" t="s">
        <v>95</v>
      </c>
      <c r="F6" s="372" t="s">
        <v>96</v>
      </c>
      <c r="I6" s="415" t="s">
        <v>25</v>
      </c>
      <c r="J6" s="373" t="s">
        <v>97</v>
      </c>
      <c r="K6" s="373" t="s">
        <v>98</v>
      </c>
      <c r="L6" s="371" t="s">
        <v>99</v>
      </c>
      <c r="M6" s="372" t="s">
        <v>100</v>
      </c>
      <c r="O6" s="369">
        <v>45717</v>
      </c>
      <c r="P6" s="40">
        <v>212696.97</v>
      </c>
      <c r="Q6" s="40">
        <v>235789.98</v>
      </c>
      <c r="R6" s="370">
        <f t="shared" si="0"/>
        <v>-23093.010000000009</v>
      </c>
      <c r="S6" s="374">
        <f t="shared" si="1"/>
        <v>0.90206110539557272</v>
      </c>
      <c r="T6" s="597"/>
    </row>
    <row r="7" spans="2:20" ht="15.75" thickBot="1">
      <c r="B7" s="415" t="s">
        <v>26</v>
      </c>
      <c r="C7" s="371" t="s">
        <v>101</v>
      </c>
      <c r="D7" s="371" t="s">
        <v>102</v>
      </c>
      <c r="E7" s="371" t="s">
        <v>103</v>
      </c>
      <c r="F7" s="372" t="s">
        <v>104</v>
      </c>
      <c r="I7" s="415" t="s">
        <v>26</v>
      </c>
      <c r="J7" s="373" t="s">
        <v>105</v>
      </c>
      <c r="K7" s="373" t="s">
        <v>106</v>
      </c>
      <c r="L7" s="371" t="s">
        <v>107</v>
      </c>
      <c r="M7" s="372" t="s">
        <v>108</v>
      </c>
      <c r="O7" s="369">
        <v>45748</v>
      </c>
      <c r="P7" s="40">
        <v>225882.05</v>
      </c>
      <c r="Q7" s="40">
        <v>204028.74</v>
      </c>
      <c r="R7" s="370">
        <f t="shared" si="0"/>
        <v>21853.309999999998</v>
      </c>
      <c r="S7" s="374">
        <f t="shared" si="1"/>
        <v>1.1071089788624877</v>
      </c>
      <c r="T7" s="597"/>
    </row>
    <row r="8" spans="2:20" ht="15.75" thickBot="1">
      <c r="B8" s="415" t="s">
        <v>27</v>
      </c>
      <c r="C8" s="371" t="s">
        <v>109</v>
      </c>
      <c r="D8" s="371" t="s">
        <v>110</v>
      </c>
      <c r="E8" s="371" t="s">
        <v>111</v>
      </c>
      <c r="F8" s="372" t="s">
        <v>112</v>
      </c>
      <c r="I8" s="415" t="s">
        <v>27</v>
      </c>
      <c r="J8" s="373" t="s">
        <v>113</v>
      </c>
      <c r="K8" s="373" t="s">
        <v>114</v>
      </c>
      <c r="L8" s="371" t="s">
        <v>115</v>
      </c>
      <c r="M8" s="372" t="s">
        <v>116</v>
      </c>
      <c r="O8" s="369">
        <v>45778</v>
      </c>
      <c r="P8" s="40">
        <v>252020.4</v>
      </c>
      <c r="Q8" s="40">
        <v>225748.62</v>
      </c>
      <c r="R8" s="370">
        <f t="shared" si="0"/>
        <v>26271.78</v>
      </c>
      <c r="S8" s="374">
        <f t="shared" si="1"/>
        <v>1.116376259575806</v>
      </c>
      <c r="T8" s="597"/>
    </row>
    <row r="9" spans="2:20" ht="15.75" thickBot="1">
      <c r="B9" s="415" t="s">
        <v>29</v>
      </c>
      <c r="C9" s="371" t="s">
        <v>117</v>
      </c>
      <c r="D9" s="371" t="s">
        <v>118</v>
      </c>
      <c r="E9" s="371" t="s">
        <v>119</v>
      </c>
      <c r="F9" s="372" t="s">
        <v>120</v>
      </c>
      <c r="I9" s="415" t="s">
        <v>29</v>
      </c>
      <c r="J9" s="373" t="s">
        <v>121</v>
      </c>
      <c r="K9" s="373" t="s">
        <v>122</v>
      </c>
      <c r="L9" s="371" t="s">
        <v>123</v>
      </c>
      <c r="M9" s="372" t="s">
        <v>84</v>
      </c>
      <c r="O9" s="369">
        <v>45809</v>
      </c>
      <c r="P9" s="40">
        <v>159826.26</v>
      </c>
      <c r="Q9" s="40">
        <v>201481.58</v>
      </c>
      <c r="R9" s="370">
        <f t="shared" si="0"/>
        <v>-41655.319999999978</v>
      </c>
      <c r="S9" s="374">
        <f t="shared" si="1"/>
        <v>0.79325494668048568</v>
      </c>
      <c r="T9" s="597"/>
    </row>
    <row r="10" spans="2:20" ht="15.75" thickBot="1">
      <c r="B10" s="415" t="s">
        <v>30</v>
      </c>
      <c r="C10" s="371" t="s">
        <v>124</v>
      </c>
      <c r="D10" s="371" t="s">
        <v>125</v>
      </c>
      <c r="E10" s="371" t="s">
        <v>126</v>
      </c>
      <c r="F10" s="372" t="s">
        <v>127</v>
      </c>
      <c r="I10" s="415" t="s">
        <v>30</v>
      </c>
      <c r="J10" s="373" t="s">
        <v>128</v>
      </c>
      <c r="K10" s="373" t="s">
        <v>129</v>
      </c>
      <c r="L10" s="371" t="s">
        <v>130</v>
      </c>
      <c r="M10" s="372" t="s">
        <v>92</v>
      </c>
      <c r="O10" s="369">
        <v>45839</v>
      </c>
      <c r="P10" s="40">
        <v>205248.67</v>
      </c>
      <c r="Q10" s="40">
        <v>214354.38</v>
      </c>
      <c r="R10" s="370">
        <f t="shared" si="0"/>
        <v>-9105.7099999999919</v>
      </c>
      <c r="S10" s="374">
        <f t="shared" si="1"/>
        <v>0.95752029886209933</v>
      </c>
      <c r="T10" s="597"/>
    </row>
    <row r="11" spans="2:20" ht="15.75" thickBot="1">
      <c r="B11" s="415" t="s">
        <v>32</v>
      </c>
      <c r="C11" s="371" t="s">
        <v>131</v>
      </c>
      <c r="D11" s="371" t="s">
        <v>132</v>
      </c>
      <c r="E11" s="371" t="s">
        <v>133</v>
      </c>
      <c r="F11" s="372" t="s">
        <v>134</v>
      </c>
      <c r="I11" s="415" t="s">
        <v>32</v>
      </c>
      <c r="J11" s="373" t="s">
        <v>135</v>
      </c>
      <c r="K11" s="373" t="s">
        <v>136</v>
      </c>
      <c r="L11" s="371" t="s">
        <v>137</v>
      </c>
      <c r="M11" s="372" t="s">
        <v>138</v>
      </c>
      <c r="O11" s="369">
        <v>45870</v>
      </c>
      <c r="P11" s="40">
        <v>183735.51</v>
      </c>
      <c r="Q11" s="40">
        <v>191802.78</v>
      </c>
      <c r="R11" s="370">
        <f t="shared" si="0"/>
        <v>-8067.2699999999895</v>
      </c>
      <c r="S11" s="374">
        <f t="shared" si="1"/>
        <v>0.95793976500236344</v>
      </c>
      <c r="T11" s="597"/>
    </row>
    <row r="12" spans="2:20" ht="15.75" thickBot="1">
      <c r="B12" s="415" t="s">
        <v>34</v>
      </c>
      <c r="C12" s="371" t="s">
        <v>139</v>
      </c>
      <c r="D12" s="371" t="s">
        <v>140</v>
      </c>
      <c r="E12" s="371" t="s">
        <v>141</v>
      </c>
      <c r="F12" s="372" t="s">
        <v>142</v>
      </c>
      <c r="I12" s="415" t="s">
        <v>34</v>
      </c>
      <c r="J12" s="373">
        <v>202938.1</v>
      </c>
      <c r="K12" s="373">
        <v>204295.82</v>
      </c>
      <c r="L12" s="416">
        <f>J12-K12</f>
        <v>-1357.7200000000012</v>
      </c>
      <c r="M12" s="372" t="s">
        <v>127</v>
      </c>
      <c r="O12" s="369">
        <v>45901</v>
      </c>
      <c r="P12" s="40">
        <v>202938.1</v>
      </c>
      <c r="Q12" s="40">
        <v>204295.82</v>
      </c>
      <c r="R12" s="370">
        <f t="shared" si="0"/>
        <v>-1357.7200000000012</v>
      </c>
      <c r="S12" s="374">
        <f t="shared" si="1"/>
        <v>0.99335414694240931</v>
      </c>
      <c r="T12" s="597"/>
    </row>
    <row r="13" spans="2:20" ht="15.75" thickBot="1">
      <c r="B13" s="415" t="s">
        <v>35</v>
      </c>
      <c r="C13" s="371" t="s">
        <v>143</v>
      </c>
      <c r="D13" s="371" t="s">
        <v>144</v>
      </c>
      <c r="E13" s="371" t="s">
        <v>145</v>
      </c>
      <c r="F13" s="372" t="s">
        <v>104</v>
      </c>
      <c r="I13" s="415" t="s">
        <v>35</v>
      </c>
      <c r="J13" s="373" t="s">
        <v>146</v>
      </c>
      <c r="K13" s="373" t="s">
        <v>147</v>
      </c>
      <c r="L13" s="416" t="e">
        <f t="shared" ref="L13:L14" si="2">J13-K13</f>
        <v>#VALUE!</v>
      </c>
      <c r="M13" s="372" t="s">
        <v>148</v>
      </c>
      <c r="O13" s="369">
        <v>45931</v>
      </c>
      <c r="P13" s="40">
        <v>178379.29</v>
      </c>
      <c r="Q13" s="40">
        <v>167394.79</v>
      </c>
      <c r="R13" s="370">
        <f t="shared" si="0"/>
        <v>10984.5</v>
      </c>
      <c r="S13" s="374">
        <f t="shared" si="1"/>
        <v>1.0656203218750118</v>
      </c>
      <c r="T13" s="597"/>
    </row>
    <row r="14" spans="2:20" ht="15.75" thickBot="1">
      <c r="B14" s="415" t="s">
        <v>36</v>
      </c>
      <c r="C14" s="371" t="s">
        <v>149</v>
      </c>
      <c r="D14" s="371" t="s">
        <v>150</v>
      </c>
      <c r="E14" s="371" t="s">
        <v>151</v>
      </c>
      <c r="F14" s="372" t="s">
        <v>152</v>
      </c>
      <c r="I14" s="415" t="s">
        <v>36</v>
      </c>
      <c r="J14" s="373">
        <v>184310.95</v>
      </c>
      <c r="K14" s="373" t="s">
        <v>153</v>
      </c>
      <c r="L14" s="416" t="e">
        <f t="shared" si="2"/>
        <v>#VALUE!</v>
      </c>
      <c r="M14" s="372" t="s">
        <v>138</v>
      </c>
      <c r="O14" s="369">
        <v>45962</v>
      </c>
      <c r="P14" s="40">
        <v>184310.95</v>
      </c>
      <c r="Q14" s="40">
        <v>183155.39</v>
      </c>
      <c r="R14" s="370">
        <f t="shared" si="0"/>
        <v>1155.5599999999977</v>
      </c>
      <c r="S14" s="374">
        <f t="shared" si="1"/>
        <v>1.0063091782338482</v>
      </c>
      <c r="T14" s="597"/>
    </row>
    <row r="15" spans="2:20" ht="15.75" thickBot="1">
      <c r="B15" s="415" t="s">
        <v>37</v>
      </c>
      <c r="C15" s="371" t="s">
        <v>154</v>
      </c>
      <c r="D15" s="371" t="s">
        <v>155</v>
      </c>
      <c r="E15" s="371" t="s">
        <v>156</v>
      </c>
      <c r="F15" s="372" t="s">
        <v>157</v>
      </c>
      <c r="I15" s="415" t="s">
        <v>37</v>
      </c>
      <c r="J15" s="373">
        <v>198779.59</v>
      </c>
      <c r="K15" s="373" t="s">
        <v>158</v>
      </c>
      <c r="L15" s="416" t="e">
        <f>J15-K15</f>
        <v>#VALUE!</v>
      </c>
      <c r="M15" s="372" t="s">
        <v>159</v>
      </c>
      <c r="O15" s="369">
        <v>45992</v>
      </c>
      <c r="P15" s="40">
        <v>198779.59</v>
      </c>
      <c r="Q15" s="40">
        <v>179590.32</v>
      </c>
      <c r="R15" s="370">
        <f t="shared" si="0"/>
        <v>19189.26999999999</v>
      </c>
      <c r="S15" s="374">
        <f t="shared" si="1"/>
        <v>1.1068502467170835</v>
      </c>
      <c r="T15" s="597"/>
    </row>
    <row r="16" spans="2:20">
      <c r="I16" s="367">
        <v>46023</v>
      </c>
      <c r="J16" s="361">
        <f>SUMIF('ENTRADAS - FIN - ilumi'!F:F,"Janeiro",'ENTRADAS - FIN - ilumi'!D:D)</f>
        <v>132275.39999999997</v>
      </c>
      <c r="K16" s="361">
        <f>SUMIF('SAIDAS-FIN-ilumi'!F:F,"Janeiro",'SAIDAS-FIN-ilumi'!D:D)</f>
        <v>116350.31</v>
      </c>
      <c r="L16" s="360" t="e">
        <f>D13+J16-K16</f>
        <v>#VALUE!</v>
      </c>
      <c r="M16" s="368" t="e">
        <f>IF(D13=0,0,(L16-D13)/D13)</f>
        <v>#VALUE!</v>
      </c>
      <c r="O16" s="369">
        <v>46023</v>
      </c>
      <c r="P16" s="40">
        <v>132275.4</v>
      </c>
      <c r="Q16" s="40">
        <v>116350.31</v>
      </c>
      <c r="R16" s="370">
        <f t="shared" si="0"/>
        <v>15925.089999999997</v>
      </c>
      <c r="S16" s="374">
        <f t="shared" si="1"/>
        <v>1.1368719172299584</v>
      </c>
      <c r="T16" s="597"/>
    </row>
    <row r="17" spans="3:20">
      <c r="I17" s="367">
        <v>46054</v>
      </c>
      <c r="J17" s="361">
        <f>SUMIF('ENTRADAS - FIN - ilumi'!F:F,"Fevereiro",'ENTRADAS - FIN - ilumi'!D:D)</f>
        <v>126679.25000000001</v>
      </c>
      <c r="K17" s="361">
        <f>SUMIF('SAIDAS-FIN-ilumi'!F:F,"Fevereiro",'SAIDAS-FIN-ilumi'!D:D)</f>
        <v>133410.26</v>
      </c>
      <c r="L17" s="360" t="e">
        <f>L16+J17-K17</f>
        <v>#VALUE!</v>
      </c>
      <c r="M17" s="368" t="e">
        <f>IF(D13=0,0,(L17-D13)/D13)</f>
        <v>#VALUE!</v>
      </c>
      <c r="O17" s="369">
        <v>46054</v>
      </c>
      <c r="P17" s="40">
        <v>126679.25</v>
      </c>
      <c r="Q17" s="40">
        <v>133410.26</v>
      </c>
      <c r="R17" s="370">
        <f t="shared" si="0"/>
        <v>-6731.0100000000093</v>
      </c>
      <c r="S17" s="374">
        <f t="shared" si="1"/>
        <v>0.9495465341271353</v>
      </c>
      <c r="T17" s="597"/>
    </row>
    <row r="18" spans="3:20">
      <c r="I18" s="367">
        <v>46082</v>
      </c>
      <c r="J18" s="361">
        <f>SUMIF('ENTRADAS - FIN - ilumi'!F:F,"Março",'ENTRADAS - FIN - ilumi'!D:D)</f>
        <v>183424.12</v>
      </c>
      <c r="K18" s="361">
        <f>SUMIF('SAIDAS-FIN-ilumi'!F:F,"Março",'SAIDAS-FIN-ilumi'!D:D)</f>
        <v>192968.08000000005</v>
      </c>
      <c r="L18" s="360" t="e">
        <f>L17+J18-K18</f>
        <v>#VALUE!</v>
      </c>
      <c r="M18" s="368" t="e">
        <f>IF(D13=0,0,(L18-D13)/D13)</f>
        <v>#VALUE!</v>
      </c>
      <c r="O18" s="369">
        <v>46082</v>
      </c>
      <c r="P18" s="40">
        <v>183424.12</v>
      </c>
      <c r="Q18" s="40">
        <v>192968.08</v>
      </c>
      <c r="R18" s="370">
        <f t="shared" si="0"/>
        <v>-9543.9599999999919</v>
      </c>
      <c r="S18" s="374">
        <f t="shared" si="1"/>
        <v>0.95054125013836488</v>
      </c>
      <c r="T18" s="597"/>
    </row>
    <row r="19" spans="3:20">
      <c r="I19" s="367">
        <v>46113</v>
      </c>
      <c r="J19" s="361">
        <f>SUMIF('ENTRADAS - FIN - ilumi'!F:F,"Abril",'ENTRADAS - FIN - ilumi'!D:D)</f>
        <v>214380.68000000005</v>
      </c>
      <c r="K19" s="361">
        <f>SUMIF('SAIDAS-FIN-ilumi'!F:F,"Abril",'SAIDAS-FIN-ilumi'!D:D)</f>
        <v>231574.29999999984</v>
      </c>
      <c r="L19" s="360" t="e">
        <f>L18+J19-K19</f>
        <v>#VALUE!</v>
      </c>
      <c r="M19" s="368" t="e">
        <f>IF(D13=0,0,(L19-D13)/D13)</f>
        <v>#VALUE!</v>
      </c>
      <c r="O19" s="369">
        <v>46113</v>
      </c>
      <c r="P19" s="40">
        <v>214380.68</v>
      </c>
      <c r="Q19" s="40">
        <v>231574.3</v>
      </c>
      <c r="R19" s="370">
        <f t="shared" si="0"/>
        <v>-17193.619999999995</v>
      </c>
      <c r="S19" s="374">
        <f t="shared" si="1"/>
        <v>0.92575333273165461</v>
      </c>
      <c r="T19" s="597"/>
    </row>
    <row r="20" spans="3:20">
      <c r="C20" s="40">
        <v>19591.87</v>
      </c>
      <c r="D20" s="40">
        <v>19373.98</v>
      </c>
      <c r="E20" s="370">
        <f>C20-D20</f>
        <v>217.88999999999942</v>
      </c>
      <c r="O20" s="367">
        <v>46143</v>
      </c>
      <c r="P20" s="361">
        <f>_xlfn.FORECAST.LINEAR(O20,P8:P19,O8:O19)*1.083</f>
        <v>175445.05310518105</v>
      </c>
      <c r="Q20" s="358">
        <f>AVERAGE(Q8:Q19)</f>
        <v>186843.88583333333</v>
      </c>
      <c r="R20" s="358">
        <f>P20-Q20</f>
        <v>-11398.83272815228</v>
      </c>
      <c r="S20" s="368">
        <f t="shared" si="1"/>
        <v>0.93899274425110091</v>
      </c>
    </row>
    <row r="21" spans="3:20">
      <c r="C21" s="40">
        <v>57998.11</v>
      </c>
      <c r="D21" s="40">
        <v>50024.99</v>
      </c>
      <c r="E21" s="370">
        <f t="shared" ref="E21:E31" si="3">C21-D21</f>
        <v>7973.1200000000026</v>
      </c>
      <c r="I21" s="369">
        <v>45658</v>
      </c>
      <c r="J21" s="40">
        <f>C20+P4</f>
        <v>178852.4</v>
      </c>
      <c r="K21" s="40">
        <f>D20+Q4</f>
        <v>194936.14</v>
      </c>
      <c r="L21" s="370">
        <f>J21-K21</f>
        <v>-16083.74000000002</v>
      </c>
      <c r="O21" s="367">
        <v>46174</v>
      </c>
      <c r="P21" s="361">
        <f>_xlfn.FORECAST.LINEAR(O21,P9:P20,O9:O20)*1.083</f>
        <v>187195.63898553851</v>
      </c>
      <c r="Q21" s="358">
        <f t="shared" ref="Q21:Q23" si="4">AVERAGE(Q9:Q20)</f>
        <v>183601.82465277784</v>
      </c>
      <c r="R21" s="358">
        <f t="shared" ref="R21:R23" si="5">P21-Q21</f>
        <v>3593.8143327606667</v>
      </c>
      <c r="S21" s="368">
        <f t="shared" si="1"/>
        <v>1.019573957609393</v>
      </c>
    </row>
    <row r="22" spans="3:20">
      <c r="C22" s="40">
        <v>56487.68</v>
      </c>
      <c r="D22" s="40">
        <v>51121.51</v>
      </c>
      <c r="E22" s="370">
        <f t="shared" si="3"/>
        <v>5366.1699999999983</v>
      </c>
      <c r="I22" s="369">
        <v>45689</v>
      </c>
      <c r="J22" s="40">
        <f t="shared" ref="J22:J36" si="6">C21+P5</f>
        <v>263463.81</v>
      </c>
      <c r="K22" s="40">
        <f t="shared" ref="K22:K36" si="7">D21+Q5</f>
        <v>237438.03</v>
      </c>
      <c r="L22" s="370">
        <f t="shared" ref="L22:L41" si="8">J22-K22</f>
        <v>26025.78</v>
      </c>
      <c r="O22" s="367">
        <v>46204</v>
      </c>
      <c r="P22" s="361">
        <f>_xlfn.FORECAST.LINEAR(O22,P10:P21,O10:O21)*1.083</f>
        <v>185870.7357257749</v>
      </c>
      <c r="Q22" s="358">
        <f t="shared" si="4"/>
        <v>182111.84504050927</v>
      </c>
      <c r="R22" s="358">
        <f t="shared" si="5"/>
        <v>3758.8906852656219</v>
      </c>
      <c r="S22" s="368">
        <f t="shared" si="1"/>
        <v>1.0206405612135196</v>
      </c>
    </row>
    <row r="23" spans="3:20">
      <c r="C23" s="40">
        <v>61782.7</v>
      </c>
      <c r="D23" s="40">
        <v>82130.25</v>
      </c>
      <c r="E23" s="370">
        <f t="shared" si="3"/>
        <v>-20347.550000000003</v>
      </c>
      <c r="I23" s="369">
        <v>45717</v>
      </c>
      <c r="J23" s="40">
        <f t="shared" si="6"/>
        <v>269184.65000000002</v>
      </c>
      <c r="K23" s="40">
        <f t="shared" si="7"/>
        <v>286911.49</v>
      </c>
      <c r="L23" s="370">
        <f t="shared" si="8"/>
        <v>-17726.839999999967</v>
      </c>
      <c r="O23" s="367">
        <v>46235</v>
      </c>
      <c r="P23" s="361">
        <f>_xlfn.FORECAST.LINEAR(O23,P11:P22,O11:O22)*1.083</f>
        <v>193165.14519851506</v>
      </c>
      <c r="Q23" s="358">
        <f t="shared" si="4"/>
        <v>179424.96712721838</v>
      </c>
      <c r="R23" s="358">
        <f t="shared" si="5"/>
        <v>13740.178071296687</v>
      </c>
      <c r="S23" s="368">
        <f t="shared" si="1"/>
        <v>1.0765789638492977</v>
      </c>
    </row>
    <row r="24" spans="3:20">
      <c r="C24" s="40">
        <v>39163.78</v>
      </c>
      <c r="D24" s="40">
        <v>28422.61</v>
      </c>
      <c r="E24" s="370">
        <f t="shared" si="3"/>
        <v>10741.169999999998</v>
      </c>
      <c r="I24" s="369">
        <v>45748</v>
      </c>
      <c r="J24" s="40">
        <f t="shared" si="6"/>
        <v>287664.75</v>
      </c>
      <c r="K24" s="40">
        <f t="shared" si="7"/>
        <v>286158.99</v>
      </c>
      <c r="L24" s="370">
        <f t="shared" si="8"/>
        <v>1505.7600000000093</v>
      </c>
    </row>
    <row r="25" spans="3:20">
      <c r="C25" s="40">
        <v>17138.87</v>
      </c>
      <c r="D25" s="40">
        <v>30422.9</v>
      </c>
      <c r="E25" s="370">
        <f t="shared" si="3"/>
        <v>-13284.030000000002</v>
      </c>
      <c r="I25" s="369">
        <v>45778</v>
      </c>
      <c r="J25" s="40">
        <f t="shared" si="6"/>
        <v>291184.18</v>
      </c>
      <c r="K25" s="40">
        <f t="shared" si="7"/>
        <v>254171.22999999998</v>
      </c>
      <c r="L25" s="370">
        <f t="shared" si="8"/>
        <v>37012.950000000012</v>
      </c>
    </row>
    <row r="26" spans="3:20">
      <c r="C26" s="40">
        <v>68605.59</v>
      </c>
      <c r="D26" s="40">
        <v>65737.81</v>
      </c>
      <c r="E26" s="370">
        <f t="shared" si="3"/>
        <v>2867.7799999999988</v>
      </c>
      <c r="I26" s="369">
        <v>45809</v>
      </c>
      <c r="J26" s="40">
        <f t="shared" si="6"/>
        <v>176965.13</v>
      </c>
      <c r="K26" s="40">
        <f t="shared" si="7"/>
        <v>231904.47999999998</v>
      </c>
      <c r="L26" s="370">
        <f t="shared" si="8"/>
        <v>-54939.349999999977</v>
      </c>
    </row>
    <row r="27" spans="3:20">
      <c r="C27" s="40">
        <v>84229.75</v>
      </c>
      <c r="D27" s="40">
        <v>84871.12</v>
      </c>
      <c r="E27" s="370">
        <f t="shared" si="3"/>
        <v>-641.36999999999534</v>
      </c>
      <c r="I27" s="369">
        <v>45839</v>
      </c>
      <c r="J27" s="40">
        <f t="shared" si="6"/>
        <v>273854.26</v>
      </c>
      <c r="K27" s="40">
        <f t="shared" si="7"/>
        <v>280092.19</v>
      </c>
      <c r="L27" s="370">
        <f t="shared" si="8"/>
        <v>-6237.929999999993</v>
      </c>
    </row>
    <row r="28" spans="3:20">
      <c r="C28" s="40">
        <v>126144.65</v>
      </c>
      <c r="D28" s="40">
        <v>117673.3</v>
      </c>
      <c r="E28" s="370">
        <f t="shared" si="3"/>
        <v>8471.3499999999913</v>
      </c>
      <c r="I28" s="369">
        <v>45870</v>
      </c>
      <c r="J28" s="40">
        <f t="shared" si="6"/>
        <v>267965.26</v>
      </c>
      <c r="K28" s="40">
        <f t="shared" si="7"/>
        <v>276673.90000000002</v>
      </c>
      <c r="L28" s="370">
        <f t="shared" si="8"/>
        <v>-8708.640000000014</v>
      </c>
    </row>
    <row r="29" spans="3:20">
      <c r="C29" s="40">
        <v>61637.75</v>
      </c>
      <c r="D29" s="40">
        <v>70384.44</v>
      </c>
      <c r="E29" s="370">
        <f t="shared" si="3"/>
        <v>-8746.6900000000023</v>
      </c>
      <c r="I29" s="369">
        <v>45901</v>
      </c>
      <c r="J29" s="40">
        <f t="shared" si="6"/>
        <v>329082.75</v>
      </c>
      <c r="K29" s="40">
        <f t="shared" si="7"/>
        <v>321969.12</v>
      </c>
      <c r="L29" s="370">
        <f t="shared" si="8"/>
        <v>7113.6300000000047</v>
      </c>
    </row>
    <row r="30" spans="3:20">
      <c r="C30" s="40">
        <v>58123.77</v>
      </c>
      <c r="D30" s="40">
        <v>57720.85</v>
      </c>
      <c r="E30" s="370">
        <f t="shared" si="3"/>
        <v>402.91999999999825</v>
      </c>
      <c r="I30" s="369">
        <v>45931</v>
      </c>
      <c r="J30" s="40">
        <f t="shared" si="6"/>
        <v>240017.04</v>
      </c>
      <c r="K30" s="40">
        <f t="shared" si="7"/>
        <v>237779.23</v>
      </c>
      <c r="L30" s="370">
        <f t="shared" si="8"/>
        <v>2237.8099999999977</v>
      </c>
    </row>
    <row r="31" spans="3:20">
      <c r="C31" s="40">
        <v>150258.42000000001</v>
      </c>
      <c r="D31" s="40">
        <v>79092.13</v>
      </c>
      <c r="E31" s="370">
        <f t="shared" si="3"/>
        <v>71166.290000000008</v>
      </c>
      <c r="I31" s="369">
        <v>45962</v>
      </c>
      <c r="J31" s="40">
        <f t="shared" si="6"/>
        <v>242434.72</v>
      </c>
      <c r="K31" s="40">
        <f t="shared" si="7"/>
        <v>240876.24000000002</v>
      </c>
      <c r="L31" s="370">
        <f t="shared" si="8"/>
        <v>1558.4799999999814</v>
      </c>
    </row>
    <row r="32" spans="3:20">
      <c r="C32" s="40">
        <v>13593.52</v>
      </c>
      <c r="D32" s="40">
        <v>74876.929999999978</v>
      </c>
      <c r="E32" s="370">
        <f>C32-D32</f>
        <v>-61283.409999999974</v>
      </c>
      <c r="I32" s="369">
        <v>45992</v>
      </c>
      <c r="J32" s="40">
        <f t="shared" si="6"/>
        <v>349038.01</v>
      </c>
      <c r="K32" s="40">
        <f t="shared" si="7"/>
        <v>258682.45</v>
      </c>
      <c r="L32" s="370">
        <f t="shared" si="8"/>
        <v>90355.56</v>
      </c>
    </row>
    <row r="33" spans="3:12">
      <c r="C33" s="40">
        <v>37091.380000000005</v>
      </c>
      <c r="D33" s="40">
        <v>44764.380000000005</v>
      </c>
      <c r="E33" s="370">
        <f t="shared" ref="E33:E35" si="9">C33-D33</f>
        <v>-7673</v>
      </c>
      <c r="I33" s="369">
        <v>46023</v>
      </c>
      <c r="J33" s="40">
        <f t="shared" si="6"/>
        <v>145868.91999999998</v>
      </c>
      <c r="K33" s="40">
        <f t="shared" si="7"/>
        <v>191227.24</v>
      </c>
      <c r="L33" s="370">
        <f t="shared" si="8"/>
        <v>-45358.320000000007</v>
      </c>
    </row>
    <row r="34" spans="3:12">
      <c r="C34" s="40">
        <v>37723.490000000005</v>
      </c>
      <c r="D34" s="40">
        <v>35226.35</v>
      </c>
      <c r="E34" s="370">
        <f t="shared" si="9"/>
        <v>2497.1400000000067</v>
      </c>
      <c r="I34" s="369">
        <v>46054</v>
      </c>
      <c r="J34" s="40">
        <f t="shared" si="6"/>
        <v>163770.63</v>
      </c>
      <c r="K34" s="40">
        <f t="shared" si="7"/>
        <v>178174.64</v>
      </c>
      <c r="L34" s="370">
        <f t="shared" si="8"/>
        <v>-14404.010000000009</v>
      </c>
    </row>
    <row r="35" spans="3:12">
      <c r="C35" s="40">
        <v>105609.12</v>
      </c>
      <c r="D35" s="40">
        <v>108035.78</v>
      </c>
      <c r="E35" s="370">
        <f t="shared" si="9"/>
        <v>-2426.6600000000035</v>
      </c>
      <c r="I35" s="369">
        <v>46082</v>
      </c>
      <c r="J35" s="40">
        <f t="shared" si="6"/>
        <v>221147.61</v>
      </c>
      <c r="K35" s="40">
        <f t="shared" si="7"/>
        <v>228194.43</v>
      </c>
      <c r="L35" s="370">
        <f t="shared" si="8"/>
        <v>-7046.820000000007</v>
      </c>
    </row>
    <row r="36" spans="3:12">
      <c r="I36" s="369">
        <v>46113</v>
      </c>
      <c r="J36" s="40">
        <f t="shared" si="6"/>
        <v>319989.8</v>
      </c>
      <c r="K36" s="40">
        <f t="shared" si="7"/>
        <v>339610.07999999996</v>
      </c>
      <c r="L36" s="370">
        <f t="shared" si="8"/>
        <v>-19620.27999999997</v>
      </c>
    </row>
    <row r="37" spans="3:12">
      <c r="I37" s="369">
        <v>46143</v>
      </c>
      <c r="J37" s="40">
        <f>_xlfn.FORECAST.LINEAR(I37,J21:J36,I21:I36)*1.083</f>
        <v>269520.26008572243</v>
      </c>
      <c r="K37" s="40">
        <f>AVERAGE(K21:K36)</f>
        <v>252799.99250000005</v>
      </c>
      <c r="L37" s="370">
        <f t="shared" si="8"/>
        <v>16720.26758572238</v>
      </c>
    </row>
    <row r="38" spans="3:12">
      <c r="I38" s="369">
        <v>46174</v>
      </c>
      <c r="J38" s="40">
        <f t="shared" ref="J38:J41" si="10">_xlfn.FORECAST.LINEAR(I38,J22:J37,I22:I37)*1.083</f>
        <v>262741.41660332656</v>
      </c>
      <c r="K38" s="40">
        <f t="shared" ref="K38:K41" si="11">AVERAGE(K22:K37)</f>
        <v>256416.48328125008</v>
      </c>
      <c r="L38" s="370">
        <f t="shared" si="8"/>
        <v>6324.933322076482</v>
      </c>
    </row>
    <row r="39" spans="3:12">
      <c r="I39" s="369">
        <v>46204</v>
      </c>
      <c r="J39" s="40">
        <f t="shared" si="10"/>
        <v>265397.97317560174</v>
      </c>
      <c r="K39" s="40">
        <f t="shared" si="11"/>
        <v>257602.6366113282</v>
      </c>
      <c r="L39" s="370">
        <f t="shared" si="8"/>
        <v>7795.3365642735444</v>
      </c>
    </row>
    <row r="40" spans="3:12">
      <c r="I40" s="369">
        <v>46235</v>
      </c>
      <c r="J40" s="40">
        <f t="shared" si="10"/>
        <v>269643.02358082554</v>
      </c>
      <c r="K40" s="40">
        <f t="shared" si="11"/>
        <v>255770.83327453618</v>
      </c>
      <c r="L40" s="370">
        <f t="shared" si="8"/>
        <v>13872.190306289354</v>
      </c>
    </row>
    <row r="41" spans="3:12">
      <c r="I41" s="369">
        <v>46266</v>
      </c>
      <c r="J41" s="40">
        <f t="shared" si="10"/>
        <v>278206.61054312799</v>
      </c>
      <c r="K41" s="40">
        <f t="shared" si="11"/>
        <v>253871.57347919469</v>
      </c>
      <c r="L41" s="370">
        <f t="shared" si="8"/>
        <v>24335.037063933298</v>
      </c>
    </row>
  </sheetData>
  <mergeCells count="1">
    <mergeCell ref="T4:T1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775E-A5E4-45AA-8396-421C16C8CBDA}">
  <dimension ref="A1:E21"/>
  <sheetViews>
    <sheetView workbookViewId="0"/>
  </sheetViews>
  <sheetFormatPr defaultRowHeight="15"/>
  <cols>
    <col min="1" max="1" width="17.140625" customWidth="1"/>
    <col min="2" max="2" width="9.85546875" customWidth="1"/>
    <col min="3" max="3" width="10.7109375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45658</v>
      </c>
      <c r="B2">
        <v>178852.4</v>
      </c>
    </row>
    <row r="3" spans="1:5">
      <c r="A3">
        <v>45689</v>
      </c>
      <c r="B3">
        <v>263463.81</v>
      </c>
    </row>
    <row r="4" spans="1:5">
      <c r="A4">
        <v>45717</v>
      </c>
      <c r="B4">
        <v>269184.65000000002</v>
      </c>
    </row>
    <row r="5" spans="1:5">
      <c r="A5">
        <v>45748</v>
      </c>
      <c r="B5">
        <v>287664.75</v>
      </c>
    </row>
    <row r="6" spans="1:5">
      <c r="A6">
        <v>45778</v>
      </c>
      <c r="B6">
        <v>291184.18</v>
      </c>
    </row>
    <row r="7" spans="1:5">
      <c r="A7">
        <v>45809</v>
      </c>
      <c r="B7">
        <v>176965.13</v>
      </c>
    </row>
    <row r="8" spans="1:5">
      <c r="A8">
        <v>45839</v>
      </c>
      <c r="B8">
        <v>273854.26</v>
      </c>
    </row>
    <row r="9" spans="1:5">
      <c r="A9">
        <v>45870</v>
      </c>
      <c r="B9">
        <v>267965.26</v>
      </c>
    </row>
    <row r="10" spans="1:5">
      <c r="A10">
        <v>45901</v>
      </c>
      <c r="B10">
        <v>329082.75</v>
      </c>
    </row>
    <row r="11" spans="1:5">
      <c r="A11">
        <v>45931</v>
      </c>
      <c r="B11">
        <v>240017.04</v>
      </c>
    </row>
    <row r="12" spans="1:5">
      <c r="A12">
        <v>45962</v>
      </c>
      <c r="B12">
        <v>242434.72</v>
      </c>
    </row>
    <row r="13" spans="1:5">
      <c r="A13">
        <v>45992</v>
      </c>
      <c r="B13">
        <v>349038.01</v>
      </c>
    </row>
    <row r="14" spans="1:5">
      <c r="A14">
        <v>46023</v>
      </c>
      <c r="B14">
        <v>145868.91999999998</v>
      </c>
    </row>
    <row r="15" spans="1:5">
      <c r="A15">
        <v>46054</v>
      </c>
      <c r="B15">
        <v>163770.63</v>
      </c>
    </row>
    <row r="16" spans="1:5">
      <c r="A16">
        <v>46082</v>
      </c>
      <c r="B16">
        <v>221147.61</v>
      </c>
    </row>
    <row r="17" spans="1:5">
      <c r="A17">
        <v>46113</v>
      </c>
      <c r="B17">
        <v>319989.8</v>
      </c>
      <c r="C17">
        <v>319989.8</v>
      </c>
      <c r="D17" s="385">
        <v>319989.8</v>
      </c>
      <c r="E17" s="385">
        <v>319989.8</v>
      </c>
    </row>
    <row r="18" spans="1:5">
      <c r="A18">
        <v>46143</v>
      </c>
      <c r="C18">
        <f>_xlfn.FORECAST.ETS(A18,$B$2:$B$17,$A$2:$A$17,1,1)</f>
        <v>263468.5321484548</v>
      </c>
      <c r="D18" s="385">
        <f>C18-_xlfn.FORECAST.ETS.CONFINT(A18,$B$2:$B$17,$A$2:$A$17,0.95,1,1)</f>
        <v>121874.18153649615</v>
      </c>
      <c r="E18" s="385">
        <f>C18+_xlfn.FORECAST.ETS.CONFINT(A18,$B$2:$B$17,$A$2:$A$17,0.95,1,1)</f>
        <v>405062.88276041346</v>
      </c>
    </row>
    <row r="19" spans="1:5">
      <c r="A19">
        <v>46174</v>
      </c>
      <c r="C19">
        <f>_xlfn.FORECAST.ETS(A19,$B$2:$B$17,$A$2:$A$17,1,1)</f>
        <v>263381.68265788472</v>
      </c>
      <c r="D19" s="385">
        <f>C19-_xlfn.FORECAST.ETS.CONFINT(A19,$B$2:$B$17,$A$2:$A$17,0.95,1,1)</f>
        <v>105011.01250203422</v>
      </c>
      <c r="E19" s="385">
        <f>C19+_xlfn.FORECAST.ETS.CONFINT(A19,$B$2:$B$17,$A$2:$A$17,0.95,1,1)</f>
        <v>421752.35281373526</v>
      </c>
    </row>
    <row r="20" spans="1:5">
      <c r="A20">
        <v>46204</v>
      </c>
      <c r="C20">
        <f>_xlfn.FORECAST.ETS(A20,$B$2:$B$17,$A$2:$A$17,1,1)</f>
        <v>263294.83316731459</v>
      </c>
      <c r="D20" s="385">
        <f>C20-_xlfn.FORECAST.ETS.CONFINT(A20,$B$2:$B$17,$A$2:$A$17,0.95,1,1)</f>
        <v>89704.259365020494</v>
      </c>
      <c r="E20" s="385">
        <f>C20+_xlfn.FORECAST.ETS.CONFINT(A20,$B$2:$B$17,$A$2:$A$17,0.95,1,1)</f>
        <v>436885.40696960868</v>
      </c>
    </row>
    <row r="21" spans="1:5">
      <c r="A21">
        <v>46235</v>
      </c>
      <c r="C21">
        <f>_xlfn.FORECAST.ETS(A21,$B$2:$B$17,$A$2:$A$17,1,1)</f>
        <v>263207.98367674445</v>
      </c>
      <c r="D21" s="385">
        <f>C21-_xlfn.FORECAST.ETS.CONFINT(A21,$B$2:$B$17,$A$2:$A$17,0.95,1,1)</f>
        <v>75574.68528508881</v>
      </c>
      <c r="E21" s="385">
        <f>C21+_xlfn.FORECAST.ETS.CONFINT(A21,$B$2:$B$17,$A$2:$A$17,0.95,1,1)</f>
        <v>450841.28206840006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2092-89D6-48D4-975C-F17F093C57A9}">
  <dimension ref="A1:AI159"/>
  <sheetViews>
    <sheetView tabSelected="1" topLeftCell="A10" zoomScale="70" zoomScaleNormal="70" workbookViewId="0">
      <selection activeCell="G25" sqref="G25"/>
    </sheetView>
  </sheetViews>
  <sheetFormatPr defaultRowHeight="15"/>
  <cols>
    <col min="1" max="1" width="20" customWidth="1"/>
    <col min="2" max="2" width="19.7109375" customWidth="1"/>
    <col min="3" max="3" width="14.42578125" bestFit="1" customWidth="1"/>
    <col min="4" max="4" width="44.140625" bestFit="1" customWidth="1"/>
    <col min="5" max="5" width="17.7109375" bestFit="1" customWidth="1"/>
    <col min="6" max="6" width="9.140625" customWidth="1"/>
    <col min="7" max="7" width="16.7109375" customWidth="1"/>
    <col min="8" max="8" width="20.140625" customWidth="1"/>
    <col min="9" max="9" width="27.140625" bestFit="1" customWidth="1"/>
    <col min="10" max="10" width="17.7109375" bestFit="1" customWidth="1"/>
    <col min="12" max="12" width="44.140625" bestFit="1" customWidth="1"/>
    <col min="13" max="13" width="17.28515625" customWidth="1"/>
    <col min="14" max="14" width="44.140625" style="33" bestFit="1" customWidth="1"/>
    <col min="15" max="15" width="14.28515625" style="33" bestFit="1" customWidth="1"/>
    <col min="16" max="17" width="9.140625" style="33"/>
    <col min="18" max="18" width="9.28515625" style="33" customWidth="1"/>
    <col min="19" max="20" width="17.7109375" style="33" bestFit="1" customWidth="1"/>
    <col min="21" max="21" width="16.42578125" style="33" bestFit="1" customWidth="1"/>
    <col min="22" max="23" width="9.140625" style="33"/>
    <col min="24" max="24" width="9.5703125" style="33" bestFit="1" customWidth="1"/>
    <col min="25" max="25" width="26.85546875" style="33" bestFit="1" customWidth="1"/>
    <col min="26" max="26" width="23.85546875" style="33" bestFit="1" customWidth="1"/>
    <col min="27" max="27" width="19.140625" style="33" bestFit="1" customWidth="1"/>
    <col min="28" max="35" width="9.140625" style="33"/>
  </cols>
  <sheetData>
    <row r="1" spans="1:27">
      <c r="A1" s="599" t="s">
        <v>160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spans="1:27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</row>
    <row r="3" spans="1:27">
      <c r="A3" s="599"/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</row>
    <row r="4" spans="1:27">
      <c r="A4" s="616" t="s">
        <v>161</v>
      </c>
      <c r="B4" s="617"/>
      <c r="C4" s="38"/>
      <c r="D4" s="340" t="s">
        <v>162</v>
      </c>
      <c r="E4" s="341">
        <f>IF(B8="ANUAL",DATE(2026,1,1),DATE(2026,MATCH(B8,{"JANEIRO";"FEVEREIRO";"MARÇO";"ABRIL";"MAIO";"JUNHO";"JULHO";"AGOSTO";"SETEMBRO";"OUTUBRO";"NOVEMBRO";"DEZEMBRO"},0),1))</f>
        <v>46143</v>
      </c>
      <c r="F4" s="37"/>
      <c r="G4" s="33"/>
      <c r="H4" s="603" t="s">
        <v>163</v>
      </c>
      <c r="I4" s="603"/>
      <c r="J4" s="603"/>
      <c r="K4" s="316"/>
      <c r="L4" s="36" t="s">
        <v>162</v>
      </c>
      <c r="M4" s="343">
        <f>IF(I8="ANUAL",DATE(2026,1,1),DATE(2026,MATCH(I8,{"JANEIRO";"FEVEREIRO";"MARÇO";"ABRIL";"MAIO";"JUNHO";"JULHO";"AGOSTO";"SETEMBRO";"OUTUBRO";"NOVEMBRO";"DEZEMBRO"},0),1))</f>
        <v>46023</v>
      </c>
      <c r="N4" s="35"/>
      <c r="R4" s="628" t="s">
        <v>164</v>
      </c>
      <c r="S4" s="629"/>
      <c r="T4" s="629"/>
      <c r="U4" s="630"/>
    </row>
    <row r="5" spans="1:27">
      <c r="A5" s="618"/>
      <c r="B5" s="619"/>
      <c r="C5" s="38"/>
      <c r="D5" s="340" t="s">
        <v>165</v>
      </c>
      <c r="E5" s="342">
        <f>IF(B8="ANUAL",DATE(2026,12,31),EOMONTH(DATE(2026,MATCH(B8,{"JANEIRO";"FEVEREIRO";"MARÇO";"ABRIL";"MAIO";"JUNHO";"JULHO";"AGOSTO";"SETEMBRO";"OUTUBRO";"NOVEMBRO";"DEZEMBRO"},0),1),0))</f>
        <v>46173</v>
      </c>
      <c r="F5" s="37"/>
      <c r="G5" s="33"/>
      <c r="H5" s="604"/>
      <c r="I5" s="604"/>
      <c r="J5" s="604"/>
      <c r="K5" s="316"/>
      <c r="L5" s="36" t="s">
        <v>165</v>
      </c>
      <c r="M5" s="343">
        <f>IF(I8="ANUAL",DATE(2026,12,31),EOMONTH(DATE(2026,MATCH(I8,{"JANEIRO";"FEVEREIRO";"MARÇO";"ABRIL";"MAIO";"JUNHO";"JULHO";"AGOSTO";"SETEMBRO";"OUTUBRO";"NOVEMBRO";"DEZEMBRO"},0),1),0))</f>
        <v>46387</v>
      </c>
      <c r="N5" s="35"/>
      <c r="R5" s="384"/>
      <c r="S5" s="382" t="s">
        <v>19</v>
      </c>
      <c r="T5" s="381" t="s">
        <v>42</v>
      </c>
      <c r="U5" s="381" t="s">
        <v>38</v>
      </c>
      <c r="X5" s="394" t="s">
        <v>7</v>
      </c>
      <c r="Y5" s="394" t="s">
        <v>43</v>
      </c>
      <c r="Z5" s="394" t="s">
        <v>44</v>
      </c>
      <c r="AA5" s="394" t="s">
        <v>45</v>
      </c>
    </row>
    <row r="6" spans="1:27">
      <c r="A6" s="48"/>
      <c r="B6" s="34"/>
      <c r="C6" s="34"/>
      <c r="D6" s="507"/>
      <c r="F6" s="229"/>
      <c r="G6" s="33"/>
      <c r="H6" s="227"/>
      <c r="I6" s="440"/>
      <c r="J6" s="230"/>
      <c r="K6" s="33"/>
      <c r="L6" s="439"/>
      <c r="R6" s="383">
        <v>45658</v>
      </c>
      <c r="S6" s="380">
        <v>178852.4</v>
      </c>
      <c r="T6" s="380">
        <v>194936.14</v>
      </c>
      <c r="U6" s="380">
        <v>-16083.74000000002</v>
      </c>
      <c r="X6" s="395" t="s">
        <v>48</v>
      </c>
      <c r="Y6" s="396" cm="1">
        <f t="array" ref="Y6">SUMPRODUCT((MID('[1]A receer iluminação'!$E$2:$E$271,4,2)="05")*(MID('[1]A receer iluminação'!$E$2:$E$271,7,4)="2026")*('[1]A receer iluminação'!$D$2:$D$271))</f>
        <v>160141.82999999999</v>
      </c>
      <c r="Z6" s="396" cm="1">
        <f t="array" ref="Z6">SUMPRODUCT((MID('[1]a pagar iluminação'!$G$2:$G$384,4,2)="05")*(MID('[1]a pagar iluminação'!$G$2:$G$384,7,4)="2026")*('[1]a pagar iluminação'!$F$2:$F$384))</f>
        <v>154894.47</v>
      </c>
      <c r="AA6" s="396">
        <f t="shared" ref="AA6:AA11" si="0">Y6-Z6</f>
        <v>5247.359999999986</v>
      </c>
    </row>
    <row r="7" spans="1:27">
      <c r="A7" s="311"/>
      <c r="B7" s="236"/>
      <c r="C7" s="38"/>
      <c r="D7" s="514" t="s">
        <v>166</v>
      </c>
      <c r="E7" s="515">
        <f>SUMIFS('ENTRADAS - FIN - ilumi'!D:D,'ENTRADAS - FIN - ilumi'!A:A,"&gt;="&amp;E4,'ENTRADAS - FIN - ilumi'!A:A,"&lt;="&amp;E5)+SUMIFS('Entradas- fin- import'!D:D,'Entradas- fin- import'!A:A,"&gt;="&amp;E4,'Entradas- fin- import'!A:A,"&lt;="&amp;E5)</f>
        <v>234006.49999999991</v>
      </c>
      <c r="F7" s="37"/>
      <c r="G7" s="33"/>
      <c r="H7" s="337"/>
      <c r="I7" s="438"/>
      <c r="J7" s="338"/>
      <c r="K7" s="229"/>
      <c r="L7" s="514" t="s">
        <v>166</v>
      </c>
      <c r="M7" s="515">
        <f>SUMIFS('SAÍDA NFE ILUMI'!D:D,'SAÍDA NFE ILUMI'!A:A,"&gt;="&amp;M4,'SAÍDA NFE ILUMI'!A:A,"&lt;="&amp;M5)+SUMIFS('Saídas-NFE-import'!D:D,'Saídas-NFE-import'!A:A,"&gt;="&amp;M4,'Saídas-NFE-import'!A:A,"&lt;="&amp;M5)</f>
        <v>1120588.8699999982</v>
      </c>
      <c r="N7" s="35"/>
      <c r="R7" s="379">
        <v>45689</v>
      </c>
      <c r="S7" s="380">
        <v>263463.81</v>
      </c>
      <c r="T7" s="380">
        <v>237438.03</v>
      </c>
      <c r="U7" s="380">
        <v>26025.78</v>
      </c>
      <c r="X7" s="395" t="s">
        <v>49</v>
      </c>
      <c r="Y7" s="396" cm="1">
        <f t="array" ref="Y7">SUMPRODUCT((MID('[1]A receer iluminação'!$E$2:$E$271,4,2)="06")*(MID('[1]A receer iluminação'!$E$2:$E$271,7,4)="2026")*('[1]A receer iluminação'!$D$2:$D$271))</f>
        <v>103947.86000000002</v>
      </c>
      <c r="Z7" s="396" cm="1">
        <f t="array" ref="Z7">SUMPRODUCT((MID('[1]a pagar iluminação'!$G$2:$G$384,4,2)="06")*(MID('[1]a pagar iluminação'!$G$2:$G$384,7,4)="2026")*('[1]a pagar iluminação'!$F$2:$F$384))</f>
        <v>105849.64</v>
      </c>
      <c r="AA7" s="396">
        <f t="shared" si="0"/>
        <v>-1901.7799999999843</v>
      </c>
    </row>
    <row r="8" spans="1:27">
      <c r="A8" s="588" t="s">
        <v>7</v>
      </c>
      <c r="B8" s="582" t="s">
        <v>27</v>
      </c>
      <c r="C8" s="38"/>
      <c r="D8" s="514" t="s">
        <v>167</v>
      </c>
      <c r="E8" s="515">
        <f>SUMIFS('SAIDAS-FIN-ilumi'!D:D,'SAIDAS-FIN-ilumi'!C:C,"IMPOSTOS",'SAIDAS-FIN-ilumi'!A:A,"&gt;="&amp;E4,'SAIDAS-FIN-ilumi'!A:A,"&lt;="&amp;E5)+SUMIFS('Saidas-fin-import'!D:D,'Saidas-fin-import'!C:C,"IMPOSTOS",'Saidas-fin-import'!A:A,"&gt;="&amp;E4,'Saidas-fin-import'!A:A,"&lt;="&amp;E5)</f>
        <v>21474.37</v>
      </c>
      <c r="F8" s="37"/>
      <c r="G8" s="229"/>
      <c r="H8" s="581" t="s">
        <v>7</v>
      </c>
      <c r="I8" s="637" t="s">
        <v>8</v>
      </c>
      <c r="J8" s="638"/>
      <c r="K8" s="37"/>
      <c r="L8" s="514" t="s">
        <v>168</v>
      </c>
      <c r="M8" s="515">
        <f>SUMIFS('SAÍDA NFE ILUMI'!I:I,'SAÍDA NFE ILUMI'!J:J,"SNF",'SAÍDA NFE ILUMI'!F:F,"&gt;="&amp;M4,'SAÍDA NFE ILUMI'!F:F,"&lt;="&amp;M5)+SUMIFS('Saídas-NFE-import'!D:D,'Saídas-NFE-import'!E:E,"SNF",'Saídas-NFE-import'!A:A,"&gt;="&amp;M4,'Saídas-NFE-import'!A:A,"&lt;="&amp;M5)</f>
        <v>23074.52</v>
      </c>
      <c r="N8" s="35"/>
      <c r="R8" s="379">
        <v>45717</v>
      </c>
      <c r="S8" s="380">
        <v>269184.65000000002</v>
      </c>
      <c r="T8" s="380">
        <v>286911.49</v>
      </c>
      <c r="U8" s="380">
        <v>-17726.839999999967</v>
      </c>
      <c r="X8" s="395" t="s">
        <v>50</v>
      </c>
      <c r="Y8" s="396" cm="1">
        <f t="array" ref="Y8">SUMPRODUCT((MID('[1]A receer iluminação'!$E$2:$E$271,4,2)="07")*(MID('[1]A receer iluminação'!$E$2:$E$271,7,4)="2026")*('[1]A receer iluminação'!$D$2:$D$271))</f>
        <v>25437.599999999999</v>
      </c>
      <c r="Z8" s="396" cm="1">
        <f t="array" ref="Z8">SUMPRODUCT((MID('[1]a pagar iluminação'!$G$2:$G$384,4,2)="07")*(MID('[1]a pagar iluminação'!$G$2:$G$384,7,4)="2026")*('[1]a pagar iluminação'!$F$2:$F$384))</f>
        <v>55832.639999999999</v>
      </c>
      <c r="AA8" s="396">
        <f t="shared" si="0"/>
        <v>-30395.040000000001</v>
      </c>
    </row>
    <row r="9" spans="1:27">
      <c r="A9" s="589"/>
      <c r="B9" s="583"/>
      <c r="C9" s="38"/>
      <c r="D9" s="514" t="s">
        <v>169</v>
      </c>
      <c r="E9" s="515">
        <f>E7-E8</f>
        <v>212532.12999999992</v>
      </c>
      <c r="F9" s="37"/>
      <c r="G9" s="229"/>
      <c r="H9" s="581"/>
      <c r="I9" s="639"/>
      <c r="J9" s="640"/>
      <c r="K9" s="35"/>
      <c r="L9" s="512" t="s">
        <v>170</v>
      </c>
      <c r="M9" s="513">
        <f>M7+M8</f>
        <v>1143663.3899999983</v>
      </c>
      <c r="R9" s="379">
        <v>45748</v>
      </c>
      <c r="S9" s="380">
        <v>287664.75</v>
      </c>
      <c r="T9" s="380">
        <v>286158.99</v>
      </c>
      <c r="U9" s="380">
        <v>1505.7600000000093</v>
      </c>
      <c r="X9" s="395" t="s">
        <v>51</v>
      </c>
      <c r="Y9" s="396" cm="1">
        <f t="array" ref="Y9">SUMPRODUCT((MID('[1]A receer iluminação'!$E$2:$E$271,4,2)="08")*(MID('[1]A receer iluminação'!$E$2:$E$271,7,4)="2026")*('[1]A receer iluminação'!$D$2:$D$271))</f>
        <v>3883.53</v>
      </c>
      <c r="Z9" s="396" cm="1">
        <f t="array" ref="Z9">SUMPRODUCT((MID('[1]a pagar iluminação'!$G$2:$G$384,4,2)="08")*(MID('[1]a pagar iluminação'!$G$2:$G$384,7,4)="2026")*('[1]a pagar iluminação'!$F$2:$F$384))</f>
        <v>51118.63</v>
      </c>
      <c r="AA9" s="396">
        <f t="shared" si="0"/>
        <v>-47235.1</v>
      </c>
    </row>
    <row r="10" spans="1:27">
      <c r="A10" s="336"/>
      <c r="B10" s="335"/>
      <c r="C10" s="34"/>
      <c r="D10" s="508"/>
      <c r="E10" s="510"/>
      <c r="F10" s="229"/>
      <c r="G10" s="33"/>
      <c r="H10" s="339"/>
      <c r="I10" s="437"/>
      <c r="J10" s="234"/>
      <c r="K10" s="229"/>
      <c r="L10" s="514" t="s">
        <v>167</v>
      </c>
      <c r="M10" s="515">
        <f>M7*0.1</f>
        <v>112058.88699999983</v>
      </c>
      <c r="N10" s="35"/>
      <c r="R10" s="379">
        <v>45778</v>
      </c>
      <c r="S10" s="380">
        <v>291184.18</v>
      </c>
      <c r="T10" s="380">
        <v>254171.22999999998</v>
      </c>
      <c r="U10" s="380">
        <v>37012.950000000012</v>
      </c>
      <c r="X10" s="395" t="s">
        <v>52</v>
      </c>
      <c r="Y10" s="396" cm="1">
        <f t="array" ref="Y10">SUMPRODUCT((MID('[1]A receer iluminação'!$E$2:$E$271,4,2)="09")*(MID('[1]A receer iluminação'!$E$2:$E$271,7,4)="2026")*('[1]A receer iluminação'!$D$2:$D$271))</f>
        <v>0</v>
      </c>
      <c r="Z10" s="396" cm="1">
        <f t="array" ref="Z10">SUMPRODUCT((MID('[1]a pagar iluminação'!$G$2:$G$384,4,2)="09")*(MID('[1]a pagar iluminação'!$G$2:$G$384,7,4)="2026")*('[1]a pagar iluminação'!$F$2:$F$384))</f>
        <v>51118.63</v>
      </c>
      <c r="AA10" s="396">
        <f t="shared" si="0"/>
        <v>-51118.63</v>
      </c>
    </row>
    <row r="11" spans="1:27">
      <c r="A11" s="48"/>
      <c r="B11" s="34"/>
      <c r="C11" s="38"/>
      <c r="D11" s="514" t="s">
        <v>171</v>
      </c>
      <c r="E11" s="515">
        <f>SUMIFS('SAIDAS-FIN-ilumi'!D:D,'SAIDAS-FIN-ilumi'!C:C,"FORNECEDORES",'SAIDAS-FIN-ilumi'!A:A,"&gt;="&amp;E4,'SAIDAS-FIN-ilumi'!A:A,"&lt;="&amp;E5)+SUMIFS('Saidas-fin-import'!D:D,'Saidas-fin-import'!C:C,"FORNECEDORES",'Saidas-fin-import'!A:A,"&gt;="&amp;E4,'Saidas-fin-import'!A:A,"&lt;="&amp;E5)</f>
        <v>110059.13000000002</v>
      </c>
      <c r="F11" s="37"/>
      <c r="G11" s="33"/>
      <c r="H11" s="35"/>
      <c r="I11" s="37"/>
      <c r="J11" s="226"/>
      <c r="K11" s="229"/>
      <c r="L11" s="514" t="s">
        <v>169</v>
      </c>
      <c r="M11" s="515">
        <f>M9-M10</f>
        <v>1031604.5029999984</v>
      </c>
      <c r="N11" s="35"/>
      <c r="R11" s="379">
        <v>45809</v>
      </c>
      <c r="S11" s="380">
        <v>176965.13</v>
      </c>
      <c r="T11" s="380">
        <v>231904.47999999998</v>
      </c>
      <c r="U11" s="380">
        <v>-54939.349999999977</v>
      </c>
      <c r="X11" s="397" t="s">
        <v>12</v>
      </c>
      <c r="Y11" s="398">
        <f>SUM(Y6:Y10)</f>
        <v>293410.82</v>
      </c>
      <c r="Z11" s="398">
        <f>SUM(Z6:Z10)</f>
        <v>418814.01</v>
      </c>
      <c r="AA11" s="398">
        <f t="shared" si="0"/>
        <v>-125403.19</v>
      </c>
    </row>
    <row r="12" spans="1:27">
      <c r="A12" s="609" t="s">
        <v>38</v>
      </c>
      <c r="B12" s="611">
        <f>B15-B18+B23</f>
        <v>115479.99999999988</v>
      </c>
      <c r="C12" s="38"/>
      <c r="D12" s="514" t="s">
        <v>172</v>
      </c>
      <c r="E12" s="515">
        <f>E9-E11</f>
        <v>102472.9999999999</v>
      </c>
      <c r="F12" s="438"/>
      <c r="G12" s="33"/>
      <c r="H12" s="605" t="s">
        <v>38</v>
      </c>
      <c r="I12" s="622">
        <f>I15-I18</f>
        <v>496307.83999999857</v>
      </c>
      <c r="J12" s="623"/>
      <c r="K12" s="33"/>
      <c r="L12" s="508"/>
      <c r="M12" s="510"/>
      <c r="R12" s="379">
        <v>45839</v>
      </c>
      <c r="S12" s="380">
        <v>273854.26</v>
      </c>
      <c r="T12" s="380">
        <v>280092.19</v>
      </c>
      <c r="U12" s="380">
        <v>-6237.929999999993</v>
      </c>
    </row>
    <row r="13" spans="1:27">
      <c r="A13" s="610"/>
      <c r="B13" s="612"/>
      <c r="C13" s="34"/>
      <c r="D13" s="511"/>
      <c r="E13" s="241"/>
      <c r="F13" s="229"/>
      <c r="G13" s="33"/>
      <c r="H13" s="606"/>
      <c r="I13" s="624"/>
      <c r="J13" s="625"/>
      <c r="K13" s="229"/>
      <c r="L13" s="514" t="s">
        <v>171</v>
      </c>
      <c r="M13" s="515">
        <f>SUMIFS('ENTRADA NFE ILUMI'!D:D,'ENTRADA NFE ILUMI'!A:A,"&gt;="&amp;M4,'ENTRADA NFE ILUMI'!A:A,"&lt;="&amp;M5)+SUMIFS('Entradas-NFE-Import'!D:D,'Entradas-NFE-Import'!A:A,"&gt;="&amp;M4,'Entradas-NFE-Import'!A:A,"&lt;="&amp;M5)</f>
        <v>624281.02999999968</v>
      </c>
      <c r="N13" s="35"/>
      <c r="R13" s="379">
        <v>45870</v>
      </c>
      <c r="S13" s="380">
        <v>267965.26</v>
      </c>
      <c r="T13" s="380">
        <v>276673.90000000002</v>
      </c>
      <c r="U13" s="380">
        <v>-8708.640000000014</v>
      </c>
      <c r="X13" s="394" t="s">
        <v>7</v>
      </c>
      <c r="Y13" s="394" t="s">
        <v>46</v>
      </c>
      <c r="Z13" s="394" t="s">
        <v>47</v>
      </c>
      <c r="AA13" s="394" t="s">
        <v>45</v>
      </c>
    </row>
    <row r="14" spans="1:27">
      <c r="A14" s="48"/>
      <c r="B14" s="34"/>
      <c r="C14" s="38"/>
      <c r="D14" s="514" t="s">
        <v>173</v>
      </c>
      <c r="E14" s="515"/>
      <c r="F14" s="37"/>
      <c r="G14" s="33"/>
      <c r="H14" s="228"/>
      <c r="I14" s="441"/>
      <c r="J14" s="231"/>
      <c r="K14" s="229"/>
      <c r="L14" s="514" t="s">
        <v>172</v>
      </c>
      <c r="M14" s="515">
        <f>M11-M13</f>
        <v>407323.47299999872</v>
      </c>
      <c r="N14" s="35"/>
      <c r="R14" s="379">
        <v>45901</v>
      </c>
      <c r="S14" s="380">
        <v>329082.75</v>
      </c>
      <c r="T14" s="380">
        <v>321969.12</v>
      </c>
      <c r="U14" s="380">
        <v>7113.6300000000047</v>
      </c>
      <c r="X14" s="248" t="s">
        <v>48</v>
      </c>
      <c r="Y14" s="403" cm="1">
        <f t="array" ref="Y14">SUMPRODUCT((VALUE(MID('[1]a reverber importação'!$G$2:$G$40,4,2))=5)*(VALUE(MID('[1]a reverber importação'!$G$2:$G$40,7,4))=2026)*('[1]a reverber importação'!$F$2:$F$40))</f>
        <v>68690.63</v>
      </c>
      <c r="Z14" s="403" cm="1">
        <f t="array" ref="Z14">SUMPRODUCT((VALUE(MID('[1]a pagar importaçãp'!$G$2:$G$55,4,2))=5)*(VALUE(MID('[1]a pagar importaçãp'!$G$2:$G$55,7,4))=2026)*('[1]a pagar importaçãp'!$F$2:$F$55))</f>
        <v>18896.66</v>
      </c>
      <c r="AA14" s="403">
        <f t="shared" ref="AA14:AA19" si="1">Y14-Z14</f>
        <v>49793.97</v>
      </c>
    </row>
    <row r="15" spans="1:27">
      <c r="A15" s="613" t="s">
        <v>174</v>
      </c>
      <c r="B15" s="615">
        <f>SUMIFS('ENTRADAS - FIN - ilumi'!D:D,'ENTRADAS - FIN - ilumi'!A:A,"&gt;="&amp;E4,'ENTRADAS - FIN - ilumi'!A:A,"&lt;="&amp;E5)+SUMIFS('Entradas- fin- import'!D:D,'Entradas- fin- import'!A:A,"&gt;="&amp;E4,'Entradas- fin- import'!A:A,"&lt;="&amp;E5)</f>
        <v>234006.49999999991</v>
      </c>
      <c r="C15" s="38"/>
      <c r="D15" s="498" t="s">
        <v>175</v>
      </c>
      <c r="E15" s="515">
        <f>SUMIFS('SAIDAS-FIN-ilumi'!D:D,'SAIDAS-FIN-ilumi'!C:C,"BANCO",'SAIDAS-FIN-ilumi'!A:A,"&gt;="&amp;E4,'SAIDAS-FIN-ilumi'!A:A,"&lt;="&amp;E5)+SUMIFS('Saidas-fin-import'!D:D,'Saidas-fin-import'!C:C,"BANCO",'Saidas-fin-import'!A:A,"&gt;="&amp;E4,'Saidas-fin-import'!A:A,"&lt;="&amp;E5)</f>
        <v>892.89999999999964</v>
      </c>
      <c r="F15" s="437"/>
      <c r="G15" s="33"/>
      <c r="H15" s="607" t="s">
        <v>176</v>
      </c>
      <c r="I15" s="631">
        <f>SUMIFS('SAÍDA NFE ILUMI'!D:D,'SAÍDA NFE ILUMI'!A:A,"&gt;="&amp;M4,'SAÍDA NFE ILUMI'!A:A,"&lt;="&amp;M5)+SUMIFS('Saídas-NFE-import'!D:D,'Saídas-NFE-import'!A:A,"&gt;="&amp;M4,'Saídas-NFE-import'!A:A,"&lt;="&amp;M5)</f>
        <v>1120588.8699999982</v>
      </c>
      <c r="J15" s="632"/>
      <c r="K15" s="33"/>
      <c r="L15" s="508"/>
      <c r="M15" s="510"/>
      <c r="R15" s="379">
        <v>45931</v>
      </c>
      <c r="S15" s="380">
        <v>240017.04</v>
      </c>
      <c r="T15" s="380">
        <v>237779.23</v>
      </c>
      <c r="U15" s="380">
        <v>2237.8099999999977</v>
      </c>
      <c r="X15" s="401">
        <v>46199</v>
      </c>
      <c r="Y15" s="403" cm="1">
        <f t="array" ref="Y15">SUMPRODUCT((VALUE(MID('[1]a reverber importação'!$G$2:$G$40,4,2))=6)*(VALUE(MID('[1]a reverber importação'!$G$2:$G$40,7,4))=2026)*('[1]a reverber importação'!$F$2:$F$40))</f>
        <v>70252.61</v>
      </c>
      <c r="Z15" s="403" cm="1">
        <f t="array" ref="Z15">SUMPRODUCT((VALUE(MID('[1]a pagar importaçãp'!$G$2:$G$55,4,2))=6)*(VALUE(MID('[1]a pagar importaçãp'!$G$2:$G$55,7,4))=2026)*('[1]a pagar importaçãp'!$F$2:$F$55))</f>
        <v>25391.83</v>
      </c>
      <c r="AA15" s="403">
        <f t="shared" si="1"/>
        <v>44860.78</v>
      </c>
    </row>
    <row r="16" spans="1:27">
      <c r="A16" s="614"/>
      <c r="B16" s="602"/>
      <c r="C16" s="38"/>
      <c r="D16" s="478" t="s">
        <v>177</v>
      </c>
      <c r="E16" s="515">
        <f>SUMIFS('SAIDAS-FIN-ilumi'!D:D,'SAIDAS-FIN-ilumi'!C:C,"BRINDES",'SAIDAS-FIN-ilumi'!A:A,"&gt;="&amp;E4,'SAIDAS-FIN-ilumi'!A:A,"&lt;="&amp;E5)+SUMIFS('Saidas-fin-import'!D:D,'Saidas-fin-import'!C:C,"BRINDES",'Saidas-fin-import'!A:A,"&gt;="&amp;E4,'Saidas-fin-import'!A:A,"&lt;="&amp;E5)</f>
        <v>0</v>
      </c>
      <c r="F16" s="37"/>
      <c r="G16" s="33"/>
      <c r="H16" s="608"/>
      <c r="I16" s="633"/>
      <c r="J16" s="634"/>
      <c r="K16" s="229"/>
      <c r="L16" s="514" t="s">
        <v>173</v>
      </c>
      <c r="M16" s="515"/>
      <c r="N16" s="35"/>
      <c r="R16" s="379">
        <v>45962</v>
      </c>
      <c r="S16" s="380">
        <v>242434.72</v>
      </c>
      <c r="T16" s="380">
        <v>240876.24000000002</v>
      </c>
      <c r="U16" s="380">
        <v>1558.4799999999814</v>
      </c>
      <c r="X16" s="401">
        <v>46229</v>
      </c>
      <c r="Y16" s="403" cm="1">
        <f t="array" ref="Y16">SUMPRODUCT((VALUE(MID('[1]a reverber importação'!$G$2:$G$40,4,2))=7)*(VALUE(MID('[1]a reverber importação'!$G$2:$G$40,7,4))=2026)*('[1]a reverber importação'!$F$2:$F$40))</f>
        <v>7431.23</v>
      </c>
      <c r="Z16" s="403" cm="1">
        <f t="array" ref="Z16">SUMPRODUCT((VALUE(MID('[1]a pagar importaçãp'!$G$2:$G$55,4,2))=7)*(VALUE(MID('[1]a pagar importaçãp'!$G$2:$G$55,7,4))=2026)*('[1]a pagar importaçãp'!$F$2:$F$55))</f>
        <v>21657.829999999998</v>
      </c>
      <c r="AA16" s="403">
        <f t="shared" si="1"/>
        <v>-14226.599999999999</v>
      </c>
    </row>
    <row r="17" spans="1:27">
      <c r="A17" s="48"/>
      <c r="B17" s="34"/>
      <c r="C17" s="38"/>
      <c r="D17" s="489" t="s">
        <v>178</v>
      </c>
      <c r="E17" s="515">
        <f>SUMIFS('SAIDAS-FIN-ilumi'!D:D,'SAIDAS-FIN-ilumi'!C:C,"CARTÃO DE CRÉDITO",'SAIDAS-FIN-ilumi'!A:A,"&gt;="&amp;E4,'SAIDAS-FIN-ilumi'!A:A,"&lt;="&amp;E5)+SUMIFS('Saidas-fin-import'!D:D,'Saidas-fin-import'!C:C,"CARTÃO DE CRÉDITO",'Saidas-fin-import'!A:A,"&gt;="&amp;E4,'Saidas-fin-import'!A:A,"&lt;="&amp;E5)</f>
        <v>12871.28</v>
      </c>
      <c r="F17" s="37"/>
      <c r="G17" s="33"/>
      <c r="H17" s="228"/>
      <c r="I17" s="441"/>
      <c r="J17" s="231"/>
      <c r="K17" s="229"/>
      <c r="L17" s="498" t="s">
        <v>175</v>
      </c>
      <c r="M17" s="515">
        <f>SUMIFS('SAIDAS-FIN-ilumi'!D:D,'SAIDAS-FIN-ilumi'!C:C,"BANCO",'SAIDAS-FIN-ilumi'!A:A,"&gt;="&amp;M4,'SAIDAS-FIN-ilumi'!A:A,"&lt;="&amp;M5)+SUMIFS('Saidas-fin-import'!D:D,'Saidas-fin-import'!C:C,"BANCO",'Saidas-fin-import'!A:A,"&gt;="&amp;M4,'Saidas-fin-import'!A:A,"&lt;="&amp;M5)</f>
        <v>2329.6799999999994</v>
      </c>
      <c r="N17" s="35"/>
      <c r="R17" s="379">
        <v>45992</v>
      </c>
      <c r="S17" s="380">
        <v>349038.01</v>
      </c>
      <c r="T17" s="380">
        <v>258682.45</v>
      </c>
      <c r="U17" s="380">
        <v>90355.56</v>
      </c>
      <c r="X17" s="248" t="s">
        <v>51</v>
      </c>
      <c r="Y17" s="403" cm="1">
        <f t="array" ref="Y17">SUMPRODUCT((VALUE(MID('[1]a reverber importação'!$G$2:$G$40,4,2))=8)*(VALUE(MID('[1]a reverber importação'!$G$2:$G$40,7,4))=2026)*('[1]a reverber importação'!$F$2:$F$40))</f>
        <v>516.33000000000004</v>
      </c>
      <c r="Z17" s="403" cm="1">
        <f t="array" ref="Z17">SUMPRODUCT((VALUE(MID('[1]a pagar importaçãp'!$G$2:$G$55,4,2))=8)*(VALUE(MID('[1]a pagar importaçãp'!$G$2:$G$55,7,4))=2026)*('[1]a pagar importaçãp'!$F$2:$F$55))</f>
        <v>11438.66</v>
      </c>
      <c r="AA17" s="403">
        <f t="shared" si="1"/>
        <v>-10922.33</v>
      </c>
    </row>
    <row r="18" spans="1:27">
      <c r="A18" s="600" t="s">
        <v>74</v>
      </c>
      <c r="B18" s="602">
        <f>SUMIFS('Saidas-fin-import'!D:D,'Saidas-fin-import'!A:A,"&gt;="&amp;E4,'Saidas-fin-import'!A:A,"&lt;="&amp;E5)+SUMIFS('SAIDAS-FIN-ilumi'!D:D,'SAIDAS-FIN-ilumi'!A:A,"&gt;="&amp;E4,'SAIDAS-FIN-ilumi'!A:A,"&lt;="&amp;E5)</f>
        <v>226634.15000000002</v>
      </c>
      <c r="C18" s="321"/>
      <c r="D18" s="498" t="s">
        <v>179</v>
      </c>
      <c r="E18" s="515">
        <f>SUMIFS('SAIDAS-FIN-ilumi'!D:D,'SAIDAS-FIN-ilumi'!C:C,"CONSUMO",'SAIDAS-FIN-ilumi'!A:A,"&gt;="&amp;E4,'SAIDAS-FIN-ilumi'!A:A,"&lt;="&amp;E5)+SUMIFS('Saidas-fin-import'!D:D,'Saidas-fin-import'!C:C,"CONSUMO",'Saidas-fin-import'!A:A,"&gt;="&amp;E4,'Saidas-fin-import'!A:A,"&lt;="&amp;E5)</f>
        <v>180</v>
      </c>
      <c r="F18" s="37"/>
      <c r="G18" s="33"/>
      <c r="H18" s="620" t="s">
        <v>180</v>
      </c>
      <c r="I18" s="635">
        <f>SUMIFS('Entradas-NFE-Import'!D:D,'Entradas-NFE-Import'!A:A,"&gt;="&amp;M4,'Entradas-NFE-Import'!A:A,"&lt;="&amp;M5)+SUMIFS('ENTRADA NFE ILUMI'!D:D,'ENTRADA NFE ILUMI'!A:A,"&gt;="&amp;M4,'ENTRADA NFE ILUMI'!A:A,"&lt;="&amp;M5)</f>
        <v>624281.02999999968</v>
      </c>
      <c r="J18" s="636"/>
      <c r="K18" s="229"/>
      <c r="L18" s="478" t="s">
        <v>177</v>
      </c>
      <c r="M18" s="515">
        <f>SUMIFS('SAIDAS-FIN-ilumi'!D:D,'SAIDAS-FIN-ilumi'!C:C,"BRINDES",'SAIDAS-FIN-ilumi'!A:A,"&gt;="&amp;M4,'SAIDAS-FIN-ilumi'!A:A,"&lt;="&amp;M5)+SUMIFS('Saidas-fin-import'!D:D,'Saidas-fin-import'!C:C,"BRINDES",'Saidas-fin-import'!A:A,"&gt;="&amp;M4,'Saidas-fin-import'!A:A,"&lt;="&amp;M5)</f>
        <v>1327</v>
      </c>
      <c r="N18" s="35"/>
      <c r="R18" s="379">
        <v>46023</v>
      </c>
      <c r="S18" s="380">
        <v>145868.91999999998</v>
      </c>
      <c r="T18" s="380">
        <v>191227.24</v>
      </c>
      <c r="U18" s="380">
        <v>-45358.320000000007</v>
      </c>
      <c r="X18" s="248" t="s">
        <v>52</v>
      </c>
      <c r="Y18" s="403" cm="1">
        <f t="array" ref="Y18">SUMPRODUCT((VALUE(MID('[1]a reverber importação'!$G$2:$G$40,4,2))=9)*(VALUE(MID('[1]a reverber importação'!$G$2:$G$40,7,4))=2026)*('[1]a reverber importação'!$F$2:$F$40))</f>
        <v>0</v>
      </c>
      <c r="Z18" s="403" cm="1">
        <f t="array" ref="Z18">SUMPRODUCT((VALUE(MID('[1]a pagar importaçãp'!$G$2:$G$55,4,2))=9)*(VALUE(MID('[1]a pagar importaçãp'!$G$2:$G$55,7,4))=2026)*('[1]a pagar importaçãp'!$F$2:$F$55))</f>
        <v>11438.66</v>
      </c>
      <c r="AA18" s="403">
        <f t="shared" si="1"/>
        <v>-11438.66</v>
      </c>
    </row>
    <row r="19" spans="1:27">
      <c r="A19" s="601"/>
      <c r="B19" s="602"/>
      <c r="C19" s="38"/>
      <c r="D19" s="489" t="s">
        <v>181</v>
      </c>
      <c r="E19" s="515">
        <f>SUMIFS('SAIDAS-FIN-ilumi'!D:D,'SAIDAS-FIN-ilumi'!C:C,"CONTABILIDADE",'SAIDAS-FIN-ilumi'!A:A,"&gt;="&amp;E4,'SAIDAS-FIN-ilumi'!A:A,"&lt;="&amp;E5)+SUMIFS('Saidas-fin-import'!D:D,'Saidas-fin-import'!C:C,"CONTABILIDADE",'Saidas-fin-import'!A:A,"&gt;="&amp;E4,'Saidas-fin-import'!A:A,"&lt;="&amp;E5)</f>
        <v>0</v>
      </c>
      <c r="F19" s="37"/>
      <c r="G19" s="33"/>
      <c r="H19" s="621"/>
      <c r="I19" s="633"/>
      <c r="J19" s="634"/>
      <c r="K19" s="229"/>
      <c r="L19" s="489" t="s">
        <v>178</v>
      </c>
      <c r="M19" s="515">
        <f>SUMIFS('SAIDAS-FIN-ilumi'!D:D,'SAIDAS-FIN-ilumi'!C:C,"CARTÃO DE CRÉDITO",'SAIDAS-FIN-ilumi'!A:A,"&gt;="&amp;M4,'SAIDAS-FIN-ilumi'!A:A,"&lt;="&amp;M5)+SUMIFS('Saidas-fin-import'!D:D,'Saidas-fin-import'!C:C,"CARTÃO DE CRÉDITO",'Saidas-fin-import'!A:A,"&gt;="&amp;M4,'Saidas-fin-import'!A:A,"&lt;="&amp;M5)</f>
        <v>50110.21</v>
      </c>
      <c r="N19" s="35"/>
      <c r="R19" s="379">
        <v>46054</v>
      </c>
      <c r="S19" s="380">
        <v>163770.63</v>
      </c>
      <c r="T19" s="380">
        <v>178174.64</v>
      </c>
      <c r="U19" s="380">
        <v>-14404.010000000009</v>
      </c>
      <c r="X19" s="402" t="s">
        <v>12</v>
      </c>
      <c r="Y19" s="404">
        <f>SUM(Y14:Y18)</f>
        <v>146890.79999999999</v>
      </c>
      <c r="Z19" s="404">
        <f>SUM(Z14:Z18)</f>
        <v>88823.640000000014</v>
      </c>
      <c r="AA19" s="404">
        <f t="shared" si="1"/>
        <v>58067.159999999974</v>
      </c>
    </row>
    <row r="20" spans="1:27">
      <c r="A20" s="311"/>
      <c r="B20" s="236"/>
      <c r="C20" s="38"/>
      <c r="D20" s="489" t="s">
        <v>182</v>
      </c>
      <c r="E20" s="515">
        <f>SUMIFS('SAIDAS-FIN-ilumi'!D:D,'SAIDAS-FIN-ilumi'!C:C,"DEVOLUÇÃO",'SAIDAS-FIN-ilumi'!A:A,"&gt;="&amp;E4,'SAIDAS-FIN-ilumi'!A:A,"&lt;="&amp;E5)+SUMIFS('Saidas-fin-import'!D:D,'Saidas-fin-import'!C:C,"DEVOLUÇÃO",'Saidas-fin-import'!A:A,"&gt;="&amp;E4,'Saidas-fin-import'!A:A,"&lt;="&amp;E5)</f>
        <v>0</v>
      </c>
      <c r="F20" s="37"/>
      <c r="G20" s="33"/>
      <c r="H20" s="35"/>
      <c r="I20" s="229"/>
      <c r="J20" s="229"/>
      <c r="K20" s="229"/>
      <c r="L20" s="498" t="s">
        <v>179</v>
      </c>
      <c r="M20" s="515">
        <f>SUMIFS('SAIDAS-FIN-ilumi'!D:D,'SAIDAS-FIN-ilumi'!C:C,"CONSUMO",'SAIDAS-FIN-ilumi'!A:A,"&gt;="&amp;M4,'SAIDAS-FIN-ilumi'!A:A,"&lt;="&amp;M5)+SUMIFS('Saidas-fin-import'!D:D,'Saidas-fin-import'!C:C,"CONSUMO",'Saidas-fin-import'!A:A,"&gt;="&amp;M4,'Saidas-fin-import'!A:A,"&lt;="&amp;M5)</f>
        <v>2063.8900000000003</v>
      </c>
      <c r="N20" s="35"/>
      <c r="R20" s="379">
        <v>46082</v>
      </c>
      <c r="S20" s="380">
        <v>221147.61</v>
      </c>
      <c r="T20" s="380">
        <v>228194.43</v>
      </c>
      <c r="U20" s="380">
        <v>-7046.820000000007</v>
      </c>
    </row>
    <row r="21" spans="1:27">
      <c r="A21" s="312" t="s">
        <v>183</v>
      </c>
      <c r="B21" s="313">
        <v>34572.78</v>
      </c>
      <c r="C21" s="38"/>
      <c r="D21" s="499" t="s">
        <v>184</v>
      </c>
      <c r="E21" s="515">
        <f>SUMIFS('SAIDAS-FIN-ilumi'!D:D,'SAIDAS-FIN-ilumi'!C:C,"EMPRÉSTIMO CAPITAL DE GIRO ITAÚ",'SAIDAS-FIN-ilumi'!A:A,"&gt;="&amp;E4,'SAIDAS-FIN-ilumi'!A:A,"&lt;="&amp;E5)+SUMIFS('Saidas-fin-import'!D:D,'Saidas-fin-import'!C:C,"EMPRÉSTIMO CAPITAL DE GIRO ITAÚ",'Saidas-fin-import'!A:A,"&gt;="&amp;E4,'Saidas-fin-import'!A:A,"&lt;="&amp;E5)</f>
        <v>0</v>
      </c>
      <c r="F21" s="37"/>
      <c r="G21" s="33"/>
      <c r="H21" s="35"/>
      <c r="I21" s="33"/>
      <c r="J21" s="33"/>
      <c r="K21" s="229"/>
      <c r="L21" s="489" t="s">
        <v>181</v>
      </c>
      <c r="M21" s="515">
        <f>SUMIFS('SAIDAS-FIN-ilumi'!D:D,'SAIDAS-FIN-ilumi'!C:C,"CONTABILIDADE",'SAIDAS-FIN-ilumi'!A:A,"&gt;="&amp;M4,'SAIDAS-FIN-ilumi'!A:A,"&lt;="&amp;M5)+SUMIFS('Saidas-fin-import'!D:D,'Saidas-fin-import'!C:C,"CONTABILIDADE",'Saidas-fin-import'!A:A,"&gt;="&amp;M4,'Saidas-fin-import'!A:A,"&lt;="&amp;M5)</f>
        <v>2500</v>
      </c>
      <c r="N21" s="35"/>
      <c r="R21" s="379">
        <v>46113</v>
      </c>
      <c r="S21" s="380">
        <v>319989.8</v>
      </c>
      <c r="T21" s="380">
        <v>339610.07999999996</v>
      </c>
      <c r="U21" s="380">
        <v>-19620.27999999997</v>
      </c>
    </row>
    <row r="22" spans="1:27" ht="30">
      <c r="A22" s="320" t="s">
        <v>185</v>
      </c>
      <c r="B22" s="324">
        <v>73534.87</v>
      </c>
      <c r="C22" s="38"/>
      <c r="D22" s="500" t="s">
        <v>186</v>
      </c>
      <c r="E22" s="515">
        <f>SUMIFS('SAIDAS-FIN-ilumi'!D:D,'SAIDAS-FIN-ilumi'!C:C,"EMPRÉSTIMO CAPITAL DE GIRO BRADESCO",'SAIDAS-FIN-ilumi'!A:A,"&gt;="&amp;E4,'SAIDAS-FIN-ilumi'!A:A,"&lt;="&amp;E5)+SUMIFS('Saidas-fin-import'!D:D,'Saidas-fin-import'!C:C,"EMPRÉSTIMO CAPITAL DE GIRO BRADESCO",'Saidas-fin-import'!A:A,"&gt;="&amp;E4,'Saidas-fin-import'!A:A,"&lt;="&amp;E5)</f>
        <v>6441.56</v>
      </c>
      <c r="F22" s="37"/>
      <c r="G22" s="33"/>
      <c r="H22" s="35"/>
      <c r="I22" s="33"/>
      <c r="J22" s="33"/>
      <c r="K22" s="229"/>
      <c r="L22" s="489" t="s">
        <v>182</v>
      </c>
      <c r="M22" s="515">
        <f>SUMIFS('SAIDAS-FIN-ilumi'!D:D,'SAIDAS-FIN-ilumi'!C:C,"DEVOLUÇÃO",'SAIDAS-FIN-ilumi'!A:A,"&gt;="&amp;M4,'SAIDAS-FIN-ilumi'!A:A,"&lt;="&amp;M5)+SUMIFS('Saidas-fin-import'!D:D,'Saidas-fin-import'!C:C,"DEVOLUÇÃO",'Saidas-fin-import'!A:A,"&gt;="&amp;M4,'Saidas-fin-import'!A:A,"&lt;="&amp;M5)</f>
        <v>400</v>
      </c>
      <c r="N22" s="35"/>
      <c r="R22" s="377">
        <v>46143</v>
      </c>
      <c r="S22" s="408">
        <v>269520.26008572202</v>
      </c>
      <c r="T22" s="408">
        <f>252799.9925</f>
        <v>252799.99249999999</v>
      </c>
      <c r="U22" s="378">
        <v>16720.26758572238</v>
      </c>
    </row>
    <row r="23" spans="1:27">
      <c r="A23" s="323"/>
      <c r="B23" s="325">
        <f>B21+B22</f>
        <v>108107.65</v>
      </c>
      <c r="C23" s="317"/>
      <c r="D23" s="477" t="s">
        <v>187</v>
      </c>
      <c r="E23" s="515">
        <f>SUMIFS('SAIDAS-FIN-ilumi'!D:D,'SAIDAS-FIN-ilumi'!C:C,"EMPRÉSTIMO PRONAMP",'SAIDAS-FIN-ilumi'!A:A,"&gt;="&amp;E4,'SAIDAS-FIN-ilumi'!A:A,"&lt;="&amp;E5)+SUMIFS('Saidas-fin-import'!D:D,'Saidas-fin-import'!C:C,"EMPRÉSTIMO PRONAMP",'Saidas-fin-import'!A:A,"&gt;="&amp;E4,'Saidas-fin-import'!A:A,"&lt;="&amp;E5)</f>
        <v>3700.52</v>
      </c>
      <c r="F23" s="37"/>
      <c r="G23" s="33"/>
      <c r="H23" s="337"/>
      <c r="I23" s="232"/>
      <c r="J23" s="232"/>
      <c r="K23" s="229"/>
      <c r="L23" s="499" t="s">
        <v>184</v>
      </c>
      <c r="M23" s="515">
        <f>SUMIFS('SAIDAS-FIN-ilumi'!D:D,'SAIDAS-FIN-ilumi'!C:C,"EMPRÉSTIMO CAPITAL DE GIRO ITAÚ",'SAIDAS-FIN-ilumi'!A:A,"&gt;="&amp;M4,'SAIDAS-FIN-ilumi'!A:A,"&lt;="&amp;M5)+SUMIFS('Saidas-fin-import'!D:D,'Saidas-fin-import'!C:C,"EMPRÉSTIMO CAPITAL DE GIRO ITAÚ",'Saidas-fin-import'!A:A,"&gt;="&amp;M4,'Saidas-fin-import'!A:A,"&lt;="&amp;M5)</f>
        <v>5103.49</v>
      </c>
      <c r="N23" s="35"/>
      <c r="R23" s="375">
        <v>46174</v>
      </c>
      <c r="S23" s="409">
        <v>262741.41660332697</v>
      </c>
      <c r="T23" s="376">
        <v>256416.48328125</v>
      </c>
      <c r="U23" s="376">
        <v>6324.933322076482</v>
      </c>
    </row>
    <row r="24" spans="1:27" ht="30.75">
      <c r="A24" s="232"/>
      <c r="B24" s="239"/>
      <c r="C24" s="38"/>
      <c r="D24" s="498" t="s">
        <v>188</v>
      </c>
      <c r="E24" s="515">
        <f>SUMIFS('SAIDAS-FIN-ilumi'!D:D,'SAIDAS-FIN-ilumi'!C:C,"FUNCIONÁRIOS",'SAIDAS-FIN-ilumi'!A:A,"&gt;="&amp;E4,'SAIDAS-FIN-ilumi'!A:A,"&lt;="&amp;E5)+SUMIFS('Saidas-fin-import'!D:D,'Saidas-fin-import'!C:C,"FUNCIONÁRIOS",'Saidas-fin-import'!A:A,"&gt;="&amp;E4,'Saidas-fin-import'!A:A,"&lt;="&amp;E5)</f>
        <v>18141.22</v>
      </c>
      <c r="F24" s="37"/>
      <c r="G24" s="229"/>
      <c r="H24" s="598" t="s">
        <v>189</v>
      </c>
      <c r="I24" s="598"/>
      <c r="J24" s="598"/>
      <c r="K24" s="37"/>
      <c r="L24" s="500" t="s">
        <v>186</v>
      </c>
      <c r="M24" s="515">
        <f>SUMIFS('SAIDAS-FIN-ilumi'!D:D,'SAIDAS-FIN-ilumi'!C:C,"EMPRÉSTIMO CAPITAL DE GIRO BRADESCO",'SAIDAS-FIN-ilumi'!A:A,"&gt;="&amp;M4,'SAIDAS-FIN-ilumi'!A:A,"&lt;="&amp;M5)+SUMIFS('Saidas-fin-import'!D:D,'Saidas-fin-import'!C:C,"EMPRÉSTIMO CAPITAL DE GIRO BRADESCO",'Saidas-fin-import'!A:A,"&gt;="&amp;M4,'Saidas-fin-import'!A:A,"&lt;="&amp;M5)</f>
        <v>31535.000000000004</v>
      </c>
      <c r="N24" s="35"/>
      <c r="R24" s="375">
        <v>46204</v>
      </c>
      <c r="S24" s="376">
        <v>265397.97317560174</v>
      </c>
      <c r="T24" s="376">
        <v>257602.6366113282</v>
      </c>
      <c r="U24" s="376">
        <v>7795.3365642735444</v>
      </c>
    </row>
    <row r="25" spans="1:27" ht="18.75">
      <c r="A25" s="326" t="s">
        <v>189</v>
      </c>
      <c r="B25" s="327"/>
      <c r="C25" s="321"/>
      <c r="D25" s="498" t="s">
        <v>190</v>
      </c>
      <c r="E25" s="515">
        <f>SUMIFS('SAIDAS-FIN-ilumi'!D:D,'SAIDAS-FIN-ilumi'!C:C,"FUNCIONÁRIOS (VR)",'SAIDAS-FIN-ilumi'!A:A,"&gt;="&amp;E4,'SAIDAS-FIN-ilumi'!A:A,"&lt;="&amp;E5)+SUMIFS('Saidas-fin-import'!D:D,'Saidas-fin-import'!C:C,"FUNCIONÁRIOS (VR)",'Saidas-fin-import'!A:A,"&gt;="&amp;E4,'Saidas-fin-import'!A:A,"&lt;="&amp;E5)</f>
        <v>560</v>
      </c>
      <c r="F25" s="37"/>
      <c r="G25" s="229"/>
      <c r="H25" s="364" t="s">
        <v>191</v>
      </c>
      <c r="I25" s="626">
        <f>SUMIFS('Saídas-NFE-import'!D:D,'Saídas-NFE-import'!A:A,"&gt;="&amp;M4,'Saídas-NFE-import'!A:A,"&lt;="&amp;M5)</f>
        <v>314772.10000000003</v>
      </c>
      <c r="J25" s="627"/>
      <c r="K25" s="37"/>
      <c r="L25" s="477" t="s">
        <v>187</v>
      </c>
      <c r="M25" s="515">
        <f>SUMIFS('SAIDAS-FIN-ilumi'!D:D,'SAIDAS-FIN-ilumi'!C:C,"EMPRÉSTIMO PRONAMP",'SAIDAS-FIN-ilumi'!A:A,"&gt;="&amp;M4,'SAIDAS-FIN-ilumi'!A:A,"&lt;="&amp;M5)+SUMIFS('Saidas-fin-import'!D:D,'Saidas-fin-import'!C:C,"EMPRÉSTIMO PRONAMP",'Saidas-fin-import'!A:A,"&gt;="&amp;M4,'Saidas-fin-import'!A:A,"&lt;="&amp;M5)</f>
        <v>10862.02</v>
      </c>
      <c r="N25" s="35"/>
      <c r="R25" s="375">
        <v>46235</v>
      </c>
      <c r="S25" s="376">
        <v>269643.02358082554</v>
      </c>
      <c r="T25" s="376">
        <v>255770.83327453618</v>
      </c>
      <c r="U25" s="376">
        <v>13872.190306289354</v>
      </c>
    </row>
    <row r="26" spans="1:27">
      <c r="A26" s="328" t="s">
        <v>191</v>
      </c>
      <c r="B26" s="329">
        <f>SUMIFS('Entradas- fin- import'!D:D,'Entradas- fin- import'!A:A,"&gt;="&amp;E4,'Entradas- fin- import'!A:A,"&lt;="&amp;E5)</f>
        <v>80008.320000000007</v>
      </c>
      <c r="C26" s="38"/>
      <c r="D26" s="498" t="s">
        <v>192</v>
      </c>
      <c r="E26" s="515">
        <f>SUMIFS('SAIDAS-FIN-ilumi'!D:D,'SAIDAS-FIN-ilumi'!C:C,"GASTOS FIXOS",'SAIDAS-FIN-ilumi'!A:A,"&gt;="&amp;E4,'SAIDAS-FIN-ilumi'!A:A,"&lt;="&amp;E5)+SUMIFS('Saidas-fin-import'!D:D,'Saidas-fin-import'!C:C,"GASTOS FIXOS",'Saidas-fin-import'!A:A,"&gt;="&amp;E4,'Saidas-fin-import'!A:A,"&lt;="&amp;E5)</f>
        <v>6520.59</v>
      </c>
      <c r="F26" s="37"/>
      <c r="G26" s="229"/>
      <c r="H26" s="364" t="s">
        <v>193</v>
      </c>
      <c r="I26" s="626">
        <f>SUMIFS('Entradas-NFE-Import'!D:D,'Entradas-NFE-Import'!A:A,"&gt;="&amp;M4,'Entradas-NFE-Import'!A:A,"&lt;="&amp;M5)</f>
        <v>158557.20000000001</v>
      </c>
      <c r="J26" s="627"/>
      <c r="K26" s="37"/>
      <c r="L26" s="498" t="s">
        <v>188</v>
      </c>
      <c r="M26" s="515">
        <f>SUMIFS('SAIDAS-FIN-ilumi'!D:D,'SAIDAS-FIN-ilumi'!C:C,"FUNCIONÁRIOS",'SAIDAS-FIN-ilumi'!A:A,"&gt;="&amp;M4,'SAIDAS-FIN-ilumi'!A:A,"&lt;="&amp;M5)+SUMIFS('Saidas-fin-import'!D:D,'Saidas-fin-import'!C:C,"FUNCIONÁRIOS",'Saidas-fin-import'!A:A,"&gt;="&amp;M4,'Saidas-fin-import'!A:A,"&lt;="&amp;M5)</f>
        <v>74538.890000000014</v>
      </c>
      <c r="N26" s="35"/>
      <c r="R26" s="375">
        <v>46266</v>
      </c>
      <c r="S26" s="376">
        <v>278206.61054312799</v>
      </c>
      <c r="T26" s="376">
        <v>253871.57347919469</v>
      </c>
      <c r="U26" s="376">
        <v>24335.037063933298</v>
      </c>
    </row>
    <row r="27" spans="1:27">
      <c r="A27" s="330" t="s">
        <v>193</v>
      </c>
      <c r="B27" s="331">
        <f>SUMIFS('Saidas-fin-import'!D:D,'Saidas-fin-import'!A:A,"&gt;="&amp;E4,'Saidas-fin-import'!A:A,"&lt;="&amp;E5)</f>
        <v>70645.67</v>
      </c>
      <c r="C27" s="38"/>
      <c r="D27" s="489" t="s">
        <v>194</v>
      </c>
      <c r="E27" s="515">
        <f>SUMIFS('SAIDAS-FIN-ilumi'!D:D,'SAIDAS-FIN-ilumi'!C:C,"IMPORTAÇÃO",'SAIDAS-FIN-ilumi'!A:A,"&gt;="&amp;E4,'SAIDAS-FIN-ilumi'!A:A,"&lt;="&amp;E5)+SUMIFS('Saidas-fin-import'!D:D,'Saidas-fin-import'!C:C,"IMPORTAÇÃO",'Saidas-fin-import'!A:A,"&gt;="&amp;E4,'Saidas-fin-import'!A:A,"&lt;="&amp;E5)</f>
        <v>3200</v>
      </c>
      <c r="F27" s="37"/>
      <c r="G27" s="229"/>
      <c r="H27" s="364" t="s">
        <v>195</v>
      </c>
      <c r="I27" s="626">
        <f>I25-I26</f>
        <v>156214.90000000002</v>
      </c>
      <c r="J27" s="627"/>
      <c r="K27" s="37"/>
      <c r="L27" s="498" t="s">
        <v>190</v>
      </c>
      <c r="M27" s="515">
        <f>SUMIFS('SAIDAS-FIN-ilumi'!D:D,'SAIDAS-FIN-ilumi'!C:C,"FUNCIONÁRIOS (VR)",'SAIDAS-FIN-ilumi'!A:A,"&gt;="&amp;M4,'SAIDAS-FIN-ilumi'!A:A,"&lt;="&amp;M5)+SUMIFS('Saidas-fin-import'!D:D,'Saidas-fin-import'!C:C,"FUNCIONÁRIOS (VR)",'Saidas-fin-import'!A:A,"&gt;="&amp;M4,'Saidas-fin-import'!A:A,"&lt;="&amp;M5)</f>
        <v>1560</v>
      </c>
      <c r="N27" s="35"/>
    </row>
    <row r="28" spans="1:27">
      <c r="A28" s="305" t="s">
        <v>195</v>
      </c>
      <c r="B28" s="306">
        <f>B26-B27</f>
        <v>9362.6500000000087</v>
      </c>
      <c r="C28" s="38"/>
      <c r="D28" s="498" t="s">
        <v>196</v>
      </c>
      <c r="E28" s="515">
        <f>SUMIFS('SAIDAS-FIN-ilumi'!D:D,'SAIDAS-FIN-ilumi'!C:C,"INVESTIMENTO",'SAIDAS-FIN-ilumi'!A:A,"&gt;="&amp;E4,'SAIDAS-FIN-ilumi'!A:A,"&lt;="&amp;E5)+SUMIFS('Saidas-fin-import'!D:D,'Saidas-fin-import'!C:C,"INVESTIMENTO",'Saidas-fin-import'!A:A,"&gt;="&amp;E4,'Saidas-fin-import'!A:A,"&lt;="&amp;E5)</f>
        <v>0</v>
      </c>
      <c r="F28" s="37"/>
      <c r="G28" s="33"/>
      <c r="H28" s="439"/>
      <c r="I28" s="439"/>
      <c r="J28" s="239"/>
      <c r="K28" s="37"/>
      <c r="L28" s="498" t="s">
        <v>192</v>
      </c>
      <c r="M28" s="515">
        <f>SUMIFS('SAIDAS-FIN-ilumi'!D:D,'SAIDAS-FIN-ilumi'!C:C,"GASTOS FIXOS",'SAIDAS-FIN-ilumi'!A:A,"&gt;="&amp;M4,'SAIDAS-FIN-ilumi'!A:A,"&lt;="&amp;M5)+SUMIFS('Saidas-fin-import'!D:D,'Saidas-fin-import'!C:C,"GASTOS FIXOS",'Saidas-fin-import'!A:A,"&gt;="&amp;M4,'Saidas-fin-import'!A:A,"&lt;="&amp;M5)</f>
        <v>45679.28</v>
      </c>
      <c r="N28" s="35"/>
    </row>
    <row r="29" spans="1:27" ht="18.75">
      <c r="A29" s="332"/>
      <c r="B29" s="334"/>
      <c r="C29" s="226"/>
      <c r="D29" s="498" t="s">
        <v>197</v>
      </c>
      <c r="E29" s="515">
        <f>SUMIFS('SAIDAS-FIN-ilumi'!D:D,'SAIDAS-FIN-ilumi'!C:C,"MANUTENÇÃO",'SAIDAS-FIN-ilumi'!A:A,"&gt;="&amp;E4,'SAIDAS-FIN-ilumi'!A:A,"&lt;="&amp;E5)+SUMIFS('Saidas-fin-import'!D:D,'Saidas-fin-import'!C:C,"MANUTENÇÃO",'Saidas-fin-import'!A:A,"&gt;="&amp;E4,'Saidas-fin-import'!A:A,"&lt;="&amp;E5)</f>
        <v>1900</v>
      </c>
      <c r="F29" s="37"/>
      <c r="G29" s="229"/>
      <c r="H29" s="598" t="s">
        <v>198</v>
      </c>
      <c r="I29" s="598"/>
      <c r="J29" s="598"/>
      <c r="K29" s="37"/>
      <c r="L29" s="489" t="s">
        <v>194</v>
      </c>
      <c r="M29" s="515">
        <f>SUMIFS('SAIDAS-FIN-ilumi'!D:D,'SAIDAS-FIN-ilumi'!C:C,"IMPORTAÇÃO",'SAIDAS-FIN-ilumi'!A:A,"&gt;="&amp;M4,'SAIDAS-FIN-ilumi'!A:A,"&lt;="&amp;M5)+SUMIFS('Saidas-fin-import'!D:D,'Saidas-fin-import'!C:C,"IMPORTAÇÃO",'Saidas-fin-import'!A:A,"&gt;="&amp;M4,'Saidas-fin-import'!A:A,"&lt;="&amp;M5)</f>
        <v>58200</v>
      </c>
      <c r="N29" s="35"/>
    </row>
    <row r="30" spans="1:27" ht="18.75">
      <c r="A30" s="411" t="s">
        <v>198</v>
      </c>
      <c r="B30" s="412"/>
      <c r="C30" s="38"/>
      <c r="D30" s="498" t="s">
        <v>199</v>
      </c>
      <c r="E30" s="515">
        <f>SUMIFS('SAIDAS-FIN-ilumi'!D:D,'SAIDAS-FIN-ilumi'!C:C,"MARKETING",'SAIDAS-FIN-ilumi'!A:A,"&gt;="&amp;E4,'SAIDAS-FIN-ilumi'!A:A,"&lt;="&amp;E5)+SUMIFS('Saidas-fin-import'!D:D,'Saidas-fin-import'!C:C,"MARKETING",'Saidas-fin-import'!A:A,"&gt;="&amp;E4,'Saidas-fin-import'!A:A,"&lt;="&amp;E5)</f>
        <v>0</v>
      </c>
      <c r="F30" s="37"/>
      <c r="G30" s="229"/>
      <c r="H30" s="364" t="s">
        <v>200</v>
      </c>
      <c r="I30" s="626">
        <f>SUMIFS('SAÍDA NFE ILUMI'!D:D,'SAÍDA NFE ILUMI'!A:A,"&gt;="&amp;M4,'SAÍDA NFE ILUMI'!A:A,"&lt;="&amp;M5)</f>
        <v>805816.76999999816</v>
      </c>
      <c r="J30" s="627"/>
      <c r="K30" s="37"/>
      <c r="L30" s="498" t="s">
        <v>196</v>
      </c>
      <c r="M30" s="515">
        <f>SUMIFS('SAIDAS-FIN-ilumi'!D:D,'SAIDAS-FIN-ilumi'!C:C,"INVESTIMENTO",'SAIDAS-FIN-ilumi'!A:A,"&gt;="&amp;M4,'SAIDAS-FIN-ilumi'!A:A,"&lt;="&amp;M5)+SUMIFS('Saidas-fin-import'!D:D,'Saidas-fin-import'!C:C,"INVESTIMENTO",'Saidas-fin-import'!A:A,"&gt;="&amp;M4,'Saidas-fin-import'!A:A,"&lt;="&amp;M5)</f>
        <v>7306.14</v>
      </c>
      <c r="N30" s="35"/>
    </row>
    <row r="31" spans="1:27">
      <c r="A31" s="307" t="s">
        <v>200</v>
      </c>
      <c r="B31" s="310">
        <f>SUMIFS('ENTRADAS - FIN - ilumi'!D:D,'ENTRADAS - FIN - ilumi'!A:A,"&gt;="&amp;E4,'ENTRADAS - FIN - ilumi'!A:A,"&lt;="&amp;E5)</f>
        <v>153998.17999999991</v>
      </c>
      <c r="C31" s="505"/>
      <c r="D31" s="478" t="s">
        <v>201</v>
      </c>
      <c r="E31" s="515">
        <f>SUMIFS('SAIDAS-FIN-ilumi'!D:D,'SAIDAS-FIN-ilumi'!C:C,"MATERIAL DE ESCRITÓRIO",'SAIDAS-FIN-ilumi'!A:A,"&gt;="&amp;E4,'SAIDAS-FIN-ilumi'!A:A,"&lt;="&amp;E5)+SUMIFS('Saidas-fin-import'!D:D,'Saidas-fin-import'!C:C,"MATERIAL DE ESCRITÓRIO",'Saidas-fin-import'!A:A,"&gt;="&amp;E4,'Saidas-fin-import'!A:A,"&lt;="&amp;E5)</f>
        <v>0</v>
      </c>
      <c r="F31" s="37"/>
      <c r="G31" s="229"/>
      <c r="H31" s="364" t="s">
        <v>202</v>
      </c>
      <c r="I31" s="626">
        <f>SUMIFS('ENTRADA NFE ILUMI'!D:D,'ENTRADA NFE ILUMI'!A:A,"&gt;="&amp;M4,'ENTRADA NFE ILUMI'!A:A,"&lt;="&amp;M5)</f>
        <v>465723.82999999967</v>
      </c>
      <c r="J31" s="627"/>
      <c r="K31" s="37"/>
      <c r="L31" s="498" t="s">
        <v>197</v>
      </c>
      <c r="M31" s="515">
        <f>SUMIFS('SAIDAS-FIN-ilumi'!D:D,'SAIDAS-FIN-ilumi'!C:C,"MANUTENÇÃO",'SAIDAS-FIN-ilumi'!A:A,"&gt;="&amp;M4,'SAIDAS-FIN-ilumi'!A:A,"&lt;="&amp;M5)+SUMIFS('Saidas-fin-import'!D:D,'Saidas-fin-import'!C:C,"MANUTENÇÃO",'Saidas-fin-import'!A:A,"&gt;="&amp;M4,'Saidas-fin-import'!A:A,"&lt;="&amp;M5)</f>
        <v>3735</v>
      </c>
      <c r="N31" s="35"/>
      <c r="R31" s="248" t="s">
        <v>48</v>
      </c>
      <c r="S31" s="405">
        <f t="shared" ref="S31:T34" si="2">Y6+Y14</f>
        <v>228832.46</v>
      </c>
      <c r="T31" s="405">
        <f t="shared" si="2"/>
        <v>173791.13</v>
      </c>
      <c r="U31" s="405">
        <f>S31-T31</f>
        <v>55041.329999999987</v>
      </c>
    </row>
    <row r="32" spans="1:27">
      <c r="A32" s="308" t="s">
        <v>202</v>
      </c>
      <c r="B32" s="309">
        <f>SUMIFS('SAIDAS-FIN-ilumi'!D:D,'SAIDAS-FIN-ilumi'!A:A,"&gt;="&amp;E4,'SAIDAS-FIN-ilumi'!A:A,"&lt;="&amp;E5)</f>
        <v>155988.48000000001</v>
      </c>
      <c r="C32" s="317"/>
      <c r="D32" s="498" t="s">
        <v>203</v>
      </c>
      <c r="E32" s="515">
        <f>SUMIFS('SAIDAS-FIN-ilumi'!D:D,'SAIDAS-FIN-ilumi'!C:C,"MOVIMENTO",'SAIDAS-FIN-ilumi'!A:A,"&gt;="&amp;E4,'SAIDAS-FIN-ilumi'!A:A,"&lt;="&amp;E5)+SUMIFS('Saidas-fin-import'!D:D,'Saidas-fin-import'!C:C,"MOVIMENTO",'Saidas-fin-import'!A:A,"&gt;="&amp;E4,'Saidas-fin-import'!A:A,"&lt;="&amp;E5)</f>
        <v>5521.36</v>
      </c>
      <c r="F32" s="438"/>
      <c r="G32" s="229"/>
      <c r="H32" s="364" t="s">
        <v>204</v>
      </c>
      <c r="I32" s="626">
        <f>I30-I31</f>
        <v>340092.93999999849</v>
      </c>
      <c r="J32" s="627"/>
      <c r="K32" s="438"/>
      <c r="L32" s="498" t="s">
        <v>199</v>
      </c>
      <c r="M32" s="515">
        <f>SUMIFS('SAIDAS-FIN-ilumi'!D:D,'SAIDAS-FIN-ilumi'!C:C,"MARKETING",'SAIDAS-FIN-ilumi'!A:A,"&gt;="&amp;M4,'SAIDAS-FIN-ilumi'!A:A,"&lt;="&amp;M5)+SUMIFS('Saidas-fin-import'!D:D,'Saidas-fin-import'!C:C,"MARKETING",'Saidas-fin-import'!A:A,"&gt;="&amp;M4,'Saidas-fin-import'!A:A,"&lt;="&amp;M5)</f>
        <v>2007</v>
      </c>
      <c r="N32" s="35"/>
      <c r="R32" s="401">
        <v>46199</v>
      </c>
      <c r="S32" s="405">
        <f t="shared" si="2"/>
        <v>174200.47000000003</v>
      </c>
      <c r="T32" s="405">
        <f t="shared" si="2"/>
        <v>131241.47</v>
      </c>
      <c r="U32" s="405">
        <f>S32-T32</f>
        <v>42959.000000000029</v>
      </c>
    </row>
    <row r="33" spans="1:21">
      <c r="A33" s="318" t="s">
        <v>204</v>
      </c>
      <c r="B33" s="319">
        <f>B31-B32</f>
        <v>-1990.3000000001048</v>
      </c>
      <c r="C33" s="433"/>
      <c r="D33" s="498" t="s">
        <v>205</v>
      </c>
      <c r="E33" s="515">
        <f>SUMIFS('SAIDAS-FIN-ilumi'!D:D,'SAIDAS-FIN-ilumi'!C:C,"PUBLICIDADE",'SAIDAS-FIN-ilumi'!A:A,"&gt;="&amp;E4,'SAIDAS-FIN-ilumi'!A:A,"&lt;="&amp;E5)+SUMIFS('Saidas-fin-import'!D:D,'Saidas-fin-import'!C:C,"PUBLICIDADE",'Saidas-fin-import'!A:A,"&gt;="&amp;E4,'Saidas-fin-import'!A:A,"&lt;="&amp;E5)</f>
        <v>0</v>
      </c>
      <c r="F33" s="506"/>
      <c r="G33" s="454">
        <f>(H38/H39)</f>
        <v>3125</v>
      </c>
      <c r="I33" s="436"/>
      <c r="J33" s="436"/>
      <c r="K33" s="433"/>
      <c r="L33" s="478" t="s">
        <v>201</v>
      </c>
      <c r="M33" s="515">
        <f>SUMIFS('SAIDAS-FIN-ilumi'!D:D,'SAIDAS-FIN-ilumi'!C:C,"MATERIAL DE ESCRITÓRIO",'SAIDAS-FIN-ilumi'!A:A,"&gt;="&amp;M4,'SAIDAS-FIN-ilumi'!A:A,"&lt;="&amp;M5)+SUMIFS('Saidas-fin-import'!D:D,'Saidas-fin-import'!C:C,"MATERIAL DE ESCRITÓRIO",'Saidas-fin-import'!A:A,"&gt;="&amp;M4,'Saidas-fin-import'!A:A,"&lt;="&amp;M5)</f>
        <v>1242</v>
      </c>
      <c r="N33" s="35"/>
      <c r="R33" s="401">
        <v>46229</v>
      </c>
      <c r="S33" s="405">
        <f t="shared" si="2"/>
        <v>32868.83</v>
      </c>
      <c r="T33" s="405">
        <f t="shared" si="2"/>
        <v>77490.47</v>
      </c>
      <c r="U33" s="405">
        <f t="shared" ref="U33:U34" si="3">S33-T33</f>
        <v>-44621.64</v>
      </c>
    </row>
    <row r="34" spans="1:21">
      <c r="A34" s="333"/>
      <c r="C34" s="433"/>
      <c r="D34" s="477" t="s">
        <v>206</v>
      </c>
      <c r="E34" s="515">
        <f>SUMIFS('SAIDAS-FIN-ilumi'!D:D,'SAIDAS-FIN-ilumi'!C:C,"SEGURO DE EMPRÉSTIMO",'SAIDAS-FIN-ilumi'!A:A,"&gt;="&amp;E4,'SAIDAS-FIN-ilumi'!A:A,"&lt;="&amp;E5)+SUMIFS('Saidas-fin-import'!D:D,'Saidas-fin-import'!C:C,"SEGURO DE EMPRÉSTIMO",'Saidas-fin-import'!A:A,"&gt;="&amp;E4,'Saidas-fin-import'!A:A,"&lt;="&amp;E5)</f>
        <v>109.79</v>
      </c>
      <c r="F34" s="506"/>
      <c r="G34" s="455">
        <f>G33+(1+0.65*0.1075)</f>
        <v>3126.0698750000001</v>
      </c>
      <c r="I34" s="435"/>
      <c r="J34" s="435"/>
      <c r="K34" s="433"/>
      <c r="L34" s="498" t="s">
        <v>203</v>
      </c>
      <c r="M34" s="515">
        <f>SUMIFS('SAIDAS-FIN-ilumi'!D:D,'SAIDAS-FIN-ilumi'!C:C,"MOVIMENTO",'SAIDAS-FIN-ilumi'!A:A,"&gt;="&amp;M4,'SAIDAS-FIN-ilumi'!A:A,"&lt;="&amp;M5)+SUMIFS('Saidas-fin-import'!D:D,'Saidas-fin-import'!C:C,"MOVIMENTO",'Saidas-fin-import'!A:A,"&gt;="&amp;M4,'Saidas-fin-import'!A:A,"&lt;="&amp;M5)</f>
        <v>77021.36</v>
      </c>
      <c r="N34" s="35"/>
      <c r="R34" s="248" t="s">
        <v>51</v>
      </c>
      <c r="S34" s="405">
        <f t="shared" si="2"/>
        <v>4399.8600000000006</v>
      </c>
      <c r="T34" s="405">
        <f t="shared" si="2"/>
        <v>62557.289999999994</v>
      </c>
      <c r="U34" s="405">
        <f t="shared" si="3"/>
        <v>-58157.429999999993</v>
      </c>
    </row>
    <row r="35" spans="1:21">
      <c r="A35" s="225"/>
      <c r="B35" s="225"/>
      <c r="C35" s="433"/>
      <c r="D35" s="499" t="s">
        <v>207</v>
      </c>
      <c r="E35" s="515">
        <f>SUMIFS('SAIDAS-FIN-ilumi'!D:D,'SAIDAS-FIN-ilumi'!C:C,"SEGURO DE VIDA SÓCIO",'SAIDAS-FIN-ilumi'!A:A,"&gt;="&amp;E4,'SAIDAS-FIN-ilumi'!A:A,"&lt;="&amp;E5)+SUMIFS('Saidas-fin-import'!D:D,'Saidas-fin-import'!C:C,"SEGURO DE VIDA SÓCIO",'Saidas-fin-import'!A:A,"&gt;="&amp;E4,'Saidas-fin-import'!A:A,"&lt;="&amp;E5)</f>
        <v>969.71</v>
      </c>
      <c r="F35" s="506"/>
      <c r="G35" s="550" t="s">
        <v>53</v>
      </c>
      <c r="H35" s="554"/>
      <c r="I35" s="554"/>
      <c r="J35" s="551"/>
      <c r="K35" s="506"/>
      <c r="L35" s="498" t="s">
        <v>205</v>
      </c>
      <c r="M35" s="515">
        <f>SUMIFS('SAIDAS-FIN-ilumi'!D:D,'SAIDAS-FIN-ilumi'!C:C,"PUBLICIDADE",'SAIDAS-FIN-ilumi'!A:A,"&gt;="&amp;M4,'SAIDAS-FIN-ilumi'!A:A,"&lt;="&amp;M5)+SUMIFS('Saidas-fin-import'!D:D,'Saidas-fin-import'!C:C,"PUBLICIDADE",'Saidas-fin-import'!A:A,"&gt;="&amp;M4,'Saidas-fin-import'!A:A,"&lt;="&amp;M5)</f>
        <v>147</v>
      </c>
      <c r="N35" s="35"/>
      <c r="R35" s="402" t="s">
        <v>12</v>
      </c>
      <c r="S35" s="406">
        <f>SUM(S31:S34)</f>
        <v>440301.62000000005</v>
      </c>
      <c r="T35" s="406">
        <f>SUM(T31:T34)</f>
        <v>445080.35999999993</v>
      </c>
      <c r="U35" s="406">
        <f>SUM(U31:U34)</f>
        <v>-4778.7399999999761</v>
      </c>
    </row>
    <row r="36" spans="1:21">
      <c r="A36" s="225"/>
      <c r="B36" s="225"/>
      <c r="C36" s="433"/>
      <c r="D36" s="499" t="s">
        <v>208</v>
      </c>
      <c r="E36" s="515">
        <f>SUMIFS('SAIDAS-FIN-ilumi'!D:D,'SAIDAS-FIN-ilumi'!C:C,"SEGURO SÓCIO CARRO",'SAIDAS-FIN-ilumi'!A:A,"&gt;="&amp;E4,'SAIDAS-FIN-ilumi'!A:A,"&lt;="&amp;E5)+SUMIFS('Saidas-fin-import'!D:D,'Saidas-fin-import'!C:C,"SEGURO SÓCIO CARRO",'Saidas-fin-import'!A:A,"&gt;="&amp;E4,'Saidas-fin-import'!A:A,"&lt;="&amp;E5)</f>
        <v>0</v>
      </c>
      <c r="F36" s="506"/>
      <c r="G36" s="550"/>
      <c r="H36" s="554"/>
      <c r="I36" s="554"/>
      <c r="J36" s="551"/>
      <c r="K36" s="506"/>
      <c r="L36" s="477" t="s">
        <v>206</v>
      </c>
      <c r="M36" s="515">
        <f>SUMIFS('SAIDAS-FIN-ilumi'!D:D,'SAIDAS-FIN-ilumi'!C:C,"SEGURO DE EMPRÉSTIMO",'SAIDAS-FIN-ilumi'!A:A,"&gt;="&amp;M4,'SAIDAS-FIN-ilumi'!A:A,"&lt;="&amp;M5)+SUMIFS('Saidas-fin-import'!D:D,'Saidas-fin-import'!C:C,"SEGURO DE EMPRÉSTIMO",'Saidas-fin-import'!A:A,"&gt;="&amp;M4,'Saidas-fin-import'!A:A,"&lt;="&amp;M5)</f>
        <v>548.95000000000005</v>
      </c>
      <c r="N36" s="35"/>
    </row>
    <row r="37" spans="1:21">
      <c r="A37" s="225"/>
      <c r="B37" s="225"/>
      <c r="C37" s="433"/>
      <c r="D37" s="498" t="s">
        <v>209</v>
      </c>
      <c r="E37" s="515">
        <f>SUMIFS('SAIDAS-FIN-ilumi'!D:D,'SAIDAS-FIN-ilumi'!C:C,"SÓCIOS",'SAIDAS-FIN-ilumi'!A:A,"&gt;="&amp;E4,'SAIDAS-FIN-ilumi'!A:A,"&lt;="&amp;E5)+SUMIFS('Saidas-fin-import'!D:D,'Saidas-fin-import'!C:C,"SÓCIOS",'Saidas-fin-import'!A:A,"&gt;="&amp;E4,'Saidas-fin-import'!A:A,"&lt;="&amp;E5)</f>
        <v>16500</v>
      </c>
      <c r="F37" s="506"/>
      <c r="G37" s="550" t="s">
        <v>55</v>
      </c>
      <c r="H37" s="551"/>
      <c r="I37" s="552" t="s">
        <v>56</v>
      </c>
      <c r="J37" s="553"/>
      <c r="K37" s="506"/>
      <c r="L37" s="499" t="s">
        <v>207</v>
      </c>
      <c r="M37" s="515">
        <f>SUMIFS('SAIDAS-FIN-ilumi'!D:D,'SAIDAS-FIN-ilumi'!C:C,"SEGURO DE VIDA SÓCIO",'SAIDAS-FIN-ilumi'!A:A,"&gt;="&amp;M4,'SAIDAS-FIN-ilumi'!A:A,"&lt;="&amp;M5)+SUMIFS('Saidas-fin-import'!D:D,'Saidas-fin-import'!C:C,"SEGURO DE VIDA SÓCIO",'Saidas-fin-import'!A:A,"&gt;="&amp;M4,'Saidas-fin-import'!A:A,"&lt;="&amp;M5)</f>
        <v>2909.13</v>
      </c>
      <c r="N37" s="35"/>
      <c r="T37" s="407">
        <f>T31/T22*0.1</f>
        <v>6.8746493337020181E-2</v>
      </c>
    </row>
    <row r="38" spans="1:21">
      <c r="A38" s="225"/>
      <c r="B38" s="225"/>
      <c r="C38" s="433"/>
      <c r="D38" s="498" t="s">
        <v>210</v>
      </c>
      <c r="E38" s="515">
        <f>SUMIFS('SAIDAS-FIN-ilumi'!D:D,'SAIDAS-FIN-ilumi'!C:C,"TRANSPORTES",'SAIDAS-FIN-ilumi'!A:A,"&gt;="&amp;E4,'SAIDAS-FIN-ilumi'!A:A,"&lt;="&amp;E5)+SUMIFS('Saidas-fin-import'!D:D,'Saidas-fin-import'!C:C,"TRANSPORTES",'Saidas-fin-import'!A:A,"&gt;="&amp;E4,'Saidas-fin-import'!A:A,"&lt;="&amp;E5)</f>
        <v>6186.68</v>
      </c>
      <c r="F38" s="506"/>
      <c r="G38" s="517" t="s">
        <v>60</v>
      </c>
      <c r="H38" s="461">
        <v>150000</v>
      </c>
      <c r="I38" s="517" t="s">
        <v>60</v>
      </c>
      <c r="J38" s="461">
        <v>92187.62</v>
      </c>
      <c r="K38" s="506"/>
      <c r="L38" s="499" t="s">
        <v>208</v>
      </c>
      <c r="M38" s="515">
        <f>SUMIFS('SAIDAS-FIN-ilumi'!D:D,'SAIDAS-FIN-ilumi'!C:C,"SEGURO SÓCIO CARRO",'SAIDAS-FIN-ilumi'!A:A,"&gt;="&amp;M4,'SAIDAS-FIN-ilumi'!A:A,"&lt;="&amp;M5)+SUMIFS('Saidas-fin-import'!D:D,'Saidas-fin-import'!C:C,"SEGURO SÓCIO CARRO",'Saidas-fin-import'!A:A,"&gt;="&amp;M4,'Saidas-fin-import'!A:A,"&lt;="&amp;M5)</f>
        <v>1863.46</v>
      </c>
      <c r="N38" s="35"/>
    </row>
    <row r="39" spans="1:21">
      <c r="A39" s="225"/>
      <c r="B39" s="225"/>
      <c r="C39" s="433"/>
      <c r="D39" s="477" t="s">
        <v>211</v>
      </c>
      <c r="E39" s="515">
        <f>SUMIFS('SAIDAS-FIN-ilumi'!D:D,'SAIDAS-FIN-ilumi'!C:C,"TRANSPORTES IMPORTAÇÃO",'SAIDAS-FIN-ilumi'!A:A,"&gt;="&amp;E4,'SAIDAS-FIN-ilumi'!A:A,"&lt;="&amp;E5)+SUMIFS('Saidas-fin-import'!D:D,'Saidas-fin-import'!C:C,"TRANSPORTES IMPORTAÇÃO",'Saidas-fin-import'!A:A,"&gt;="&amp;E4,'Saidas-fin-import'!A:A,"&lt;="&amp;E5)</f>
        <v>883.39</v>
      </c>
      <c r="F39" s="506"/>
      <c r="G39" s="450" t="s">
        <v>61</v>
      </c>
      <c r="H39" s="456">
        <v>48</v>
      </c>
      <c r="I39" s="450" t="s">
        <v>61</v>
      </c>
      <c r="J39" s="456">
        <v>48</v>
      </c>
      <c r="K39" s="506"/>
      <c r="L39" s="498" t="s">
        <v>209</v>
      </c>
      <c r="M39" s="515">
        <f>SUMIFS('SAIDAS-FIN-ilumi'!D:D,'SAIDAS-FIN-ilumi'!C:C,"SÓCIOS",'SAIDAS-FIN-ilumi'!A:A,"&gt;="&amp;M4,'SAIDAS-FIN-ilumi'!A:A,"&lt;="&amp;M5)+SUMIFS('Saidas-fin-import'!D:D,'Saidas-fin-import'!C:C,"SÓCIOS",'Saidas-fin-import'!A:A,"&gt;="&amp;M4,'Saidas-fin-import'!A:A,"&lt;="&amp;M5)</f>
        <v>90052.61</v>
      </c>
      <c r="N39" s="35"/>
    </row>
    <row r="40" spans="1:21">
      <c r="A40" s="225"/>
      <c r="B40" s="225"/>
      <c r="C40" s="433"/>
      <c r="D40" s="498" t="s">
        <v>1857</v>
      </c>
      <c r="E40" s="496">
        <f>SUMIFS('SAIDAS-FIN-ilumi'!D:D,'SAIDAS-FIN-ilumi'!C:C,"PLANO DE SAÚDE",'SAIDAS-FIN-ilumi'!A:A,"&gt;="&amp;E4,'SAIDAS-FIN-ilumi'!A:A,"&lt;="&amp;E5)</f>
        <v>0</v>
      </c>
      <c r="F40" s="506"/>
      <c r="G40" s="450" t="s">
        <v>62</v>
      </c>
      <c r="H40" s="456">
        <f>COUNTIF('SAIDAS-FIN-ilumi'!B:B,"EMPRÉSTIMO CAPITAL DE GIRO BRADESCO")+41</f>
        <v>41</v>
      </c>
      <c r="I40" s="450" t="s">
        <v>62</v>
      </c>
      <c r="J40" s="456">
        <f>COUNTIF('SAIDAS-FIN-ilumi'!C:C,"EMPRÉSTIMO CAPITAL DE GIRO ITAÚ")+2</f>
        <v>4</v>
      </c>
      <c r="K40" s="506"/>
      <c r="L40" s="498" t="s">
        <v>210</v>
      </c>
      <c r="M40" s="515">
        <f>SUMIFS('SAIDAS-FIN-ilumi'!D:D,'SAIDAS-FIN-ilumi'!C:C,"TRANSPORTES",'SAIDAS-FIN-ilumi'!A:A,"&gt;="&amp;M4,'SAIDAS-FIN-ilumi'!A:A,"&lt;="&amp;M5)+SUMIFS('Saidas-fin-import'!D:D,'Saidas-fin-import'!C:C,"TRANSPORTES",'Saidas-fin-import'!A:A,"&gt;="&amp;M4,'Saidas-fin-import'!A:A,"&lt;="&amp;M5)</f>
        <v>29509.08</v>
      </c>
      <c r="N40" s="35"/>
    </row>
    <row r="41" spans="1:21">
      <c r="A41" s="225"/>
      <c r="B41" s="225"/>
      <c r="C41" s="433"/>
      <c r="D41" s="514" t="s">
        <v>212</v>
      </c>
      <c r="E41" s="515">
        <f>SUMIFS('SAIDAS-FIN-ilumi'!D:D,'SAIDAS-FIN-ilumi'!C:C,"OUTRAS DESPESAS",'SAIDAS-FIN-ilumi'!A:A,"&gt;="&amp;E4,'SAIDAS-FIN-ilumi'!A:A,"&lt;="&amp;E5)</f>
        <v>0</v>
      </c>
      <c r="F41" s="506"/>
      <c r="G41" s="450" t="s">
        <v>63</v>
      </c>
      <c r="H41" s="453">
        <f>G33+G34</f>
        <v>6251.0698750000001</v>
      </c>
      <c r="I41" s="450" t="s">
        <v>63</v>
      </c>
      <c r="J41" s="451">
        <f>(J38/J39)*(1+0.49%+10.75%)</f>
        <v>2136.4480934999997</v>
      </c>
      <c r="K41" s="506"/>
      <c r="L41" s="477" t="s">
        <v>211</v>
      </c>
      <c r="M41" s="515">
        <f>SUMIFS('SAIDAS-FIN-ilumi'!D:D,'SAIDAS-FIN-ilumi'!C:C,"TRANSPORTES IMPORTAÇÃO",'SAIDAS-FIN-ilumi'!A:A,"&gt;="&amp;M4,'SAIDAS-FIN-ilumi'!A:A,"&lt;="&amp;M5)+SUMIFS('Saidas-fin-import'!D:D,'Saidas-fin-import'!C:C,"TRANSPORTES IMPORTAÇÃO",'Saidas-fin-import'!A:A,"&gt;="&amp;M4,'Saidas-fin-import'!A:A,"&lt;="&amp;M5)</f>
        <v>4945.2599999999993</v>
      </c>
      <c r="N41" s="35"/>
    </row>
    <row r="42" spans="1:21">
      <c r="A42" s="225"/>
      <c r="B42" s="225"/>
      <c r="C42" s="225"/>
      <c r="D42" s="514" t="s">
        <v>213</v>
      </c>
      <c r="E42" s="515">
        <f>SUM(E15:E41)</f>
        <v>84579.000000000015</v>
      </c>
      <c r="F42" s="433"/>
      <c r="G42" s="450" t="s">
        <v>64</v>
      </c>
      <c r="H42" s="456">
        <f>H39-H40</f>
        <v>7</v>
      </c>
      <c r="I42" s="450" t="s">
        <v>64</v>
      </c>
      <c r="J42" s="456">
        <f>J39-J40</f>
        <v>44</v>
      </c>
      <c r="K42" s="506"/>
      <c r="L42" s="514" t="s">
        <v>212</v>
      </c>
      <c r="M42" s="515">
        <f>SUMIFS('SAIDAS-FIN-ilumi'!L:L,'SAIDAS-FIN-ilumi'!K:K,"OUTRAS DESPESAS",'SAIDAS-FIN-ilumi'!I:I,"&gt;="&amp;M6,'SAIDAS-FIN-ilumi'!I:I,"&lt;="&amp;M7)</f>
        <v>0</v>
      </c>
      <c r="N42" s="35"/>
    </row>
    <row r="43" spans="1:21">
      <c r="A43" s="225"/>
      <c r="B43" s="225"/>
      <c r="C43" s="433"/>
      <c r="D43" s="514" t="s">
        <v>214</v>
      </c>
      <c r="E43" s="515">
        <f>E12-E42</f>
        <v>17893.999999999884</v>
      </c>
      <c r="F43" s="506"/>
      <c r="G43" s="519" t="s">
        <v>65</v>
      </c>
      <c r="H43" s="466">
        <f>SUMIF('SAIDAS-FIN-ilumi'!C:C,"EMPRÉSTIMO CAPITAL DE GIRO BRADESCO",'SAIDAS-FIN-ilumi'!D:D)</f>
        <v>31535.000000000004</v>
      </c>
      <c r="I43" s="519" t="s">
        <v>65</v>
      </c>
      <c r="J43" s="466">
        <f>J38-J44</f>
        <v>87084.12999999999</v>
      </c>
      <c r="L43" s="514" t="s">
        <v>213</v>
      </c>
      <c r="M43" s="515">
        <f>SUM(M17:M42)</f>
        <v>507496.45000000007</v>
      </c>
      <c r="N43" s="35"/>
    </row>
    <row r="44" spans="1:21">
      <c r="A44" s="225"/>
      <c r="B44" s="225"/>
      <c r="C44" s="225"/>
      <c r="D44" s="508"/>
      <c r="E44" s="509"/>
      <c r="F44" s="433"/>
      <c r="G44" s="518" t="s">
        <v>66</v>
      </c>
      <c r="H44" s="464">
        <f>H38-H43</f>
        <v>118465</v>
      </c>
      <c r="I44" s="518" t="s">
        <v>66</v>
      </c>
      <c r="J44" s="464">
        <f>SUMIF('SAIDAS-FIN-ilumi'!C:C,"EMPRÉSTIMO CAPITAL DE GIRO ITAÚ",'SAIDAS-FIN-ilumi'!D:D)</f>
        <v>5103.49</v>
      </c>
      <c r="K44" s="506"/>
      <c r="L44" s="514" t="s">
        <v>214</v>
      </c>
      <c r="M44" s="515">
        <f>M14-M43</f>
        <v>-100172.97700000135</v>
      </c>
      <c r="N44" s="35"/>
    </row>
    <row r="45" spans="1:21">
      <c r="A45" s="225"/>
      <c r="B45" s="225"/>
      <c r="C45" s="433"/>
      <c r="D45" s="514" t="s">
        <v>215</v>
      </c>
      <c r="E45" s="516">
        <f>IF(E9=0,0,E12/E9)</f>
        <v>0.48215298082224056</v>
      </c>
      <c r="F45" s="506"/>
      <c r="G45" s="520" t="s">
        <v>68</v>
      </c>
      <c r="H45" s="469">
        <f>(H44+H43)*0.75</f>
        <v>112500</v>
      </c>
      <c r="I45" s="520" t="s">
        <v>68</v>
      </c>
      <c r="J45" s="469">
        <f>(J44+J43)*0.59</f>
        <v>54390.695799999994</v>
      </c>
      <c r="K45" s="506"/>
      <c r="L45" s="514" t="s">
        <v>215</v>
      </c>
      <c r="M45" s="516">
        <f>IF(M11=0,0,M14/M11)</f>
        <v>0.39484460548152467</v>
      </c>
      <c r="N45" s="35"/>
    </row>
    <row r="46" spans="1:21">
      <c r="A46" s="225"/>
      <c r="B46" s="225"/>
      <c r="C46" s="433"/>
      <c r="D46" s="514" t="s">
        <v>216</v>
      </c>
      <c r="E46" s="516">
        <f>IF(E7=0,0,E43/E7)</f>
        <v>7.6467961360047215E-2</v>
      </c>
      <c r="F46" s="506"/>
      <c r="G46" s="517" t="s">
        <v>70</v>
      </c>
      <c r="H46" s="459">
        <f>H38+H45</f>
        <v>262500</v>
      </c>
      <c r="I46" s="517" t="s">
        <v>70</v>
      </c>
      <c r="J46" s="459">
        <f>J38+J45</f>
        <v>146578.31579999998</v>
      </c>
      <c r="K46" s="35"/>
      <c r="L46" s="35"/>
      <c r="M46" s="35"/>
      <c r="N46" s="35"/>
    </row>
    <row r="47" spans="1:21">
      <c r="A47" s="225"/>
      <c r="B47" s="225"/>
      <c r="C47" s="225"/>
      <c r="D47" s="436"/>
      <c r="E47" s="436"/>
      <c r="F47" s="433"/>
      <c r="G47" s="458" t="s">
        <v>72</v>
      </c>
      <c r="H47" s="457">
        <v>44988</v>
      </c>
      <c r="I47" s="458" t="s">
        <v>72</v>
      </c>
      <c r="J47" s="457">
        <v>46106</v>
      </c>
      <c r="K47" s="35"/>
      <c r="L47" s="35"/>
      <c r="M47" s="35"/>
      <c r="N47" s="35"/>
    </row>
    <row r="48" spans="1:21">
      <c r="A48" s="225"/>
      <c r="B48" s="225"/>
      <c r="C48" s="225"/>
      <c r="D48" s="225"/>
      <c r="E48" s="225"/>
      <c r="F48" s="225"/>
      <c r="G48" s="450" t="s">
        <v>73</v>
      </c>
      <c r="H48" s="452">
        <v>46237</v>
      </c>
      <c r="I48" s="450" t="s">
        <v>73</v>
      </c>
      <c r="J48" s="452">
        <v>47539</v>
      </c>
      <c r="K48" s="225"/>
      <c r="L48" s="225"/>
      <c r="M48" s="225"/>
      <c r="N48" s="35"/>
    </row>
    <row r="49" spans="1:14">
      <c r="A49" s="225"/>
      <c r="B49" s="225"/>
      <c r="C49" s="225"/>
      <c r="D49" s="225"/>
      <c r="E49" s="225"/>
      <c r="F49" s="225"/>
      <c r="G49" s="435"/>
      <c r="H49" s="435"/>
      <c r="I49" s="435"/>
      <c r="J49" s="435"/>
      <c r="K49" s="225"/>
      <c r="L49" s="225"/>
      <c r="M49" s="225"/>
      <c r="N49" s="35"/>
    </row>
    <row r="50" spans="1:14">
      <c r="A50" s="225"/>
      <c r="B50" s="225"/>
      <c r="C50" s="225"/>
      <c r="D50" s="225"/>
      <c r="E50" s="225"/>
      <c r="F50" s="433"/>
      <c r="G50" s="555" t="s">
        <v>54</v>
      </c>
      <c r="H50" s="556"/>
      <c r="I50" s="556"/>
      <c r="J50" s="557"/>
      <c r="K50" s="434"/>
      <c r="L50" s="225"/>
      <c r="M50" s="225"/>
      <c r="N50" s="35"/>
    </row>
    <row r="51" spans="1:14">
      <c r="A51" s="225"/>
      <c r="B51" s="225"/>
      <c r="C51" s="225"/>
      <c r="D51" s="225"/>
      <c r="E51" s="225"/>
      <c r="F51" s="433"/>
      <c r="G51" s="558"/>
      <c r="H51" s="559"/>
      <c r="I51" s="559"/>
      <c r="J51" s="560"/>
      <c r="K51" s="434"/>
      <c r="L51" s="225"/>
      <c r="M51" s="225"/>
      <c r="N51" s="35"/>
    </row>
    <row r="52" spans="1:14">
      <c r="A52" s="225"/>
      <c r="B52" s="225"/>
      <c r="C52" s="225"/>
      <c r="D52" s="225"/>
      <c r="E52" s="225"/>
      <c r="F52" s="433"/>
      <c r="G52" s="550" t="s">
        <v>57</v>
      </c>
      <c r="H52" s="551"/>
      <c r="I52" s="552" t="s">
        <v>58</v>
      </c>
      <c r="J52" s="553"/>
      <c r="K52" s="434"/>
      <c r="L52" s="225"/>
      <c r="M52" s="225"/>
      <c r="N52" s="35"/>
    </row>
    <row r="53" spans="1:14">
      <c r="A53" s="225"/>
      <c r="B53" s="225"/>
      <c r="C53" s="225"/>
      <c r="D53" s="225"/>
      <c r="E53" s="225"/>
      <c r="F53" s="433"/>
      <c r="G53" s="517" t="s">
        <v>60</v>
      </c>
      <c r="H53" s="461">
        <v>116965.8</v>
      </c>
      <c r="I53" s="517" t="s">
        <v>60</v>
      </c>
      <c r="J53" s="461">
        <v>139755.03</v>
      </c>
      <c r="K53" s="434"/>
      <c r="L53" s="225"/>
      <c r="M53" s="225"/>
      <c r="N53" s="35"/>
    </row>
    <row r="54" spans="1:14">
      <c r="A54" s="225"/>
      <c r="B54" s="225"/>
      <c r="C54" s="225"/>
      <c r="D54" s="225"/>
      <c r="E54" s="225"/>
      <c r="F54" s="433"/>
      <c r="G54" s="450" t="s">
        <v>61</v>
      </c>
      <c r="H54" s="456">
        <v>48</v>
      </c>
      <c r="I54" s="450" t="s">
        <v>61</v>
      </c>
      <c r="J54" s="456">
        <v>48</v>
      </c>
      <c r="K54" s="434"/>
      <c r="L54" s="225"/>
      <c r="M54" s="225"/>
      <c r="N54" s="35"/>
    </row>
    <row r="55" spans="1:14">
      <c r="A55" s="225"/>
      <c r="B55" s="225"/>
      <c r="C55" s="225"/>
      <c r="D55" s="225"/>
      <c r="E55" s="225"/>
      <c r="F55" s="433"/>
      <c r="G55" s="450" t="s">
        <v>62</v>
      </c>
      <c r="H55" s="456">
        <f>COUNTIF('Saidas-fin-import'!C:C,"EMPRÉSTIMO PRONAMP")+14</f>
        <v>17</v>
      </c>
      <c r="I55" s="450" t="s">
        <v>62</v>
      </c>
      <c r="J55" s="456">
        <f>COUNTIF('Saidas-fin-import'!C:C,"EMPRÉSTIMOS FGI")+2</f>
        <v>5</v>
      </c>
      <c r="K55" s="434"/>
      <c r="L55" s="225"/>
      <c r="M55" s="225"/>
      <c r="N55" s="35"/>
    </row>
    <row r="56" spans="1:14">
      <c r="A56" s="225"/>
      <c r="B56" s="225"/>
      <c r="C56" s="225"/>
      <c r="D56" s="225"/>
      <c r="E56" s="225"/>
      <c r="F56" s="433"/>
      <c r="G56" s="450" t="s">
        <v>63</v>
      </c>
      <c r="H56" s="451">
        <f>(H53/H54)*(1+1.62%+10.75%)</f>
        <v>2738.2181137499997</v>
      </c>
      <c r="I56" s="450" t="s">
        <v>63</v>
      </c>
      <c r="J56" s="451">
        <f>(J53/J54)*(1+1.62%)</f>
        <v>2958.7304476250001</v>
      </c>
      <c r="K56" s="434"/>
      <c r="L56" s="225"/>
      <c r="M56" s="225"/>
      <c r="N56" s="35"/>
    </row>
    <row r="57" spans="1:14">
      <c r="A57" s="225"/>
      <c r="B57" s="225"/>
      <c r="C57" s="225"/>
      <c r="D57" s="225"/>
      <c r="E57" s="433"/>
      <c r="F57" s="433"/>
      <c r="G57" s="450" t="s">
        <v>64</v>
      </c>
      <c r="H57" s="456">
        <f>H54-H55</f>
        <v>31</v>
      </c>
      <c r="I57" s="450" t="s">
        <v>64</v>
      </c>
      <c r="J57" s="456">
        <f>J54-J55</f>
        <v>43</v>
      </c>
      <c r="K57" s="434"/>
      <c r="L57" s="225"/>
      <c r="M57" s="225"/>
      <c r="N57" s="35"/>
    </row>
    <row r="58" spans="1:14">
      <c r="A58" s="225"/>
      <c r="B58" s="225"/>
      <c r="C58" s="225"/>
      <c r="D58" s="225"/>
      <c r="E58" s="433"/>
      <c r="F58" s="433"/>
      <c r="G58" s="518" t="s">
        <v>66</v>
      </c>
      <c r="H58" s="464">
        <f>SUMIF('Saidas-fin-import'!C:C,"EMPRÉSTIMO PRONAMP",'Saidas-fin-import'!D:D)+47315.47</f>
        <v>58177.490000000005</v>
      </c>
      <c r="I58" s="518" t="s">
        <v>66</v>
      </c>
      <c r="J58" s="464">
        <f>SUMIF('Saidas-fin-import'!C:C,"EMPRÉSTIMOS FGI",'Saidas-fin-import'!D:D)+5275.86</f>
        <v>14801.490000000002</v>
      </c>
      <c r="K58" s="434"/>
      <c r="L58" s="225"/>
      <c r="M58" s="225"/>
      <c r="N58" s="35"/>
    </row>
    <row r="59" spans="1:14">
      <c r="A59" s="225"/>
      <c r="B59" s="225"/>
      <c r="C59" s="225"/>
      <c r="D59" s="225"/>
      <c r="E59" s="433"/>
      <c r="F59" s="433"/>
      <c r="G59" s="519" t="s">
        <v>65</v>
      </c>
      <c r="H59" s="466">
        <f>H53-H58</f>
        <v>58788.31</v>
      </c>
      <c r="I59" s="519" t="s">
        <v>65</v>
      </c>
      <c r="J59" s="466">
        <f>J53-J58</f>
        <v>124953.54</v>
      </c>
      <c r="K59" s="434"/>
      <c r="L59" s="225"/>
      <c r="M59" s="225"/>
      <c r="N59" s="35"/>
    </row>
    <row r="60" spans="1:14">
      <c r="A60" s="225"/>
      <c r="B60" s="225"/>
      <c r="C60" s="225"/>
      <c r="D60" s="225"/>
      <c r="E60" s="433"/>
      <c r="F60" s="433"/>
      <c r="G60" s="520" t="s">
        <v>68</v>
      </c>
      <c r="H60" s="469">
        <f>(H58+H59)*1.172</f>
        <v>137083.91759999999</v>
      </c>
      <c r="I60" s="520" t="s">
        <v>68</v>
      </c>
      <c r="J60" s="469">
        <f>(J58+J59)*1.62</f>
        <v>226403.14860000001</v>
      </c>
      <c r="K60" s="434"/>
      <c r="L60" s="225"/>
      <c r="M60" s="225"/>
      <c r="N60" s="35"/>
    </row>
    <row r="61" spans="1:14">
      <c r="A61" s="225"/>
      <c r="B61" s="225"/>
      <c r="C61" s="225"/>
      <c r="D61" s="225"/>
      <c r="E61" s="433"/>
      <c r="F61" s="433"/>
      <c r="G61" s="517" t="s">
        <v>70</v>
      </c>
      <c r="H61" s="459">
        <f>H53+H60</f>
        <v>254049.71759999997</v>
      </c>
      <c r="I61" s="517" t="s">
        <v>71</v>
      </c>
      <c r="J61" s="459">
        <f>J53+J60</f>
        <v>366158.17859999998</v>
      </c>
      <c r="K61" s="434"/>
      <c r="L61" s="225"/>
      <c r="M61" s="225"/>
      <c r="N61" s="35"/>
    </row>
    <row r="62" spans="1:14">
      <c r="A62" s="225"/>
      <c r="B62" s="225"/>
      <c r="C62" s="225"/>
      <c r="D62" s="225"/>
      <c r="E62" s="433"/>
      <c r="F62" s="225"/>
      <c r="G62" s="458" t="s">
        <v>72</v>
      </c>
      <c r="H62" s="457">
        <v>45994</v>
      </c>
      <c r="I62" s="458" t="s">
        <v>72</v>
      </c>
      <c r="J62" s="457">
        <v>46024</v>
      </c>
      <c r="K62" s="225"/>
      <c r="L62" s="225"/>
      <c r="M62" s="225"/>
      <c r="N62" s="35"/>
    </row>
    <row r="63" spans="1:14">
      <c r="A63" s="225"/>
      <c r="B63" s="225"/>
      <c r="C63" s="225"/>
      <c r="D63" s="225"/>
      <c r="E63" s="433"/>
      <c r="F63" s="225"/>
      <c r="G63" s="450" t="s">
        <v>73</v>
      </c>
      <c r="H63" s="452">
        <v>47133</v>
      </c>
      <c r="I63" s="450" t="s">
        <v>73</v>
      </c>
      <c r="J63" s="452">
        <v>47455</v>
      </c>
      <c r="K63" s="225"/>
      <c r="L63" s="225"/>
      <c r="M63" s="225"/>
      <c r="N63" s="35"/>
    </row>
    <row r="64" spans="1:14">
      <c r="A64" s="225"/>
      <c r="B64" s="225"/>
      <c r="C64" s="225"/>
      <c r="D64" s="225"/>
      <c r="E64" s="433"/>
      <c r="F64" s="225"/>
      <c r="G64" s="225"/>
      <c r="H64" s="225"/>
      <c r="I64" s="225"/>
      <c r="J64" s="225"/>
      <c r="K64" s="225"/>
      <c r="L64" s="225"/>
      <c r="M64" s="225"/>
      <c r="N64" s="35"/>
    </row>
    <row r="65" spans="1:14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35"/>
    </row>
    <row r="66" spans="1:14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35"/>
    </row>
    <row r="67" spans="1:14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35"/>
    </row>
    <row r="68" spans="1:14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35"/>
    </row>
    <row r="69" spans="1:14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35"/>
    </row>
    <row r="70" spans="1:14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35"/>
    </row>
    <row r="71" spans="1:14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35"/>
    </row>
    <row r="72" spans="1:14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35"/>
    </row>
    <row r="73" spans="1:14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35"/>
    </row>
    <row r="74" spans="1:14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35"/>
    </row>
    <row r="75" spans="1:14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35"/>
    </row>
    <row r="76" spans="1:14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35"/>
    </row>
    <row r="77" spans="1:14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35"/>
    </row>
    <row r="78" spans="1:14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35"/>
    </row>
    <row r="79" spans="1:14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35"/>
    </row>
    <row r="80" spans="1:14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35"/>
    </row>
    <row r="81" spans="1:14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35"/>
    </row>
    <row r="82" spans="1:14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35"/>
    </row>
    <row r="83" spans="1:14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35"/>
    </row>
    <row r="84" spans="1:14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35"/>
    </row>
    <row r="85" spans="1:14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35"/>
    </row>
    <row r="86" spans="1:14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35"/>
    </row>
    <row r="87" spans="1:14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35"/>
    </row>
    <row r="88" spans="1:14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35"/>
    </row>
    <row r="89" spans="1:14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35"/>
    </row>
    <row r="90" spans="1:14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35"/>
    </row>
    <row r="91" spans="1:14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35"/>
    </row>
    <row r="92" spans="1:14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35"/>
    </row>
    <row r="93" spans="1:14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35"/>
    </row>
    <row r="94" spans="1:14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35"/>
    </row>
    <row r="95" spans="1:14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35"/>
    </row>
    <row r="96" spans="1:14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35"/>
    </row>
    <row r="97" spans="1:14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35"/>
    </row>
    <row r="98" spans="1:14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35"/>
    </row>
    <row r="99" spans="1:14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35"/>
    </row>
    <row r="100" spans="1:14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35"/>
    </row>
    <row r="101" spans="1:14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35"/>
    </row>
    <row r="102" spans="1:14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35"/>
    </row>
    <row r="103" spans="1:14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35"/>
    </row>
    <row r="104" spans="1:14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35"/>
    </row>
    <row r="105" spans="1:14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35"/>
    </row>
    <row r="106" spans="1:14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35"/>
    </row>
    <row r="107" spans="1:14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35"/>
    </row>
    <row r="108" spans="1:14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35"/>
    </row>
    <row r="109" spans="1:14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35"/>
    </row>
    <row r="110" spans="1:14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35"/>
    </row>
    <row r="111" spans="1:14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35"/>
    </row>
    <row r="112" spans="1:14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35"/>
    </row>
    <row r="113" spans="1:14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35"/>
    </row>
    <row r="114" spans="1:14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35"/>
    </row>
    <row r="115" spans="1:14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35"/>
    </row>
    <row r="116" spans="1:14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35"/>
    </row>
    <row r="117" spans="1:14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35"/>
    </row>
    <row r="118" spans="1:14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35"/>
    </row>
    <row r="119" spans="1:14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35"/>
    </row>
    <row r="120" spans="1:14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35"/>
    </row>
    <row r="121" spans="1:14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35"/>
    </row>
    <row r="122" spans="1:14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35"/>
    </row>
    <row r="123" spans="1:14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35"/>
    </row>
    <row r="124" spans="1:14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35"/>
    </row>
    <row r="125" spans="1:14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35"/>
    </row>
    <row r="126" spans="1:14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35"/>
    </row>
    <row r="127" spans="1:14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35"/>
    </row>
    <row r="128" spans="1:14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35"/>
    </row>
    <row r="129" spans="1:14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35"/>
    </row>
    <row r="130" spans="1:14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35"/>
    </row>
    <row r="131" spans="1:14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35"/>
    </row>
    <row r="132" spans="1:14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35"/>
    </row>
    <row r="133" spans="1:14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35"/>
    </row>
    <row r="134" spans="1:14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35"/>
    </row>
    <row r="135" spans="1:14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35"/>
    </row>
    <row r="136" spans="1:14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35"/>
    </row>
    <row r="137" spans="1:14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35"/>
    </row>
    <row r="138" spans="1:14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35"/>
    </row>
    <row r="139" spans="1:14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35"/>
    </row>
    <row r="140" spans="1:14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35"/>
    </row>
    <row r="141" spans="1:14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35"/>
    </row>
    <row r="142" spans="1:14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35"/>
    </row>
    <row r="143" spans="1:14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35"/>
    </row>
    <row r="144" spans="1:14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35"/>
    </row>
    <row r="145" spans="1:14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35"/>
    </row>
    <row r="146" spans="1:14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35"/>
    </row>
    <row r="147" spans="1:14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35"/>
    </row>
    <row r="148" spans="1:14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35"/>
    </row>
    <row r="149" spans="1:14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35"/>
    </row>
    <row r="150" spans="1:14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35"/>
    </row>
    <row r="151" spans="1:14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35"/>
    </row>
    <row r="152" spans="1:14">
      <c r="D152" s="225"/>
      <c r="E152" s="225"/>
      <c r="L152" s="225"/>
      <c r="M152" s="225"/>
    </row>
    <row r="153" spans="1:14">
      <c r="D153" s="225"/>
      <c r="E153" s="225"/>
      <c r="L153" s="225"/>
      <c r="M153" s="225"/>
    </row>
    <row r="154" spans="1:14">
      <c r="D154" s="225"/>
      <c r="E154" s="225"/>
      <c r="L154" s="225"/>
      <c r="M154" s="225"/>
    </row>
    <row r="155" spans="1:14">
      <c r="D155" s="225"/>
      <c r="E155" s="225"/>
      <c r="L155" s="225"/>
      <c r="M155" s="225"/>
    </row>
    <row r="156" spans="1:14">
      <c r="D156" s="225"/>
      <c r="E156" s="225"/>
      <c r="L156" s="225"/>
      <c r="M156" s="225"/>
    </row>
    <row r="157" spans="1:14">
      <c r="D157" s="225"/>
      <c r="E157" s="225"/>
      <c r="L157" s="225"/>
      <c r="M157" s="225"/>
    </row>
    <row r="158" spans="1:14">
      <c r="D158" s="225"/>
      <c r="E158" s="225"/>
      <c r="L158" s="225"/>
      <c r="M158" s="225"/>
    </row>
    <row r="159" spans="1:14">
      <c r="D159" s="225"/>
      <c r="E159" s="225"/>
      <c r="L159" s="225"/>
      <c r="M159" s="225"/>
    </row>
  </sheetData>
  <mergeCells count="35">
    <mergeCell ref="R4:U4"/>
    <mergeCell ref="H24:J24"/>
    <mergeCell ref="I15:J16"/>
    <mergeCell ref="I18:J19"/>
    <mergeCell ref="I8:J9"/>
    <mergeCell ref="H18:H19"/>
    <mergeCell ref="I12:J13"/>
    <mergeCell ref="G52:H52"/>
    <mergeCell ref="G36:J36"/>
    <mergeCell ref="I52:J52"/>
    <mergeCell ref="I25:J25"/>
    <mergeCell ref="I26:J26"/>
    <mergeCell ref="I27:J27"/>
    <mergeCell ref="I30:J30"/>
    <mergeCell ref="I31:J31"/>
    <mergeCell ref="I32:J32"/>
    <mergeCell ref="G35:J35"/>
    <mergeCell ref="G50:J51"/>
    <mergeCell ref="G37:H37"/>
    <mergeCell ref="I37:J37"/>
    <mergeCell ref="H29:J29"/>
    <mergeCell ref="A1:M3"/>
    <mergeCell ref="A18:A19"/>
    <mergeCell ref="B18:B19"/>
    <mergeCell ref="H4:J5"/>
    <mergeCell ref="H8:H9"/>
    <mergeCell ref="H12:H13"/>
    <mergeCell ref="H15:H16"/>
    <mergeCell ref="A12:A13"/>
    <mergeCell ref="B12:B13"/>
    <mergeCell ref="A15:A16"/>
    <mergeCell ref="B15:B16"/>
    <mergeCell ref="A4:B5"/>
    <mergeCell ref="A8:A9"/>
    <mergeCell ref="B8:B9"/>
  </mergeCells>
  <conditionalFormatting sqref="B12:B19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I12 J14 I15 J17 I18">
    <cfRule type="cellIs" dxfId="21" priority="1" operator="greaterThan">
      <formula>0</formula>
    </cfRule>
    <cfRule type="cellIs" dxfId="20" priority="2" operator="lessThan">
      <formula>0</formula>
    </cfRule>
  </conditionalFormatting>
  <dataValidations count="1">
    <dataValidation type="list" allowBlank="1" showInputMessage="1" showErrorMessage="1" sqref="B8 I8" xr:uid="{68FFB4EE-D594-4E7C-B7C1-C473BDC4315C}">
      <formula1>"Janeiro, Fevereiro, Março, Abril, Maio,  Junho,  Julho, Agosto, Setembro, Outubro,  Novembro, Dezembro, Anual"</formula1>
    </dataValidation>
  </dataValidations>
  <hyperlinks>
    <hyperlink ref="A25:B25" location="'Resumo Mensal  import'!A1" display="Import" xr:uid="{89838530-B3B5-46C4-B7FC-B99C16F8400B}"/>
    <hyperlink ref="A30:B30" location="'Resumo Mensal Ilumini'!A1" display="Iluminação" xr:uid="{2C26468D-E701-4E55-947A-BDE062C43C84}"/>
    <hyperlink ref="H24:J24" location="'Resumo Mensal  import'!A1" display="Import" xr:uid="{B3C30C79-37C3-4945-9F35-61E65FD6A24D}"/>
    <hyperlink ref="H29:J29" location="'Resumo Mensal Ilumini'!A1" display="Iluminação" xr:uid="{62CDE520-7924-4859-AF76-FCBAC30F6295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2841-7A1E-4E60-9921-5269C07D613D}">
  <dimension ref="A1:N63"/>
  <sheetViews>
    <sheetView topLeftCell="A12" zoomScale="70" zoomScaleNormal="70" workbookViewId="0">
      <selection activeCell="B54" sqref="B54"/>
    </sheetView>
  </sheetViews>
  <sheetFormatPr defaultRowHeight="15"/>
  <cols>
    <col min="1" max="1" width="44.140625" style="33" bestFit="1" customWidth="1"/>
    <col min="2" max="2" width="22" style="33" customWidth="1"/>
    <col min="3" max="3" width="9.140625" style="33"/>
    <col min="4" max="4" width="44.140625" style="33" bestFit="1" customWidth="1"/>
    <col min="5" max="5" width="25" style="33" customWidth="1"/>
    <col min="6" max="7" width="9.140625" style="33"/>
    <col min="8" max="8" width="19.42578125" style="33" customWidth="1"/>
    <col min="9" max="9" width="20.7109375" style="33" customWidth="1"/>
    <col min="10" max="10" width="27.140625" style="33" bestFit="1" customWidth="1"/>
    <col min="11" max="11" width="17.28515625" style="33" bestFit="1" customWidth="1"/>
    <col min="12" max="12" width="17.42578125" style="33" customWidth="1"/>
    <col min="13" max="13" width="15.7109375" style="33" bestFit="1" customWidth="1"/>
    <col min="14" max="14" width="37.7109375" style="33" customWidth="1"/>
    <col min="15" max="15" width="15.7109375" style="33" customWidth="1"/>
    <col min="16" max="16" width="14.28515625" style="33" bestFit="1" customWidth="1"/>
    <col min="17" max="17" width="18.5703125" style="33" customWidth="1"/>
    <col min="18" max="18" width="19.140625" style="33" customWidth="1"/>
    <col min="19" max="19" width="13.28515625" style="33" bestFit="1" customWidth="1"/>
    <col min="20" max="16384" width="9.140625" style="33"/>
  </cols>
  <sheetData>
    <row r="1" spans="1:13">
      <c r="A1" s="649" t="s">
        <v>217</v>
      </c>
      <c r="B1" s="649"/>
      <c r="C1" s="649"/>
      <c r="D1" s="649"/>
      <c r="E1" s="649"/>
      <c r="I1" s="232"/>
      <c r="J1" s="232"/>
    </row>
    <row r="2" spans="1:13">
      <c r="A2" s="649"/>
      <c r="B2" s="649"/>
      <c r="C2" s="649"/>
      <c r="D2" s="649"/>
      <c r="E2" s="649"/>
      <c r="H2" s="229"/>
      <c r="I2" s="483" t="s">
        <v>218</v>
      </c>
      <c r="J2" s="502">
        <v>34572.78</v>
      </c>
      <c r="K2" s="35"/>
    </row>
    <row r="3" spans="1:13">
      <c r="A3" s="650"/>
      <c r="B3" s="650"/>
      <c r="C3" s="649"/>
      <c r="D3" s="650"/>
      <c r="E3" s="650"/>
      <c r="H3" s="641" t="s">
        <v>219</v>
      </c>
      <c r="I3" s="642"/>
      <c r="J3" s="642"/>
      <c r="K3" s="641"/>
      <c r="L3" s="232"/>
    </row>
    <row r="4" spans="1:13">
      <c r="A4" s="655" t="s">
        <v>161</v>
      </c>
      <c r="B4" s="655"/>
      <c r="C4" s="38"/>
      <c r="D4" s="655" t="s">
        <v>163</v>
      </c>
      <c r="E4" s="655"/>
      <c r="F4" s="35"/>
      <c r="G4" s="229"/>
      <c r="H4" s="363" t="s">
        <v>18</v>
      </c>
      <c r="I4" s="362" t="s">
        <v>19</v>
      </c>
      <c r="J4" s="362" t="s">
        <v>20</v>
      </c>
      <c r="K4" s="364" t="s">
        <v>220</v>
      </c>
      <c r="L4" s="364" t="s">
        <v>220</v>
      </c>
      <c r="M4" s="363" t="s">
        <v>221</v>
      </c>
    </row>
    <row r="5" spans="1:13">
      <c r="A5" s="655"/>
      <c r="B5" s="655"/>
      <c r="C5" s="38"/>
      <c r="D5" s="655"/>
      <c r="E5" s="655"/>
      <c r="F5" s="35"/>
      <c r="G5" s="229"/>
      <c r="H5" s="367">
        <v>46023</v>
      </c>
      <c r="I5" s="361">
        <f>SUMIF('ENTRADAS - FIN - ilumi'!F:F,"Janeiro",'ENTRADAS - FIN - ilumi'!D:D)</f>
        <v>132275.39999999997</v>
      </c>
      <c r="J5" s="361">
        <f>SUMIF('SAIDAS-FIN-ilumi'!F:F,"Janeiro",'SAIDAS-FIN-ilumi'!D:D)</f>
        <v>116350.31</v>
      </c>
      <c r="K5" s="360">
        <f>I5-J5</f>
        <v>15925.089999999967</v>
      </c>
      <c r="L5" s="360">
        <f>I5-J5</f>
        <v>15925.089999999967</v>
      </c>
      <c r="M5" s="368">
        <f>IF(J2=0,0,(L5-J2)/J2)</f>
        <v>-0.53937490708007951</v>
      </c>
    </row>
    <row r="6" spans="1:13" ht="18.75">
      <c r="A6" s="653" t="s">
        <v>222</v>
      </c>
      <c r="B6" s="651" t="s">
        <v>223</v>
      </c>
      <c r="C6" s="296"/>
      <c r="D6" s="653" t="s">
        <v>224</v>
      </c>
      <c r="E6" s="651" t="s">
        <v>225</v>
      </c>
      <c r="G6" s="229"/>
      <c r="H6" s="367">
        <v>46054</v>
      </c>
      <c r="I6" s="361">
        <f>SUMIF('ENTRADAS - FIN - ilumi'!F:F,"Fevereiro",'ENTRADAS - FIN - ilumi'!D:D)</f>
        <v>126679.25000000001</v>
      </c>
      <c r="J6" s="361">
        <f>SUMIF('SAIDAS-FIN-ilumi'!F:F,"Fevereiro",'SAIDAS-FIN-ilumi'!D:D)</f>
        <v>133410.26</v>
      </c>
      <c r="K6" s="360">
        <f t="shared" ref="K6:K16" si="0">I6-J6</f>
        <v>-6731.0099999999948</v>
      </c>
      <c r="L6" s="360">
        <f>I6-J6</f>
        <v>-6731.0099999999948</v>
      </c>
      <c r="M6" s="368">
        <f>IF(J2=0,0,(L6-J2)/J2)</f>
        <v>-1.1946910257144492</v>
      </c>
    </row>
    <row r="7" spans="1:13">
      <c r="A7" s="654"/>
      <c r="B7" s="652"/>
      <c r="C7" s="295"/>
      <c r="D7" s="654"/>
      <c r="E7" s="652"/>
      <c r="G7" s="229"/>
      <c r="H7" s="367">
        <v>46082</v>
      </c>
      <c r="I7" s="361">
        <f>SUMIF('ENTRADAS - FIN - ilumi'!F:F,"MARÇO",'ENTRADAS - FIN - ilumi'!D:D)</f>
        <v>183424.12</v>
      </c>
      <c r="J7" s="361">
        <f>SUMIF('SAIDAS-FIN-ilumi'!F:F,"Março",'SAIDAS-FIN-ilumi'!D:D)</f>
        <v>192968.08000000005</v>
      </c>
      <c r="K7" s="360">
        <f t="shared" si="0"/>
        <v>-9543.9600000000501</v>
      </c>
      <c r="L7" s="360">
        <f>I7-J7</f>
        <v>-9543.9600000000501</v>
      </c>
      <c r="M7" s="368">
        <f>IF(J2=0,0,(L7-J2)/J2)</f>
        <v>-1.2760541674693227</v>
      </c>
    </row>
    <row r="8" spans="1:13">
      <c r="A8" s="643" t="s">
        <v>7</v>
      </c>
      <c r="B8" s="644" t="s">
        <v>8</v>
      </c>
      <c r="C8" s="38"/>
      <c r="D8" s="643" t="s">
        <v>7</v>
      </c>
      <c r="E8" s="644" t="s">
        <v>8</v>
      </c>
      <c r="F8" s="35"/>
      <c r="G8" s="229"/>
      <c r="H8" s="367">
        <v>46113</v>
      </c>
      <c r="I8" s="361">
        <f>SUMIF('ENTRADAS - FIN - ilumi'!F:F,"Abril",'ENTRADAS - FIN - ilumi'!D:D)</f>
        <v>214380.68000000005</v>
      </c>
      <c r="J8" s="361">
        <f>SUMIF('SAIDAS-FIN-ilumi'!F:F,"Abril",'SAIDAS-FIN-ilumi'!D:D)</f>
        <v>231574.29999999984</v>
      </c>
      <c r="K8" s="360">
        <f t="shared" si="0"/>
        <v>-17193.619999999792</v>
      </c>
      <c r="L8" s="360">
        <f>I8-J8</f>
        <v>-17193.619999999792</v>
      </c>
      <c r="M8" s="368">
        <f>IF(J2=0,0,(L8-J2)/J2)</f>
        <v>-1.4973166751415359</v>
      </c>
    </row>
    <row r="9" spans="1:13">
      <c r="A9" s="643"/>
      <c r="B9" s="644"/>
      <c r="C9" s="38"/>
      <c r="D9" s="643"/>
      <c r="E9" s="644"/>
      <c r="F9" s="35"/>
      <c r="G9" s="229"/>
      <c r="H9" s="367">
        <v>46143</v>
      </c>
      <c r="I9" s="361">
        <f>SUMIF('ENTRADAS - FIN - ilumi'!F:F,"Maio",'ENTRADAS - FIN - ilumi'!D:D)</f>
        <v>153998.17999999991</v>
      </c>
      <c r="J9" s="361">
        <f>SUMIF('SAIDAS-FIN-ilumi'!F:F,"Maio",'SAIDAS-FIN-ilumi'!D:D)</f>
        <v>155988.48000000001</v>
      </c>
      <c r="K9" s="366">
        <f t="shared" si="0"/>
        <v>-1990.3000000001048</v>
      </c>
      <c r="L9" s="366">
        <f t="shared" ref="L9:L16" si="1">I9-J9</f>
        <v>-1990.3000000001048</v>
      </c>
      <c r="M9" s="364">
        <f t="shared" ref="M9:M16" si="2">IF(I8=0,0,(I9-I8)/I8)</f>
        <v>-0.28166017572105906</v>
      </c>
    </row>
    <row r="10" spans="1:13">
      <c r="C10" s="34"/>
      <c r="D10" s="233"/>
      <c r="E10" s="235"/>
      <c r="G10" s="229"/>
      <c r="H10" s="367">
        <v>46174</v>
      </c>
      <c r="I10" s="361">
        <f>SUMIF('ENTRADAS - FIN - ilumi'!F:F,"Junho",'ENTRADAS - FIN - ilumi'!D:D)</f>
        <v>0</v>
      </c>
      <c r="J10" s="361">
        <f>SUMIF('SAIDAS-FIN-ilumi'!F:F,"Junho ",'SAIDAS-FIN-ilumi'!D:D)</f>
        <v>0</v>
      </c>
      <c r="K10" s="366">
        <f t="shared" si="0"/>
        <v>0</v>
      </c>
      <c r="L10" s="366">
        <f t="shared" si="1"/>
        <v>0</v>
      </c>
      <c r="M10" s="364">
        <f t="shared" si="2"/>
        <v>-1</v>
      </c>
    </row>
    <row r="11" spans="1:13" ht="21.75" customHeight="1">
      <c r="A11" s="645" t="s">
        <v>174</v>
      </c>
      <c r="B11" s="647">
        <f>SUMIFS('ENTRADAS - FIN - ilumi'!D:D,'ENTRADAS - FIN - ilumi'!A:A,"&gt;="&amp;$B$22,'ENTRADAS - FIN - ilumi'!A:A,"&lt;="&amp;$B$23)</f>
        <v>810757.62999999989</v>
      </c>
      <c r="C11" s="34"/>
      <c r="D11" s="232"/>
      <c r="E11" s="236"/>
      <c r="G11" s="229"/>
      <c r="H11" s="367">
        <v>46204</v>
      </c>
      <c r="I11" s="361">
        <f>SUMIF('ENTRADAS - FIN - ilumi'!F:F,"Julho",'ENTRADAS - FIN - ilumi'!D:D)</f>
        <v>0</v>
      </c>
      <c r="J11" s="361">
        <f>SUMIF('SAIDAS-FIN-ilumi'!F:F,"Julho",'SAIDAS-FIN-ilumi'!D:D)</f>
        <v>0</v>
      </c>
      <c r="K11" s="366">
        <f t="shared" si="0"/>
        <v>0</v>
      </c>
      <c r="L11" s="366">
        <f t="shared" si="1"/>
        <v>0</v>
      </c>
      <c r="M11" s="364">
        <f t="shared" si="2"/>
        <v>0</v>
      </c>
    </row>
    <row r="12" spans="1:13" ht="14.25" customHeight="1">
      <c r="A12" s="646"/>
      <c r="B12" s="648"/>
      <c r="C12" s="38"/>
      <c r="D12" s="669" t="s">
        <v>38</v>
      </c>
      <c r="E12" s="670">
        <f>E15-E18</f>
        <v>340092.93999999849</v>
      </c>
      <c r="F12" s="35"/>
      <c r="G12" s="229"/>
      <c r="H12" s="367">
        <v>46235</v>
      </c>
      <c r="I12" s="361">
        <f>SUMIF('ENTRADAS - FIN - ilumi'!F:F,"Agosto",'ENTRADAS - FIN - ilumi'!D:D)</f>
        <v>0</v>
      </c>
      <c r="J12" s="361">
        <f>SUMIF('SAIDAS-FIN-ilumi'!F:F,"Agosto",'SAIDAS-FIN-ilumi'!D:D)</f>
        <v>0</v>
      </c>
      <c r="K12" s="366">
        <f t="shared" si="0"/>
        <v>0</v>
      </c>
      <c r="L12" s="366">
        <f t="shared" si="1"/>
        <v>0</v>
      </c>
      <c r="M12" s="364">
        <f t="shared" si="2"/>
        <v>0</v>
      </c>
    </row>
    <row r="13" spans="1:13">
      <c r="A13" s="663" t="s">
        <v>74</v>
      </c>
      <c r="B13" s="647">
        <f>SUMIFS('SAIDAS-FIN-ilumi'!D:D,'SAIDAS-FIN-ilumi'!A:A,"&gt;="&amp;$B$22,'SAIDAS-FIN-ilumi'!A:A,"&lt;="&amp;$B$23)</f>
        <v>830291.4300000004</v>
      </c>
      <c r="C13" s="38"/>
      <c r="D13" s="669"/>
      <c r="E13" s="670"/>
      <c r="F13" s="35"/>
      <c r="G13" s="229"/>
      <c r="H13" s="367">
        <v>46266</v>
      </c>
      <c r="I13" s="361">
        <f>SUMIF('ENTRADAS - FIN - ilumi'!F:F,"Setembro",'ENTRADAS - FIN - ilumi'!D:D)</f>
        <v>0</v>
      </c>
      <c r="J13" s="361">
        <f>SUMIF('SAIDAS-FIN-ilumi'!F:F,"Setembro",'SAIDAS-FIN-ilumi'!D:D)</f>
        <v>0</v>
      </c>
      <c r="K13" s="366">
        <f t="shared" si="0"/>
        <v>0</v>
      </c>
      <c r="L13" s="366">
        <f t="shared" si="1"/>
        <v>0</v>
      </c>
      <c r="M13" s="364">
        <f t="shared" si="2"/>
        <v>0</v>
      </c>
    </row>
    <row r="14" spans="1:13">
      <c r="A14" s="664"/>
      <c r="B14" s="648"/>
      <c r="C14" s="34"/>
      <c r="D14" s="239"/>
      <c r="E14" s="240"/>
      <c r="G14" s="229"/>
      <c r="H14" s="367">
        <v>46296</v>
      </c>
      <c r="I14" s="361">
        <f>SUMIF('ENTRADAS - FIN - ilumi'!F:F,"Outubro",'ENTRADAS - FIN - ilumi'!D:D)</f>
        <v>0</v>
      </c>
      <c r="J14" s="361">
        <f>SUMIF('SAIDAS-FIN-ilumi'!F:F,"Outubro",'SAIDAS-FIN-ilumi'!D:D)</f>
        <v>0</v>
      </c>
      <c r="K14" s="366">
        <f t="shared" si="0"/>
        <v>0</v>
      </c>
      <c r="L14" s="366">
        <f t="shared" si="1"/>
        <v>0</v>
      </c>
      <c r="M14" s="364">
        <f t="shared" si="2"/>
        <v>0</v>
      </c>
    </row>
    <row r="15" spans="1:13">
      <c r="A15" s="656" t="s">
        <v>38</v>
      </c>
      <c r="B15" s="658">
        <f>B11-B13</f>
        <v>-19533.800000000512</v>
      </c>
      <c r="C15" s="38"/>
      <c r="D15" s="662" t="s">
        <v>176</v>
      </c>
      <c r="E15" s="644">
        <f>SUMIFS('SAÍDA NFE ILUMI'!D:D,'SAÍDA NFE ILUMI'!A:A,"&gt;="&amp;$E$22,'SAÍDA NFE ILUMI'!A:A,"&lt;="&amp;$E$23)</f>
        <v>805816.76999999816</v>
      </c>
      <c r="F15" s="35"/>
      <c r="G15" s="229"/>
      <c r="H15" s="367">
        <v>46327</v>
      </c>
      <c r="I15" s="361">
        <f>SUMIF('ENTRADAS - FIN - ilumi'!F:F,"Novembro",'ENTRADAS - FIN - ilumi'!D:D)</f>
        <v>0</v>
      </c>
      <c r="J15" s="361">
        <f>SUMIF('SAIDAS-FIN-ilumi'!F:F,"Novembro",'SAIDAS-FIN-ilumi'!D:D)</f>
        <v>0</v>
      </c>
      <c r="K15" s="366">
        <f t="shared" si="0"/>
        <v>0</v>
      </c>
      <c r="L15" s="366">
        <f t="shared" si="1"/>
        <v>0</v>
      </c>
      <c r="M15" s="364">
        <f t="shared" si="2"/>
        <v>0</v>
      </c>
    </row>
    <row r="16" spans="1:13">
      <c r="A16" s="657"/>
      <c r="B16" s="659"/>
      <c r="C16" s="38"/>
      <c r="D16" s="662"/>
      <c r="E16" s="644"/>
      <c r="F16" s="35"/>
      <c r="G16" s="229"/>
      <c r="H16" s="367">
        <v>46357</v>
      </c>
      <c r="I16" s="361">
        <f>SUMIF('ENTRADAS - FIN - ilumi'!F:F,"Dezembro",'ENTRADAS - FIN - ilumi'!D:D)</f>
        <v>0</v>
      </c>
      <c r="J16" s="361">
        <f>SUMIF('SAIDAS-FIN-ilumi'!F:F,"Dezembro",'SAIDAS-FIN-ilumi'!D:D)</f>
        <v>0</v>
      </c>
      <c r="K16" s="366">
        <f t="shared" si="0"/>
        <v>0</v>
      </c>
      <c r="L16" s="366">
        <f t="shared" si="1"/>
        <v>0</v>
      </c>
      <c r="M16" s="364">
        <f t="shared" si="2"/>
        <v>0</v>
      </c>
    </row>
    <row r="17" spans="1:13">
      <c r="C17" s="34"/>
      <c r="D17" s="239"/>
      <c r="E17" s="240"/>
      <c r="G17" s="229"/>
      <c r="H17" s="364" t="s">
        <v>38</v>
      </c>
      <c r="I17" s="358">
        <f>SUM(I5:I16)</f>
        <v>810757.62999999989</v>
      </c>
      <c r="J17" s="361">
        <f>SUM(J5:J16)</f>
        <v>830291.42999999982</v>
      </c>
      <c r="K17" s="358">
        <f>SUM(K5:K16)</f>
        <v>-19533.799999999974</v>
      </c>
      <c r="L17" s="358">
        <f>SUM(L5:L16)</f>
        <v>-19533.799999999974</v>
      </c>
      <c r="M17" s="364"/>
    </row>
    <row r="18" spans="1:13">
      <c r="A18" s="298" t="s">
        <v>218</v>
      </c>
      <c r="B18" s="299">
        <v>34572.78</v>
      </c>
      <c r="C18" s="38"/>
      <c r="D18" s="661" t="s">
        <v>180</v>
      </c>
      <c r="E18" s="644">
        <f>SUMIFS('ENTRADA NFE ILUMI'!D:D,'ENTRADA NFE ILUMI'!A:A,"&gt;="&amp;$E$22,'ENTRADA NFE ILUMI'!A:A,"&lt;="&amp;$E$23)</f>
        <v>465723.82999999967</v>
      </c>
      <c r="F18" s="35"/>
      <c r="H18" s="239"/>
      <c r="I18" s="239"/>
      <c r="J18" s="233"/>
      <c r="K18" s="233"/>
      <c r="L18" s="233"/>
    </row>
    <row r="19" spans="1:13">
      <c r="A19" s="667" t="s">
        <v>226</v>
      </c>
      <c r="B19" s="665">
        <f>B11+B18-B13</f>
        <v>15038.979999999516</v>
      </c>
      <c r="C19" s="38"/>
      <c r="D19" s="661"/>
      <c r="E19" s="644"/>
      <c r="F19" s="35"/>
      <c r="G19" s="229"/>
      <c r="H19" s="660" t="s">
        <v>227</v>
      </c>
      <c r="I19" s="660"/>
      <c r="J19" s="35"/>
    </row>
    <row r="20" spans="1:13">
      <c r="A20" s="668"/>
      <c r="B20" s="666"/>
      <c r="C20" s="39"/>
      <c r="D20" s="233"/>
      <c r="E20" s="233"/>
      <c r="G20" s="229"/>
      <c r="H20" s="367">
        <v>46143</v>
      </c>
      <c r="I20" s="361">
        <f>_xlfn.FORECAST.LINEAR(H20,I5:I8,H5:H8)</f>
        <v>239986.22303579003</v>
      </c>
      <c r="J20" s="35"/>
    </row>
    <row r="21" spans="1:13">
      <c r="C21" s="34"/>
      <c r="D21" s="232"/>
      <c r="E21" s="232"/>
      <c r="G21" s="229"/>
      <c r="H21" s="367">
        <v>46174</v>
      </c>
      <c r="I21" s="361">
        <f>_xlfn.FORECAST.LINEAR(H21,I5:I8,H5:H8)</f>
        <v>271315.38539058715</v>
      </c>
      <c r="J21" s="35"/>
    </row>
    <row r="22" spans="1:13">
      <c r="A22" s="237" t="s">
        <v>162</v>
      </c>
      <c r="B22" s="238">
        <f>IF(B8="ANUAL",DATE(2026,1,1),DATE(2026,MATCH(B8,{"JANEIRO";"FEVEREIRO";"MARÇO";"ABRIL";"MAIO";"JUNHO";"JULHO";"AGOSTO";"SETEMBRO";"OUTUBRO";"NOVEMBRO";"DEZEMBRO"},0),1))</f>
        <v>46023</v>
      </c>
      <c r="C22" s="38"/>
      <c r="D22" s="237" t="s">
        <v>162</v>
      </c>
      <c r="E22" s="238">
        <f>IF(E8="ANUAL",DATE(2026,1,1),DATE(2026,MATCH(E8,{"JANEIRO";"FEVEREIRO";"MARÇO";"ABRIL";"MAIO";"JUNHO";"JULHO";"AGOSTO";"SETEMBRO";"OUTUBRO";"NOVEMBRO";"DEZEMBRO"},0),1))</f>
        <v>46023</v>
      </c>
      <c r="F22" s="35"/>
      <c r="G22" s="229"/>
      <c r="H22" s="367">
        <v>46204</v>
      </c>
      <c r="I22" s="361">
        <f>_xlfn.FORECAST.LINEAR(H22,I5:I8,H5:H8)</f>
        <v>301633.92960490286</v>
      </c>
      <c r="J22" s="35"/>
    </row>
    <row r="23" spans="1:13">
      <c r="A23" s="237" t="s">
        <v>165</v>
      </c>
      <c r="B23" s="238">
        <f>IF(B8="ANUAL",DATE(2026,12,31),EOMONTH(DATE(2026,MATCH(B8,{"JANEIRO";"FEVEREIRO";"MARÇO";"ABRIL";"MAIO";"JUNHO";"JULHO";"AGOSTO";"SETEMBRO";"OUTUBRO";"NOVEMBRO";"DEZEMBRO"},0),1),0))</f>
        <v>46387</v>
      </c>
      <c r="C23" s="38"/>
      <c r="D23" s="237" t="s">
        <v>165</v>
      </c>
      <c r="E23" s="238">
        <f>IF(E8="ANUAL",DATE(2026,12,31),EOMONTH(DATE(2026,MATCH(E8,{"JANEIRO";"FEVEREIRO";"MARÇO";"ABRIL";"MAIO";"JUNHO";"JULHO";"AGOSTO";"SETEMBRO";"OUTUBRO";"NOVEMBRO";"DEZEMBRO"},0),1),0))</f>
        <v>46387</v>
      </c>
      <c r="F23" s="35"/>
      <c r="G23" s="229"/>
      <c r="H23" s="367">
        <v>46235</v>
      </c>
      <c r="I23" s="361">
        <f>_xlfn.FORECAST.LINEAR(H23,I5:I8,H5:H8)</f>
        <v>332963.09195969999</v>
      </c>
      <c r="J23" s="35"/>
    </row>
    <row r="24" spans="1:13">
      <c r="A24" s="239"/>
      <c r="B24" s="239"/>
      <c r="C24" s="34"/>
      <c r="D24" s="239"/>
      <c r="E24" s="239"/>
      <c r="G24" s="229"/>
      <c r="H24" s="367">
        <v>46266</v>
      </c>
      <c r="I24" s="361">
        <f>_xlfn.FORECAST.LINEAR(H24,I5:I8,H5:H8)</f>
        <v>364292.25431448966</v>
      </c>
      <c r="J24" s="35"/>
    </row>
    <row r="25" spans="1:13">
      <c r="A25" s="495" t="s">
        <v>166</v>
      </c>
      <c r="B25" s="504">
        <f>SUMIFS('ENTRADAS - FIN - ilumi'!D:D,'ENTRADAS - FIN - ilumi'!A:A,"&gt;="&amp;B22,'ENTRADAS - FIN - ilumi'!A:A,"&lt;="&amp;B23)</f>
        <v>810757.62999999989</v>
      </c>
      <c r="C25" s="484"/>
      <c r="D25" s="495" t="s">
        <v>166</v>
      </c>
      <c r="E25" s="504">
        <f>SUMIFS('SAÍDA NFE ILUMI'!D:D,'SAÍDA NFE ILUMI'!A:A,"&gt;="&amp;E22,'SAÍDA NFE ILUMI'!A:A,"&lt;="&amp;E23)</f>
        <v>805816.76999999816</v>
      </c>
      <c r="F25" s="35"/>
      <c r="G25" s="229"/>
      <c r="H25" s="367">
        <v>46296</v>
      </c>
      <c r="I25" s="361">
        <f>_xlfn.FORECAST.LINEAR(H25,I5:I8,H5:H8)</f>
        <v>394610.79852881283</v>
      </c>
      <c r="J25" s="35"/>
    </row>
    <row r="26" spans="1:13">
      <c r="A26" s="495" t="s">
        <v>167</v>
      </c>
      <c r="B26" s="496">
        <f>SUMIFS('SAIDAS-FIN-ilumi'!D:D,'SAIDAS-FIN-ilumi'!C:C,"IMPOSTOS",'SAIDAS-FIN-ilumi'!A:A,"&gt;="&amp;B22,'SAIDAS-FIN-ilumi'!A:A,"&lt;="&amp;B23)</f>
        <v>103256.70999999999</v>
      </c>
      <c r="C26" s="484"/>
      <c r="D26" s="495" t="s">
        <v>168</v>
      </c>
      <c r="E26" s="496">
        <f>SUMIFS('SAÍDA NFE ILUMI'!I:I,'SAÍDA NFE ILUMI'!J:J,"SNF",'SAÍDA NFE ILUMI'!F:F,"&gt;="&amp;E22,'SAÍDA NFE ILUMI'!F:F,"&lt;="&amp;E23)</f>
        <v>23074.52</v>
      </c>
      <c r="F26" s="35"/>
      <c r="H26" s="233"/>
      <c r="I26" s="233"/>
    </row>
    <row r="27" spans="1:13">
      <c r="A27" s="495" t="s">
        <v>169</v>
      </c>
      <c r="B27" s="504">
        <f>B25-B26</f>
        <v>707500.91999999993</v>
      </c>
      <c r="C27" s="484"/>
      <c r="D27" s="485" t="s">
        <v>170</v>
      </c>
      <c r="E27" s="486">
        <f>E25+E26</f>
        <v>828891.28999999817</v>
      </c>
      <c r="F27" s="35"/>
    </row>
    <row r="28" spans="1:13">
      <c r="A28" s="497"/>
      <c r="B28" s="493"/>
      <c r="C28" s="487"/>
      <c r="D28" s="495" t="s">
        <v>167</v>
      </c>
      <c r="E28" s="496">
        <f>SUMIFS('SAIDAS-FIN-ilumi'!D:D,'SAIDAS-FIN-ilumi'!C:C,"IMPOSTOS",'SAIDAS-FIN-ilumi'!A:A,"&gt;="&amp;E22,'SAIDAS-FIN-ilumi'!A:A,"&lt;="&amp;E23)</f>
        <v>103256.70999999999</v>
      </c>
      <c r="F28" s="35"/>
      <c r="H28" s="454">
        <f>(I33/I34)</f>
        <v>3125</v>
      </c>
      <c r="I28"/>
      <c r="J28" s="436"/>
      <c r="K28" s="436"/>
    </row>
    <row r="29" spans="1:13">
      <c r="A29" s="495" t="s">
        <v>171</v>
      </c>
      <c r="B29" s="496">
        <f>SUMIFS('SAIDAS-FIN-ilumi'!D:D,'SAIDAS-FIN-ilumi'!C:C,"FORNECEDORES",'SAIDAS-FIN-ilumi'!A:A,"&gt;="&amp;B22,'SAIDAS-FIN-ilumi'!A:A,"&lt;="&amp;B23)</f>
        <v>436248.53000000009</v>
      </c>
      <c r="C29" s="484"/>
      <c r="D29" s="495" t="s">
        <v>169</v>
      </c>
      <c r="E29" s="504">
        <f>E27-E28</f>
        <v>725634.57999999821</v>
      </c>
      <c r="F29" s="35"/>
      <c r="H29" s="455">
        <f>H28+(1+0.65*0.1075)</f>
        <v>3126.0698750000001</v>
      </c>
      <c r="I29"/>
      <c r="J29" s="435"/>
      <c r="K29" s="435"/>
    </row>
    <row r="30" spans="1:13">
      <c r="A30" s="495" t="s">
        <v>172</v>
      </c>
      <c r="B30" s="504">
        <f>B27-B29</f>
        <v>271252.38999999984</v>
      </c>
      <c r="C30" s="488"/>
      <c r="D30" s="497"/>
      <c r="E30" s="493"/>
      <c r="H30" s="550" t="s">
        <v>53</v>
      </c>
      <c r="I30" s="554"/>
      <c r="J30" s="554"/>
      <c r="K30" s="551"/>
    </row>
    <row r="31" spans="1:13">
      <c r="A31" s="497"/>
      <c r="B31" s="493"/>
      <c r="C31" s="487"/>
      <c r="D31" s="495" t="s">
        <v>171</v>
      </c>
      <c r="E31" s="496">
        <f>SUMIFS('ENTRADA NFE ILUMI'!D:D,'ENTRADA NFE ILUMI'!A:A,"&gt;="&amp;E22,'ENTRADA NFE ILUMI'!A:A,"&lt;="&amp;E23)</f>
        <v>465723.82999999967</v>
      </c>
      <c r="F31" s="35"/>
      <c r="H31" s="550"/>
      <c r="I31" s="554"/>
      <c r="J31" s="554"/>
      <c r="K31" s="551"/>
    </row>
    <row r="32" spans="1:13">
      <c r="A32" s="495" t="s">
        <v>173</v>
      </c>
      <c r="B32" s="496"/>
      <c r="C32" s="484"/>
      <c r="D32" s="495" t="s">
        <v>172</v>
      </c>
      <c r="E32" s="504">
        <f>E29-E31</f>
        <v>259910.74999999854</v>
      </c>
      <c r="F32" s="35"/>
      <c r="H32" s="550" t="s">
        <v>55</v>
      </c>
      <c r="I32" s="551"/>
      <c r="J32" s="552" t="s">
        <v>56</v>
      </c>
      <c r="K32" s="553"/>
    </row>
    <row r="33" spans="1:14">
      <c r="A33" s="498" t="s">
        <v>175</v>
      </c>
      <c r="B33" s="496">
        <f>SUMIFS('SAIDAS-FIN-ilumi'!D:D,'SAIDAS-FIN-ilumi'!C:C,"BANCO",'SAIDAS-FIN-ilumi'!A:A,"&gt;="&amp;B22,'SAIDAS-FIN-ilumi'!A:A,"&lt;="&amp;B23)</f>
        <v>2093.6599999999994</v>
      </c>
      <c r="C33" s="488"/>
      <c r="D33" s="497"/>
      <c r="E33" s="493"/>
      <c r="H33" s="517" t="s">
        <v>60</v>
      </c>
      <c r="I33" s="461">
        <v>150000</v>
      </c>
      <c r="J33" s="517" t="s">
        <v>60</v>
      </c>
      <c r="K33" s="461">
        <v>92187.62</v>
      </c>
      <c r="M33" s="519" t="s">
        <v>65</v>
      </c>
    </row>
    <row r="34" spans="1:14">
      <c r="A34" s="489" t="s">
        <v>178</v>
      </c>
      <c r="B34" s="496">
        <f>SUMIFS('SAIDAS-FIN-ilumi'!D:D,'SAIDAS-FIN-ilumi'!C:C,"CARTÃO DE CRÉDITO",'SAIDAS-FIN-ilumi'!A:A,"&gt;="&amp;B22,'SAIDAS-FIN-ilumi'!A:A,"&lt;="&amp;B23)</f>
        <v>3508.61</v>
      </c>
      <c r="C34" s="484"/>
      <c r="D34" s="495" t="s">
        <v>173</v>
      </c>
      <c r="E34" s="496"/>
      <c r="F34" s="35"/>
      <c r="H34" s="450" t="s">
        <v>61</v>
      </c>
      <c r="I34" s="456">
        <v>48</v>
      </c>
      <c r="J34" s="450" t="s">
        <v>61</v>
      </c>
      <c r="K34" s="456">
        <v>48</v>
      </c>
      <c r="M34" s="518" t="s">
        <v>66</v>
      </c>
      <c r="N34" s="518" t="s">
        <v>66</v>
      </c>
    </row>
    <row r="35" spans="1:14">
      <c r="A35" s="498" t="s">
        <v>179</v>
      </c>
      <c r="B35" s="496">
        <f>SUMIFS('SAIDAS-FIN-ilumi'!D:D,'SAIDAS-FIN-ilumi'!C:C,"CONSUMO",'SAIDAS-FIN-ilumi'!A:A,"&gt;="&amp;B22,'SAIDAS-FIN-ilumi'!A:A,"&lt;="&amp;B23)</f>
        <v>1741.18</v>
      </c>
      <c r="C35" s="484"/>
      <c r="D35" s="495" t="s">
        <v>228</v>
      </c>
      <c r="E35" s="496">
        <f>SUMIFS('SAÍDA NFE ILUMI'!I:I,'SAÍDA NFE ILUMI'!J:J,"DEVOLUÇÕES",'SAÍDA NFE ILUMI'!F:F,"&gt;="&amp;E22,'SAÍDA NFE ILUMI'!F:F,"&lt;="&amp;E23)</f>
        <v>880.2</v>
      </c>
      <c r="F35" s="35"/>
      <c r="H35" s="450" t="s">
        <v>62</v>
      </c>
      <c r="I35" s="456">
        <f>COUNTIF('SAIDAS-FIN-ilumi'!C:C,"EMPRÉSTIMO CAPITAL DE GIRO BRADESCO")+41</f>
        <v>46</v>
      </c>
      <c r="J35" s="450" t="s">
        <v>62</v>
      </c>
      <c r="K35" s="456">
        <f>COUNTIF('SAIDAS-FIN-ilumi'!C:C,"EMPRÉSTIMO CAPITAL DE GIRO ITAÚ")+2</f>
        <v>4</v>
      </c>
      <c r="N35" s="519" t="s">
        <v>65</v>
      </c>
    </row>
    <row r="36" spans="1:14">
      <c r="A36" s="489" t="s">
        <v>181</v>
      </c>
      <c r="B36" s="496">
        <f>SUMIFS('SAIDAS-FIN-ilumi'!D:D,'SAIDAS-FIN-ilumi'!C:C,"CONTABILIDADE",'SAIDAS-FIN-ilumi'!A:A,"&gt;="&amp;B22,'SAIDAS-FIN-ilumi'!A:A,"&lt;="&amp;B23)</f>
        <v>2500</v>
      </c>
      <c r="C36" s="484"/>
      <c r="D36" s="498" t="s">
        <v>229</v>
      </c>
      <c r="E36" s="496">
        <f>SUMIFS('SAIDAS-FIN-ilumi'!D:D,'SAIDAS-FIN-ilumi'!C:C,"BANCO",'SAIDAS-FIN-ilumi'!A:A,"&gt;="&amp;E22,'SAIDAS-FIN-ilumi'!A:A,"&lt;="&amp;E23)</f>
        <v>2093.6599999999994</v>
      </c>
      <c r="F36" s="35"/>
      <c r="H36" s="450" t="s">
        <v>63</v>
      </c>
      <c r="I36" s="453">
        <f>H28+H29</f>
        <v>6251.0698750000001</v>
      </c>
      <c r="J36" s="450" t="s">
        <v>63</v>
      </c>
      <c r="K36" s="451">
        <f>(K33/K34)*(1+0.49%+10.75%)</f>
        <v>2136.4480934999997</v>
      </c>
      <c r="M36" s="520" t="s">
        <v>68</v>
      </c>
      <c r="N36" s="520" t="s">
        <v>68</v>
      </c>
    </row>
    <row r="37" spans="1:14">
      <c r="A37" s="489" t="s">
        <v>182</v>
      </c>
      <c r="B37" s="496">
        <f>SUMIFS('SAIDAS-FIN-ilumi'!D:D,'SAIDAS-FIN-ilumi'!C:C,"DEVOLUÇÃO",'SAIDAS-FIN-ilumi'!A:A,"&gt;="&amp;B22,'SAIDAS-FIN-ilumi'!A:A,"&lt;="&amp;B23)</f>
        <v>400</v>
      </c>
      <c r="C37" s="484"/>
      <c r="D37" s="489" t="s">
        <v>178</v>
      </c>
      <c r="E37" s="496">
        <f>SUMIFS('SAIDAS-FIN-ilumi'!D:D,'SAIDAS-FIN-ilumi'!C:C,"CARTÃO DE CRÉDITO",'SAIDAS-FIN-ilumi'!A:A,"&gt;="&amp;E22,'SAIDAS-FIN-ilumi'!A:A,"&lt;="&amp;E23)</f>
        <v>3508.61</v>
      </c>
      <c r="F37" s="35"/>
      <c r="H37" s="450" t="s">
        <v>64</v>
      </c>
      <c r="I37" s="456">
        <f>I34-I35</f>
        <v>2</v>
      </c>
      <c r="J37" s="450" t="s">
        <v>64</v>
      </c>
      <c r="K37" s="456">
        <f>K34-K35</f>
        <v>44</v>
      </c>
      <c r="M37" s="517" t="s">
        <v>70</v>
      </c>
      <c r="N37" s="517" t="s">
        <v>70</v>
      </c>
    </row>
    <row r="38" spans="1:14">
      <c r="A38" s="499" t="s">
        <v>184</v>
      </c>
      <c r="B38" s="496">
        <f>SUMIFS('SAIDAS-FIN-ilumi'!D:D,'SAIDAS-FIN-ilumi'!C:C,"EMPRÉSTIMO CAPITAL DE GIRO ITAÚ",'SAIDAS-FIN-ilumi'!A:A,"&gt;="&amp;B22,'SAIDAS-FIN-ilumi'!A:A,"&lt;="&amp;B23)</f>
        <v>5103.49</v>
      </c>
      <c r="C38" s="484"/>
      <c r="D38" s="498" t="s">
        <v>179</v>
      </c>
      <c r="E38" s="496">
        <f>SUMIFS('SAIDAS-FIN-ilumi'!D:D,'SAIDAS-FIN-ilumi'!C:C,"CONSUMO",'SAIDAS-FIN-ilumi'!A:A,"&gt;="&amp;E22,'SAIDAS-FIN-ilumi'!A:A,"&lt;="&amp;E23)</f>
        <v>1741.18</v>
      </c>
      <c r="F38" s="35"/>
      <c r="H38" s="519" t="s">
        <v>65</v>
      </c>
      <c r="I38" s="466">
        <f>SUMIF('SAIDAS-FIN-ilumi'!C:C,"EMPRÉSTIMO CAPITAL DE GIRO BRADESCO",'SAIDAS-FIN-ilumi'!D:D)</f>
        <v>31535.000000000004</v>
      </c>
      <c r="J38" s="519" t="s">
        <v>65</v>
      </c>
      <c r="K38" s="466">
        <f>K33-K39</f>
        <v>87084.12999999999</v>
      </c>
    </row>
    <row r="39" spans="1:14" ht="30">
      <c r="A39" s="500" t="s">
        <v>186</v>
      </c>
      <c r="B39" s="496">
        <f>SUMIFS('SAIDAS-FIN-ilumi'!D:D,'SAIDAS-FIN-ilumi'!C:C,"EMPRÉSTIMO CAPITAL DE GIRO BRADESCO",'SAIDAS-FIN-ilumi'!A:A,"&gt;="&amp;B22,'SAIDAS-FIN-ilumi'!A:A,"&lt;="&amp;B23)</f>
        <v>31535.000000000004</v>
      </c>
      <c r="C39" s="484"/>
      <c r="D39" s="489" t="s">
        <v>181</v>
      </c>
      <c r="E39" s="496">
        <f>SUMIFS('SAIDAS-FIN-ilumi'!D:D,'SAIDAS-FIN-ilumi'!C:C,"CONTABILIDADE",'SAIDAS-FIN-ilumi'!A:A,"&gt;="&amp;E22,'SAIDAS-FIN-ilumi'!A:A,"&lt;="&amp;E23)</f>
        <v>2500</v>
      </c>
      <c r="F39" s="35"/>
      <c r="H39" s="518" t="s">
        <v>66</v>
      </c>
      <c r="I39" s="464">
        <f>I33-I38</f>
        <v>118465</v>
      </c>
      <c r="J39" s="518" t="s">
        <v>66</v>
      </c>
      <c r="K39" s="464">
        <f>SUMIF('SAIDAS-FIN-ilumi'!C:C,"EMPRÉSTIMO CAPITAL DE GIRO ITAÚ",'SAIDAS-FIN-ilumi'!D:D)</f>
        <v>5103.49</v>
      </c>
    </row>
    <row r="40" spans="1:14">
      <c r="A40" s="498" t="s">
        <v>188</v>
      </c>
      <c r="B40" s="496">
        <f>SUMIFS('SAIDAS-FIN-ilumi'!D:D,'SAIDAS-FIN-ilumi'!C:C,"FUNCIONÁRIOS",'SAIDAS-FIN-ilumi'!A:A,"&gt;="&amp;B22,'SAIDAS-FIN-ilumi'!A:A,"&lt;="&amp;B23)</f>
        <v>48236.130000000012</v>
      </c>
      <c r="C40" s="484"/>
      <c r="D40" s="499" t="s">
        <v>184</v>
      </c>
      <c r="E40" s="496">
        <f>SUMIFS('SAIDAS-FIN-ilumi'!D:D,'SAIDAS-FIN-ilumi'!C:C,"EMPRÉSTIMO CAPITAL DE GIRO ITAÚ",'SAIDAS-FIN-ilumi'!A:A,"&gt;="&amp;E22,'SAIDAS-FIN-ilumi'!A:A,"&lt;="&amp;E23)</f>
        <v>5103.49</v>
      </c>
      <c r="F40" s="35"/>
      <c r="H40" s="520" t="s">
        <v>68</v>
      </c>
      <c r="I40" s="469">
        <f>(I39+I38)*0.75</f>
        <v>112500</v>
      </c>
      <c r="J40" s="520" t="s">
        <v>68</v>
      </c>
      <c r="K40" s="469">
        <f>(K39+K38)*0.59</f>
        <v>54390.695799999994</v>
      </c>
    </row>
    <row r="41" spans="1:14" ht="30">
      <c r="A41" s="498" t="s">
        <v>190</v>
      </c>
      <c r="B41" s="496">
        <f>SUMIFS('SAIDAS-FIN-ilumi'!D:D,'SAIDAS-FIN-ilumi'!C:C,"FUNCIONÁRIOS (VR)",'SAIDAS-FIN-ilumi'!A:A,"&gt;="&amp;B22,'SAIDAS-FIN-ilumi'!A:A,"&lt;="&amp;B23)</f>
        <v>1560</v>
      </c>
      <c r="C41" s="484"/>
      <c r="D41" s="500" t="s">
        <v>186</v>
      </c>
      <c r="E41" s="496">
        <f>SUMIFS('SAIDAS-FIN-ilumi'!D:D,'SAIDAS-FIN-ilumi'!C:C,"EMPRÉSTIMO CAPITAL DE GIRO BRADESCO",'SAIDAS-FIN-ilumi'!A:A,"&gt;="&amp;E22,'SAIDAS-FIN-ilumi'!A:A,"&lt;="&amp;E23)</f>
        <v>31535.000000000004</v>
      </c>
      <c r="F41" s="35"/>
      <c r="H41" s="517" t="s">
        <v>70</v>
      </c>
      <c r="I41" s="459">
        <f>I33+I40</f>
        <v>262500</v>
      </c>
      <c r="J41" s="517" t="s">
        <v>70</v>
      </c>
      <c r="K41" s="459">
        <f>K33+K40</f>
        <v>146578.31579999998</v>
      </c>
    </row>
    <row r="42" spans="1:14">
      <c r="A42" s="498" t="s">
        <v>192</v>
      </c>
      <c r="B42" s="496">
        <f>SUMIFS('SAIDAS-FIN-ilumi'!D:D,'SAIDAS-FIN-ilumi'!C:C,"GASTOS FIXOS",'SAIDAS-FIN-ilumi'!A:A,"&gt;="&amp;B22,'SAIDAS-FIN-ilumi'!A:A,"&lt;="&amp;B23)</f>
        <v>35375.61</v>
      </c>
      <c r="C42" s="484"/>
      <c r="D42" s="498" t="s">
        <v>188</v>
      </c>
      <c r="E42" s="496">
        <f>SUMIFS('SAIDAS-FIN-ilumi'!D:D,'SAIDAS-FIN-ilumi'!C:C,"FUNCIONÁRIOS",'SAIDAS-FIN-ilumi'!A:A,"&gt;="&amp;E22,'SAIDAS-FIN-ilumi'!A:A,"&lt;="&amp;E23)</f>
        <v>48236.130000000012</v>
      </c>
      <c r="F42" s="35"/>
      <c r="H42" s="458" t="s">
        <v>72</v>
      </c>
      <c r="I42" s="457">
        <v>44988</v>
      </c>
      <c r="J42" s="458" t="s">
        <v>72</v>
      </c>
      <c r="K42" s="457">
        <v>46106</v>
      </c>
    </row>
    <row r="43" spans="1:14">
      <c r="A43" s="489" t="s">
        <v>194</v>
      </c>
      <c r="B43" s="496">
        <f>SUMIFS('SAIDAS-FIN-ilumi'!D:D,'SAIDAS-FIN-ilumi'!C:C,"IMPORTAÇÃO",'SAIDAS-FIN-ilumi'!A:A,"&gt;="&amp;B22,'SAIDAS-FIN-ilumi'!A:A,"&lt;="&amp;B23)</f>
        <v>30000</v>
      </c>
      <c r="C43" s="484"/>
      <c r="D43" s="498" t="s">
        <v>190</v>
      </c>
      <c r="E43" s="496">
        <f>SUMIFS('SAIDAS-FIN-ilumi'!D:D,'SAIDAS-FIN-ilumi'!C:C,"FUNCIONÁRIOS (VR)",'SAIDAS-FIN-ilumi'!A:A,"&gt;="&amp;E22,'SAIDAS-FIN-ilumi'!A:A,"&lt;="&amp;E23)</f>
        <v>1560</v>
      </c>
      <c r="F43" s="35"/>
      <c r="H43" s="450" t="s">
        <v>73</v>
      </c>
      <c r="I43" s="452">
        <v>46237</v>
      </c>
      <c r="J43" s="450" t="s">
        <v>73</v>
      </c>
      <c r="K43" s="452">
        <v>47539</v>
      </c>
    </row>
    <row r="44" spans="1:14">
      <c r="A44" s="498" t="s">
        <v>196</v>
      </c>
      <c r="B44" s="496">
        <f>SUMIFS('SAIDAS-FIN-ilumi'!D:D,'SAIDAS-FIN-ilumi'!C:C,"INVESTIMENTO",'SAIDAS-FIN-ilumi'!A:A,"&gt;="&amp;B22,'SAIDAS-FIN-ilumi'!A:A,"&lt;="&amp;B23)</f>
        <v>3167.6800000000003</v>
      </c>
      <c r="C44" s="484"/>
      <c r="D44" s="498" t="s">
        <v>192</v>
      </c>
      <c r="E44" s="496">
        <f>SUMIFS('SAIDAS-FIN-ilumi'!D:D,'SAIDAS-FIN-ilumi'!C:C,"GASTOS FIXOS",'SAIDAS-FIN-ilumi'!A:A,"&gt;="&amp;E22,'SAIDAS-FIN-ilumi'!A:A,"&lt;="&amp;E23)</f>
        <v>35375.61</v>
      </c>
      <c r="F44" s="35"/>
    </row>
    <row r="45" spans="1:14">
      <c r="A45" s="498" t="s">
        <v>197</v>
      </c>
      <c r="B45" s="496">
        <f>SUMIFS('SAIDAS-FIN-ilumi'!D:D,'SAIDAS-FIN-ilumi'!C:C,"MANUTENÇÃO",'SAIDAS-FIN-ilumi'!A:A,"&gt;="&amp;B22,'SAIDAS-FIN-ilumi'!A:A,"&lt;="&amp;B23)</f>
        <v>1585</v>
      </c>
      <c r="C45" s="484"/>
      <c r="D45" s="489" t="s">
        <v>194</v>
      </c>
      <c r="E45" s="496">
        <f>SUMIFS('SAIDAS-FIN-ilumi'!D:D,'SAIDAS-FIN-ilumi'!C:C,"IMPORTAÇÃO",'SAIDAS-FIN-ilumi'!A:A,"&gt;="&amp;E22,'SAIDAS-FIN-ilumi'!A:A,"&lt;="&amp;E23)</f>
        <v>30000</v>
      </c>
      <c r="F45" s="35"/>
    </row>
    <row r="46" spans="1:14">
      <c r="A46" s="498" t="s">
        <v>199</v>
      </c>
      <c r="B46" s="496">
        <f>SUMIFS('SAIDAS-FIN-ilumi'!D:D,'SAIDAS-FIN-ilumi'!C:C,"MARKETING",'SAIDAS-FIN-ilumi'!A:A,"&gt;="&amp;B22,'SAIDAS-FIN-ilumi'!A:A,"&lt;="&amp;B23)</f>
        <v>2007</v>
      </c>
      <c r="C46" s="488"/>
      <c r="D46" s="498" t="s">
        <v>196</v>
      </c>
      <c r="E46" s="496">
        <f>SUMIFS('SAIDAS-FIN-ilumi'!D:D,'SAIDAS-FIN-ilumi'!C:C,"INVESTIMENTO",'SAIDAS-FIN-ilumi'!A:A,"&gt;="&amp;E22,'SAIDAS-FIN-ilumi'!A:A,"&lt;="&amp;E23)</f>
        <v>3167.6800000000003</v>
      </c>
      <c r="F46" s="35"/>
    </row>
    <row r="47" spans="1:14">
      <c r="A47" s="498" t="s">
        <v>203</v>
      </c>
      <c r="B47" s="496">
        <f>SUMIFS('SAIDAS-FIN-ilumi'!D:D,'SAIDAS-FIN-ilumi'!C:C,"MOVIMENTO",'SAIDAS-FIN-ilumi'!A:A,"&gt;="&amp;B22,'SAIDAS-FIN-ilumi'!A:A,"&lt;="&amp;B23)</f>
        <v>41166.36</v>
      </c>
      <c r="C47" s="484"/>
      <c r="D47" s="498" t="s">
        <v>197</v>
      </c>
      <c r="E47" s="496">
        <f>SUMIFS('SAIDAS-FIN-ilumi'!D:D,'SAIDAS-FIN-ilumi'!C:C,"MANUTENÇÃO",'SAIDAS-FIN-ilumi'!A:A,"&gt;="&amp;E22,'SAIDAS-FIN-ilumi'!A:A,"&lt;="&amp;E23)</f>
        <v>1585</v>
      </c>
      <c r="F47" s="35"/>
    </row>
    <row r="48" spans="1:14">
      <c r="A48" s="498" t="s">
        <v>205</v>
      </c>
      <c r="B48" s="496">
        <f>SUMIFS('SAIDAS-FIN-ilumi'!D:D,'SAIDAS-FIN-ilumi'!C:C,"PUBLICIDADE",'SAIDAS-FIN-ilumi'!A:A,"&gt;="&amp;B22,'SAIDAS-FIN-ilumi'!A:A,"&lt;="&amp;B23)</f>
        <v>147</v>
      </c>
      <c r="C48" s="490"/>
      <c r="D48" s="498" t="s">
        <v>199</v>
      </c>
      <c r="E48" s="496">
        <f>SUMIFS('SAIDAS-FIN-ilumi'!D:D,'SAIDAS-FIN-ilumi'!C:C,"MARKETING",'SAIDAS-FIN-ilumi'!A:A,"&gt;="&amp;E22,'SAIDAS-FIN-ilumi'!A:A,"&lt;="&amp;E23)</f>
        <v>2007</v>
      </c>
      <c r="F48" s="35"/>
    </row>
    <row r="49" spans="1:6">
      <c r="A49" s="499" t="s">
        <v>207</v>
      </c>
      <c r="B49" s="496">
        <f>SUMIFS('SAIDAS-FIN-ilumi'!D:D,'SAIDAS-FIN-ilumi'!C:C,"SEGURO DE VIDA SÓCIO",'SAIDAS-FIN-ilumi'!A:A,"&gt;="&amp;B22,'SAIDAS-FIN-ilumi'!A:A,"&lt;="&amp;B23)</f>
        <v>2909.13</v>
      </c>
      <c r="C49" s="490"/>
      <c r="D49" s="498" t="s">
        <v>203</v>
      </c>
      <c r="E49" s="496">
        <f>SUMIFS('SAIDAS-FIN-ilumi'!D:D,'SAIDAS-FIN-ilumi'!C:C,"MOVIMENTO",'SAIDAS-FIN-ilumi'!A:A,"&gt;="&amp;E22,'SAIDAS-FIN-ilumi'!A:A,"&lt;="&amp;E23)</f>
        <v>41166.36</v>
      </c>
      <c r="F49" s="35"/>
    </row>
    <row r="50" spans="1:6">
      <c r="A50" s="499" t="s">
        <v>208</v>
      </c>
      <c r="B50" s="496">
        <f>SUMIFS('SAIDAS-FIN-ilumi'!D:D,'SAIDAS-FIN-ilumi'!C:C,"SEGURO SÓCIO CARRO",'SAIDAS-FIN-ilumi'!A:A,"&gt;="&amp;B22,'SAIDAS-FIN-ilumi'!A:A,"&lt;="&amp;B23)</f>
        <v>1863.46</v>
      </c>
      <c r="C50" s="490"/>
      <c r="D50" s="498" t="s">
        <v>205</v>
      </c>
      <c r="E50" s="496">
        <f>SUMIFS('SAIDAS-FIN-ilumi'!D:D,'SAIDAS-FIN-ilumi'!C:C,"PUBLICIDADE",'SAIDAS-FIN-ilumi'!A:A,"&gt;="&amp;E22,'SAIDAS-FIN-ilumi'!A:A,"&lt;="&amp;E23)</f>
        <v>147</v>
      </c>
      <c r="F50" s="35"/>
    </row>
    <row r="51" spans="1:6">
      <c r="A51" s="498" t="s">
        <v>209</v>
      </c>
      <c r="B51" s="496">
        <f>SUMIFS('SAIDAS-FIN-ilumi'!D:D,'SAIDAS-FIN-ilumi'!C:C,"SÓCIOS",'SAIDAS-FIN-ilumi'!A:A,"&gt;="&amp;B22,'SAIDAS-FIN-ilumi'!A:A,"&lt;="&amp;B23)</f>
        <v>36550.369999999995</v>
      </c>
      <c r="C51" s="490"/>
      <c r="D51" s="499" t="s">
        <v>207</v>
      </c>
      <c r="E51" s="496">
        <f>SUMIFS('SAIDAS-FIN-ilumi'!D:D,'SAIDAS-FIN-ilumi'!C:C,"SEGURO DE VIDA SÓCIO",'SAIDAS-FIN-ilumi'!A:A,"&gt;="&amp;E22,'SAIDAS-FIN-ilumi'!A:A,"&lt;="&amp;E23)</f>
        <v>2909.13</v>
      </c>
      <c r="F51" s="35"/>
    </row>
    <row r="52" spans="1:6">
      <c r="A52" s="498" t="s">
        <v>210</v>
      </c>
      <c r="B52" s="496">
        <f>SUMIFS('SAIDAS-FIN-ilumi'!D:D,'SAIDAS-FIN-ilumi'!C:C,"TRANSPORTES",'SAIDAS-FIN-ilumi'!A:A,"&gt;="&amp;B22,'SAIDAS-FIN-ilumi'!A:A,"&lt;="&amp;B23)</f>
        <v>22339.08</v>
      </c>
      <c r="C52" s="490"/>
      <c r="D52" s="499" t="s">
        <v>208</v>
      </c>
      <c r="E52" s="496">
        <f>SUMIFS('SAIDAS-FIN-ilumi'!D:D,'SAIDAS-FIN-ilumi'!C:C,"SEGURO SÓCIO CARRO",'SAIDAS-FIN-ilumi'!A:A,"&gt;="&amp;E22,'SAIDAS-FIN-ilumi'!A:A,"&lt;="&amp;E23)</f>
        <v>1863.46</v>
      </c>
      <c r="F52" s="35"/>
    </row>
    <row r="53" spans="1:6">
      <c r="A53" s="498" t="s">
        <v>1857</v>
      </c>
      <c r="B53" s="496">
        <f>SUMIFS('SAIDAS-FIN-ilumi'!D:D,'SAIDAS-FIN-ilumi'!C:C,"PLANO DE SAÚDE",'SAIDAS-FIN-ilumi'!A:A,"&gt;="&amp;B22,'SAIDAS-FIN-ilumi'!A:A,"&lt;="&amp;B23)</f>
        <v>10121.799999999999</v>
      </c>
      <c r="C53" s="492"/>
      <c r="D53" s="498" t="s">
        <v>209</v>
      </c>
      <c r="E53" s="496">
        <f>SUMIFS('SAIDAS-FIN-ilumi'!D:D,'SAIDAS-FIN-ilumi'!C:C,"SÓCIOS",'SAIDAS-FIN-ilumi'!A:A,"&gt;="&amp;E22,'SAIDAS-FIN-ilumi'!A:A,"&lt;="&amp;E23)</f>
        <v>36550.369999999995</v>
      </c>
      <c r="F53" s="35"/>
    </row>
    <row r="54" spans="1:6">
      <c r="A54" s="495" t="s">
        <v>212</v>
      </c>
      <c r="B54" s="496">
        <f>SUMIFS('SAIDAS-FIN-ilumi'!D:D,'SAIDAS-FIN-ilumi'!C:C,"OUTROS",'SAIDAS-FIN-ilumi'!A:A,"&gt;="&amp;B22,'SAIDAS-FIN-ilumi'!A:A,"&lt;="&amp;B23)</f>
        <v>0</v>
      </c>
      <c r="C54" s="490"/>
      <c r="D54" s="498" t="s">
        <v>210</v>
      </c>
      <c r="E54" s="496">
        <f>SUMIFS('SAIDAS-FIN-ilumi'!D:D,'SAIDAS-FIN-ilumi'!C:C,"TRANSPORTES",'SAIDAS-FIN-ilumi'!A:A,"&gt;="&amp;E22,'SAIDAS-FIN-ilumi'!A:A,"&lt;="&amp;E23)</f>
        <v>22339.08</v>
      </c>
      <c r="F54" s="35"/>
    </row>
    <row r="55" spans="1:6">
      <c r="A55" s="495" t="s">
        <v>213</v>
      </c>
      <c r="B55" s="504">
        <f>SUM(B33:B52)</f>
        <v>273788.75999999995</v>
      </c>
      <c r="C55" s="490"/>
      <c r="D55" s="491"/>
      <c r="E55" s="491"/>
    </row>
    <row r="56" spans="1:6">
      <c r="A56" s="491"/>
      <c r="B56" s="491"/>
      <c r="C56" s="492"/>
      <c r="D56" s="495" t="s">
        <v>212</v>
      </c>
      <c r="E56" s="496">
        <f>SUMIFS('SAIDAS-FIN-ilumi'!D:D,'SAIDAS-FIN-ilumi'!C:C,"OUTROS",'SAIDAS-FIN-ilumi'!A:A,"&gt;="&amp;E22,'SAIDAS-FIN-ilumi'!A:A,"&lt;="&amp;E23)</f>
        <v>0</v>
      </c>
      <c r="F56" s="35"/>
    </row>
    <row r="57" spans="1:6">
      <c r="A57" s="495" t="s">
        <v>214</v>
      </c>
      <c r="B57" s="504">
        <f>B30-B55</f>
        <v>-2536.3700000001118</v>
      </c>
      <c r="C57" s="490"/>
      <c r="D57" s="495" t="s">
        <v>213</v>
      </c>
      <c r="E57" s="504">
        <f>SUM(E35:E56)</f>
        <v>274268.95999999996</v>
      </c>
      <c r="F57" s="35"/>
    </row>
    <row r="58" spans="1:6">
      <c r="A58" s="497"/>
      <c r="B58" s="491"/>
      <c r="C58" s="492"/>
      <c r="D58" s="491"/>
      <c r="E58" s="493"/>
    </row>
    <row r="59" spans="1:6">
      <c r="A59" s="495" t="s">
        <v>215</v>
      </c>
      <c r="B59" s="501">
        <f>IF(B27=0,0,B30/B27)</f>
        <v>0.3833951056911698</v>
      </c>
      <c r="C59" s="490"/>
      <c r="D59" s="495" t="s">
        <v>214</v>
      </c>
      <c r="E59" s="504">
        <f>E32-E57</f>
        <v>-14358.210000001418</v>
      </c>
      <c r="F59" s="35"/>
    </row>
    <row r="60" spans="1:6">
      <c r="A60" s="495" t="s">
        <v>216</v>
      </c>
      <c r="B60" s="501">
        <f>IF(B25=0,0,B57/B25)</f>
        <v>-3.1283948570426799E-3</v>
      </c>
      <c r="C60" s="490"/>
      <c r="D60" s="491"/>
      <c r="E60" s="491"/>
    </row>
    <row r="61" spans="1:6">
      <c r="A61" s="494"/>
      <c r="B61" s="494"/>
      <c r="C61" s="492"/>
      <c r="D61" s="495" t="s">
        <v>215</v>
      </c>
      <c r="E61" s="501">
        <f>IF(E29=0,0,E32/E29)</f>
        <v>0.35818407386263096</v>
      </c>
      <c r="F61" s="35"/>
    </row>
    <row r="62" spans="1:6">
      <c r="A62" s="492"/>
      <c r="B62" s="492"/>
      <c r="C62" s="492"/>
      <c r="D62" s="495" t="s">
        <v>216</v>
      </c>
      <c r="E62" s="501">
        <f>IF(E25=0,0,E59/E25)</f>
        <v>-1.781820698519522E-2</v>
      </c>
      <c r="F62" s="35"/>
    </row>
    <row r="63" spans="1:6">
      <c r="D63" s="233"/>
      <c r="E63" s="233"/>
    </row>
  </sheetData>
  <mergeCells count="31">
    <mergeCell ref="A15:A16"/>
    <mergeCell ref="B15:B16"/>
    <mergeCell ref="H19:I19"/>
    <mergeCell ref="B13:B14"/>
    <mergeCell ref="D18:D19"/>
    <mergeCell ref="E18:E19"/>
    <mergeCell ref="D15:D16"/>
    <mergeCell ref="E15:E16"/>
    <mergeCell ref="A13:A14"/>
    <mergeCell ref="B19:B20"/>
    <mergeCell ref="A19:A20"/>
    <mergeCell ref="D12:D13"/>
    <mergeCell ref="E12:E13"/>
    <mergeCell ref="A1:E3"/>
    <mergeCell ref="E6:E7"/>
    <mergeCell ref="B6:B7"/>
    <mergeCell ref="A6:A7"/>
    <mergeCell ref="D6:D7"/>
    <mergeCell ref="A4:B5"/>
    <mergeCell ref="D4:E5"/>
    <mergeCell ref="A8:A9"/>
    <mergeCell ref="B8:B9"/>
    <mergeCell ref="D8:D9"/>
    <mergeCell ref="E8:E9"/>
    <mergeCell ref="A11:A12"/>
    <mergeCell ref="B11:B12"/>
    <mergeCell ref="H31:K31"/>
    <mergeCell ref="H32:I32"/>
    <mergeCell ref="J32:K32"/>
    <mergeCell ref="H30:K30"/>
    <mergeCell ref="H3:K3"/>
  </mergeCells>
  <conditionalFormatting sqref="B11 B13 B15 B19">
    <cfRule type="cellIs" dxfId="19" priority="18" stopIfTrue="1" operator="lessThan">
      <formula>0</formula>
    </cfRule>
    <cfRule type="cellIs" dxfId="18" priority="19" stopIfTrue="1" operator="greaterThan">
      <formula>0</formula>
    </cfRule>
  </conditionalFormatting>
  <conditionalFormatting sqref="B57 E59">
    <cfRule type="cellIs" dxfId="17" priority="4" operator="lessThan">
      <formula>0</formula>
    </cfRule>
    <cfRule type="cellIs" dxfId="16" priority="5" operator="greaterThan">
      <formula>0</formula>
    </cfRule>
  </conditionalFormatting>
  <conditionalFormatting sqref="E12:E19">
    <cfRule type="cellIs" dxfId="15" priority="16" operator="greaterThan">
      <formula>0</formula>
    </cfRule>
    <cfRule type="cellIs" dxfId="14" priority="17" operator="lessThan">
      <formula>0</formula>
    </cfRule>
  </conditionalFormatting>
  <conditionalFormatting sqref="K10 K14">
    <cfRule type="cellIs" dxfId="13" priority="3" operator="lessThan">
      <formula>0</formula>
    </cfRule>
  </conditionalFormatting>
  <conditionalFormatting sqref="K5:L17">
    <cfRule type="cellIs" dxfId="12" priority="1" operator="greaterThan">
      <formula>0</formula>
    </cfRule>
    <cfRule type="cellIs" dxfId="11" priority="2" operator="lessThan">
      <formula>0</formula>
    </cfRule>
  </conditionalFormatting>
  <dataValidations count="1">
    <dataValidation type="list" allowBlank="1" showInputMessage="1" showErrorMessage="1" sqref="B8 E8" xr:uid="{844095DD-0D9D-47C0-9737-3EA3EA936E69}">
      <formula1>"Janeiro, Fevereiro, Março, Abril, Maio,  Junho,  Julho, Agosto, Setembro, Outubro,  Novembro, Dezembro, Anual"</formula1>
    </dataValidation>
  </dataValidations>
  <hyperlinks>
    <hyperlink ref="B6" location="'SAIDAS-FIN-ilumi'!A1" display="Saidas Fin Ilu" xr:uid="{75F3D1C7-B637-456F-A3F5-72BA7056695B}"/>
    <hyperlink ref="E6" location="'ENTRADA NFE ILUMI'!A1" display="Saidas ilu NFE" xr:uid="{6CBA0DC5-29D4-4EC1-B57E-D98293069896}"/>
    <hyperlink ref="A6" location="'Entradas- fin- import'!A1" display="Entradas Fin ilumi" xr:uid="{47EEEBC0-634B-47E7-9C2E-E266751E4483}"/>
    <hyperlink ref="D6" location="'SAÍDA NFE ILUMI'!A1" display="Entradas ilu NFE" xr:uid="{5B736FA3-3424-4234-9F0A-E416944326C1}"/>
  </hyperlink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8C36-60D7-41AC-94E3-1B2FA32C9273}">
  <dimension ref="A1:M59"/>
  <sheetViews>
    <sheetView topLeftCell="A20" zoomScale="70" zoomScaleNormal="70" workbookViewId="0">
      <selection activeCell="E46" sqref="E46"/>
    </sheetView>
  </sheetViews>
  <sheetFormatPr defaultRowHeight="15"/>
  <cols>
    <col min="1" max="1" width="44.5703125" style="33" customWidth="1"/>
    <col min="2" max="2" width="19.7109375" style="34" customWidth="1"/>
    <col min="3" max="3" width="15.85546875" style="34" customWidth="1"/>
    <col min="4" max="4" width="44.140625" style="33" bestFit="1" customWidth="1"/>
    <col min="5" max="5" width="20.42578125" style="33" customWidth="1"/>
    <col min="6" max="6" width="12.7109375" style="33" customWidth="1"/>
    <col min="7" max="7" width="17.7109375" style="33" customWidth="1"/>
    <col min="8" max="8" width="20" style="33" customWidth="1"/>
    <col min="9" max="9" width="22.28515625" style="33" customWidth="1"/>
    <col min="10" max="10" width="19.140625" style="33" customWidth="1"/>
    <col min="11" max="11" width="15.85546875" style="33" customWidth="1"/>
    <col min="12" max="12" width="14.28515625" style="33" bestFit="1" customWidth="1"/>
    <col min="13" max="13" width="40.140625" style="33" customWidth="1"/>
    <col min="14" max="14" width="36.7109375" style="33" customWidth="1"/>
    <col min="15" max="15" width="9.140625" style="33"/>
    <col min="16" max="16" width="15.7109375" style="33" bestFit="1" customWidth="1"/>
    <col min="17" max="17" width="16.7109375" style="33" bestFit="1" customWidth="1"/>
    <col min="18" max="16384" width="9.140625" style="33"/>
  </cols>
  <sheetData>
    <row r="1" spans="1:12">
      <c r="A1" s="649" t="s">
        <v>230</v>
      </c>
      <c r="B1" s="649"/>
      <c r="C1" s="649"/>
      <c r="D1" s="649"/>
      <c r="E1" s="649"/>
      <c r="I1" s="232"/>
      <c r="J1" s="232"/>
    </row>
    <row r="2" spans="1:12">
      <c r="A2" s="649"/>
      <c r="B2" s="649"/>
      <c r="C2" s="649"/>
      <c r="D2" s="649"/>
      <c r="E2" s="649"/>
      <c r="H2" s="229" t="s">
        <v>231</v>
      </c>
      <c r="I2" s="300">
        <v>73534.87</v>
      </c>
      <c r="J2" s="301"/>
      <c r="K2" s="35"/>
    </row>
    <row r="3" spans="1:12">
      <c r="A3" s="650"/>
      <c r="B3" s="650"/>
      <c r="C3" s="649"/>
      <c r="D3" s="650"/>
      <c r="E3" s="650"/>
      <c r="G3" s="232"/>
      <c r="H3" s="232"/>
      <c r="I3" s="239"/>
      <c r="J3" s="239"/>
      <c r="K3" s="232"/>
    </row>
    <row r="4" spans="1:12">
      <c r="A4" s="655" t="s">
        <v>161</v>
      </c>
      <c r="B4" s="655"/>
      <c r="C4" s="38"/>
      <c r="D4" s="655" t="s">
        <v>163</v>
      </c>
      <c r="E4" s="655"/>
      <c r="F4" s="229"/>
      <c r="G4" s="363" t="s">
        <v>18</v>
      </c>
      <c r="H4" s="362" t="s">
        <v>19</v>
      </c>
      <c r="I4" s="362" t="s">
        <v>22</v>
      </c>
      <c r="J4" s="410" t="s">
        <v>38</v>
      </c>
      <c r="K4" s="410" t="s">
        <v>232</v>
      </c>
      <c r="L4" s="363" t="s">
        <v>221</v>
      </c>
    </row>
    <row r="5" spans="1:12">
      <c r="A5" s="655"/>
      <c r="B5" s="655"/>
      <c r="C5" s="38"/>
      <c r="D5" s="655"/>
      <c r="E5" s="655"/>
      <c r="F5" s="229"/>
      <c r="G5" s="367">
        <v>46023</v>
      </c>
      <c r="H5" s="365">
        <f>SUMIF('Entradas- fin- import'!E:E,"Janeiro",'Entradas- fin- import'!D:D)</f>
        <v>13593.52</v>
      </c>
      <c r="I5" s="365">
        <f>SUMIF('Saidas-fin-import'!E:E,"Janeiro",'Saidas-fin-import'!D:D)</f>
        <v>74876.929999999978</v>
      </c>
      <c r="J5" s="360">
        <f>H5-I5</f>
        <v>-61283.409999999974</v>
      </c>
      <c r="K5" s="360">
        <f>I2+H5-I5</f>
        <v>12251.460000000021</v>
      </c>
      <c r="L5" s="368">
        <f>IF(I2=0,0,(H5-I2)/I2)</f>
        <v>-0.81514185039016174</v>
      </c>
    </row>
    <row r="6" spans="1:12">
      <c r="A6" s="683" t="s">
        <v>233</v>
      </c>
      <c r="B6" s="685" t="s">
        <v>234</v>
      </c>
      <c r="C6" s="294"/>
      <c r="D6" s="683" t="s">
        <v>235</v>
      </c>
      <c r="E6" s="685" t="s">
        <v>236</v>
      </c>
      <c r="F6" s="229"/>
      <c r="G6" s="367">
        <v>46054</v>
      </c>
      <c r="H6" s="365">
        <f>SUMIF('Entradas- fin- import'!E:E,"Fevereiro",'Entradas- fin- import'!D:D)</f>
        <v>37091.380000000005</v>
      </c>
      <c r="I6" s="365">
        <f>SUMIF('Saidas-fin-import'!E:E,"Fevereiro",'Saidas-fin-import'!D:D)</f>
        <v>44764.380000000005</v>
      </c>
      <c r="J6" s="360">
        <f t="shared" ref="J6:K8" si="0">J5+G6-H6</f>
        <v>-52320.789999999979</v>
      </c>
      <c r="K6" s="360">
        <f t="shared" si="0"/>
        <v>4578.460000000021</v>
      </c>
      <c r="L6" s="368">
        <f t="shared" ref="L6:L16" si="1">IF(H5=0,0,(H6-H5)/H5)</f>
        <v>1.7286074541399139</v>
      </c>
    </row>
    <row r="7" spans="1:12">
      <c r="A7" s="684"/>
      <c r="B7" s="686"/>
      <c r="C7" s="294"/>
      <c r="D7" s="684"/>
      <c r="E7" s="686"/>
      <c r="F7" s="229"/>
      <c r="G7" s="367">
        <v>46082</v>
      </c>
      <c r="H7" s="365">
        <f>SUMIF('Entradas- fin- import'!E:E,"mArço",'Entradas- fin- import'!D:D)</f>
        <v>37723.490000000005</v>
      </c>
      <c r="I7" s="365">
        <f>SUMIF('Saidas-fin-import'!E:E,"Março",'Saidas-fin-import'!D:D)</f>
        <v>35226.35</v>
      </c>
      <c r="J7" s="360">
        <f t="shared" si="0"/>
        <v>-43962.279999999984</v>
      </c>
      <c r="K7" s="360">
        <f t="shared" si="0"/>
        <v>7075.6000000000276</v>
      </c>
      <c r="L7" s="368">
        <f t="shared" si="1"/>
        <v>1.7041965006424686E-2</v>
      </c>
    </row>
    <row r="8" spans="1:12">
      <c r="A8" s="681" t="s">
        <v>7</v>
      </c>
      <c r="B8" s="647" t="s">
        <v>8</v>
      </c>
      <c r="C8" s="38"/>
      <c r="D8" s="643" t="s">
        <v>7</v>
      </c>
      <c r="E8" s="644" t="s">
        <v>8</v>
      </c>
      <c r="F8" s="229"/>
      <c r="G8" s="367">
        <v>46113</v>
      </c>
      <c r="H8" s="365">
        <f>SUMIF('Entradas- fin- import'!E:E,"Abril",'Entradas- fin- import'!D:D)</f>
        <v>105609.12</v>
      </c>
      <c r="I8" s="365">
        <f>SUMIF('Saidas-fin-import'!E:E,"Abril",'Saidas-fin-import'!D:D)</f>
        <v>108035.78</v>
      </c>
      <c r="J8" s="360">
        <f t="shared" si="0"/>
        <v>-103458.39999999998</v>
      </c>
      <c r="K8" s="360">
        <f t="shared" si="0"/>
        <v>4648.9400000000314</v>
      </c>
      <c r="L8" s="368">
        <f t="shared" si="1"/>
        <v>1.7995585774274856</v>
      </c>
    </row>
    <row r="9" spans="1:12">
      <c r="A9" s="682"/>
      <c r="B9" s="648"/>
      <c r="C9" s="38"/>
      <c r="D9" s="643"/>
      <c r="E9" s="644"/>
      <c r="F9" s="229"/>
      <c r="G9" s="367">
        <v>46143</v>
      </c>
      <c r="H9" s="365">
        <f>SUMIF('Entradas- fin- import'!E:E,G9,'Entradas- fin- import'!C:C)</f>
        <v>0</v>
      </c>
      <c r="I9" s="365">
        <f>SUMIF('Saidas-fin-import'!E:E,"Maio",'Saidas-fin-import'!D:D)</f>
        <v>70645.67</v>
      </c>
      <c r="J9" s="503" t="s">
        <v>28</v>
      </c>
      <c r="K9" s="503" t="s">
        <v>28</v>
      </c>
      <c r="L9" s="368">
        <f t="shared" si="1"/>
        <v>-1</v>
      </c>
    </row>
    <row r="10" spans="1:12">
      <c r="B10" s="302"/>
      <c r="F10" s="229"/>
      <c r="G10" s="367">
        <v>46174</v>
      </c>
      <c r="H10" s="365">
        <f>SUMIF('Entradas- fin- import'!E:E,G10,'Entradas- fin- import'!C:C)</f>
        <v>0</v>
      </c>
      <c r="I10" s="365">
        <f>SUMIF('Saidas-fin-import'!E:E,"Junho",'Saidas-fin-import'!D:D)</f>
        <v>0</v>
      </c>
      <c r="J10" s="503" t="s">
        <v>28</v>
      </c>
      <c r="K10" s="503" t="s">
        <v>28</v>
      </c>
      <c r="L10" s="368">
        <f t="shared" si="1"/>
        <v>0</v>
      </c>
    </row>
    <row r="11" spans="1:12">
      <c r="A11" s="645" t="s">
        <v>174</v>
      </c>
      <c r="B11" s="647">
        <f>SUMIFS('Entradas- fin- import'!D:D,'Entradas- fin- import'!A:A,"&gt;="&amp;$B$22,'Entradas- fin- import'!A:A,"&lt;="&amp;$B$23)</f>
        <v>275640.99</v>
      </c>
      <c r="D11" s="232"/>
      <c r="F11" s="229"/>
      <c r="G11" s="367">
        <v>46204</v>
      </c>
      <c r="H11" s="365">
        <f>SUMIF('Entradas- fin- import'!E:E,G11,'Entradas- fin- import'!C:C)</f>
        <v>0</v>
      </c>
      <c r="I11" s="365">
        <f>SUMIF('Saidas-fin-import'!E:E,"Julho",'Saidas-fin-import'!D:D)</f>
        <v>0</v>
      </c>
      <c r="J11" s="503" t="s">
        <v>28</v>
      </c>
      <c r="K11" s="503" t="s">
        <v>28</v>
      </c>
      <c r="L11" s="368">
        <f t="shared" si="1"/>
        <v>0</v>
      </c>
    </row>
    <row r="12" spans="1:12">
      <c r="A12" s="646"/>
      <c r="B12" s="648"/>
      <c r="C12" s="38"/>
      <c r="D12" s="677" t="s">
        <v>174</v>
      </c>
      <c r="E12" s="679">
        <f>SUMIFS('Saídas-NFE-import'!D:D,'Saídas-NFE-import'!A:A,"&gt;="&amp;$E$22,'Saídas-NFE-import'!A:A,"&lt;="&amp;$E$23)</f>
        <v>314772.10000000003</v>
      </c>
      <c r="F12" s="37"/>
      <c r="G12" s="367">
        <v>46235</v>
      </c>
      <c r="H12" s="365">
        <f>SUMIF('Entradas- fin- import'!E:E,G12,'Entradas- fin- import'!C:C)</f>
        <v>0</v>
      </c>
      <c r="I12" s="365">
        <f>SUMIF('Saidas-fin-import'!E:E,"Agosto",'Saidas-fin-import'!D:D)</f>
        <v>0</v>
      </c>
      <c r="J12" s="503" t="s">
        <v>28</v>
      </c>
      <c r="K12" s="503" t="s">
        <v>28</v>
      </c>
      <c r="L12" s="368">
        <f t="shared" si="1"/>
        <v>0</v>
      </c>
    </row>
    <row r="13" spans="1:12">
      <c r="A13" s="673" t="s">
        <v>74</v>
      </c>
      <c r="B13" s="687">
        <f>SUMIFS('Saidas-fin-import'!D:D,'Saidas-fin-import'!A:A,"&gt;="&amp;$B$22,'Saidas-fin-import'!A:A,"&lt;="&amp;$B$23)</f>
        <v>336579.77999999991</v>
      </c>
      <c r="C13" s="38"/>
      <c r="D13" s="678"/>
      <c r="E13" s="680"/>
      <c r="F13" s="37"/>
      <c r="G13" s="367">
        <v>46266</v>
      </c>
      <c r="H13" s="365">
        <f>SUMIF('Entradas- fin- import'!E:E,G13,'Entradas- fin- import'!C:C)</f>
        <v>0</v>
      </c>
      <c r="I13" s="365">
        <f>SUMIF('Saidas-fin-import'!E:E,"Setembro",'Saidas-fin-import'!D:D)</f>
        <v>0</v>
      </c>
      <c r="J13" s="503" t="s">
        <v>28</v>
      </c>
      <c r="K13" s="503" t="s">
        <v>28</v>
      </c>
      <c r="L13" s="368">
        <f t="shared" si="1"/>
        <v>0</v>
      </c>
    </row>
    <row r="14" spans="1:12">
      <c r="A14" s="674"/>
      <c r="B14" s="633"/>
      <c r="D14" s="239"/>
      <c r="E14" s="240"/>
      <c r="F14" s="229"/>
      <c r="G14" s="367">
        <v>46296</v>
      </c>
      <c r="H14" s="365">
        <f>SUMIF('Entradas- fin- import'!E:E,G14,'Entradas- fin- import'!C:C)</f>
        <v>0</v>
      </c>
      <c r="I14" s="365">
        <f>SUMIF('Saidas-fin-import'!E:E,"Outubro",'Saidas-fin-import'!D:D)</f>
        <v>0</v>
      </c>
      <c r="J14" s="503" t="s">
        <v>28</v>
      </c>
      <c r="K14" s="503" t="s">
        <v>28</v>
      </c>
      <c r="L14" s="368">
        <f t="shared" si="1"/>
        <v>0</v>
      </c>
    </row>
    <row r="15" spans="1:12">
      <c r="A15" s="656" t="s">
        <v>38</v>
      </c>
      <c r="B15" s="675">
        <f>B11-B13</f>
        <v>-60938.789999999921</v>
      </c>
      <c r="C15" s="38"/>
      <c r="D15" s="661" t="s">
        <v>74</v>
      </c>
      <c r="E15" s="644">
        <f>SUMIFS('Entradas-NFE-Import'!D:D,'Entradas-NFE-Import'!A:A,"&gt;="&amp;$E$22,'Entradas-NFE-Import'!A:A,"&lt;="&amp;$E$23)</f>
        <v>158557.20000000001</v>
      </c>
      <c r="F15" s="37"/>
      <c r="G15" s="367">
        <v>46327</v>
      </c>
      <c r="H15" s="365">
        <f>SUMIF('Entradas- fin- import'!E:E,G15,'Entradas- fin- import'!C:C)</f>
        <v>0</v>
      </c>
      <c r="I15" s="365">
        <f>SUMIF('Saidas-fin-import'!E:E,"Novembro",'Saidas-fin-import'!D:D)</f>
        <v>0</v>
      </c>
      <c r="J15" s="503" t="s">
        <v>28</v>
      </c>
      <c r="K15" s="503" t="s">
        <v>28</v>
      </c>
      <c r="L15" s="368">
        <f t="shared" si="1"/>
        <v>0</v>
      </c>
    </row>
    <row r="16" spans="1:12">
      <c r="A16" s="657"/>
      <c r="B16" s="676"/>
      <c r="C16" s="38"/>
      <c r="D16" s="661"/>
      <c r="E16" s="644"/>
      <c r="F16" s="37"/>
      <c r="G16" s="367">
        <v>46357</v>
      </c>
      <c r="H16" s="365">
        <f>SUMIF('Entradas- fin- import'!E:E,G16,'Entradas- fin- import'!C:C)</f>
        <v>0</v>
      </c>
      <c r="I16" s="365">
        <f>SUMIF('Saidas-fin-import'!E:E,"Dezembro",'Saidas-fin-import'!D:D)</f>
        <v>0</v>
      </c>
      <c r="J16" s="503" t="s">
        <v>28</v>
      </c>
      <c r="K16" s="503" t="s">
        <v>28</v>
      </c>
      <c r="L16" s="368">
        <f t="shared" si="1"/>
        <v>0</v>
      </c>
    </row>
    <row r="17" spans="1:13">
      <c r="C17" s="39"/>
      <c r="F17" s="229"/>
      <c r="G17" s="364" t="s">
        <v>38</v>
      </c>
      <c r="H17" s="358">
        <f>SUM(H5:H16)</f>
        <v>194017.51</v>
      </c>
      <c r="I17" s="358">
        <f>SUM(I5:I16)</f>
        <v>333549.10999999993</v>
      </c>
      <c r="J17" s="358">
        <f>SUM(J5:J16)</f>
        <v>-261024.87999999989</v>
      </c>
      <c r="K17" s="358">
        <f>SUM(K5:K16)</f>
        <v>28554.460000000101</v>
      </c>
      <c r="L17" s="364"/>
    </row>
    <row r="18" spans="1:13" ht="15.75" thickBot="1">
      <c r="A18" s="303" t="s">
        <v>231</v>
      </c>
      <c r="B18" s="304">
        <v>73534.87</v>
      </c>
      <c r="C18" s="38"/>
      <c r="D18" s="669" t="s">
        <v>38</v>
      </c>
      <c r="E18" s="670">
        <f>E12-E15</f>
        <v>156214.90000000002</v>
      </c>
      <c r="F18" s="35"/>
      <c r="G18" s="233"/>
      <c r="H18" s="233"/>
      <c r="I18" s="233"/>
      <c r="J18" s="233"/>
      <c r="K18" s="233"/>
    </row>
    <row r="19" spans="1:13">
      <c r="A19" s="667" t="s">
        <v>226</v>
      </c>
      <c r="B19" s="671">
        <f>B11+B18-B13</f>
        <v>12596.080000000075</v>
      </c>
      <c r="C19" s="38"/>
      <c r="D19" s="669"/>
      <c r="E19" s="670"/>
      <c r="F19" s="35"/>
    </row>
    <row r="20" spans="1:13">
      <c r="A20" s="668"/>
      <c r="B20" s="672"/>
      <c r="D20" s="233"/>
      <c r="E20" s="233"/>
      <c r="G20" s="660" t="s">
        <v>227</v>
      </c>
      <c r="H20" s="660"/>
    </row>
    <row r="21" spans="1:13">
      <c r="D21" s="232"/>
      <c r="E21" s="232"/>
      <c r="G21" s="367">
        <v>46143</v>
      </c>
      <c r="H21" s="361">
        <f>_xlfn.FORECAST.LINEAR(G21,G5:G8,H5:H8)</f>
        <v>46065.92673816043</v>
      </c>
      <c r="I21" s="35"/>
    </row>
    <row r="22" spans="1:13">
      <c r="A22" s="237" t="s">
        <v>162</v>
      </c>
      <c r="B22" s="238">
        <f>IF(B8="Janeiro",DATE(2026,1,1),
IF(B8="Fevereiro",DATE(2026,2,1),
IF(B8="Março",DATE(2026,3,1),
IF(B8="Abril",DATE(2026,4,1),
IF(B8="Maio",DATE(2026,5,1),
IF(B8="Junho",DATE(2026,6,1),
IF(B8="Julho",DATE(2026,7,1),
IF(B8="Agosto",DATE(2026,8,1),
IF(B8="Setembro",DATE(2026,9,1),
IF(B8="Outubro",DATE(2026,10,1),
IF(B8="Novembro",DATE(2026,11,1),
IF(B8="Dezembro",DATE(2026,12,1),
IF(B8="Anual",DATE(2026,1,1))))))))))))))</f>
        <v>46023</v>
      </c>
      <c r="C22" s="38"/>
      <c r="D22" s="237" t="s">
        <v>162</v>
      </c>
      <c r="E22" s="238">
        <f>IF(E8="ANUAL",DATE(2026,1,1),DATE(2026,MATCH(E8,{"JANEIRO";"FEVEREIRO";"MARÇO";"ABRIL";"MAIO";"JUNHO";"JULHO";"AGOSTO";"SETEMBRO";"OUTUBRO";"NOVEMBRO";"DEZEMBRO"},0),1))</f>
        <v>46023</v>
      </c>
      <c r="F22" s="35"/>
      <c r="G22" s="367">
        <v>46174</v>
      </c>
      <c r="H22" s="361">
        <f>_xlfn.FORECAST.LINEAR(G22,G5:G8,H5:H8)</f>
        <v>46065.953955798032</v>
      </c>
      <c r="I22" s="35" t="s">
        <v>71</v>
      </c>
    </row>
    <row r="23" spans="1:13">
      <c r="A23" s="237" t="s">
        <v>165</v>
      </c>
      <c r="B23" s="238">
        <f>IF(B8="ANUAL",DATE(2026,12,31),EOMONTH(DATE(2026,MATCH(B8,{"JANEIRO";"FEVEREIRO";"MARÇO";"ABRIL";"MAIO";"JUNHO";"JULHO";"AGOSTO";"SETEMBRO";"OUTUBRO";"NOVEMBRO";"DEZEMBRO"},0),1),0))</f>
        <v>46387</v>
      </c>
      <c r="C23" s="38"/>
      <c r="D23" s="237" t="s">
        <v>165</v>
      </c>
      <c r="E23" s="238">
        <f>IF(E8="ANUAL",DATE(2026,12,31),EOMONTH(DATE(2026,MATCH(E8,{"JANEIRO";"FEVEREIRO";"MARÇO";"ABRIL";"MAIO";"JUNHO";"JULHO";"AGOSTO";"SETEMBRO";"OUTUBRO";"NOVEMBRO";"DEZEMBRO"},0),1),0))</f>
        <v>46387</v>
      </c>
      <c r="F23" s="35"/>
      <c r="G23" s="367">
        <v>46204</v>
      </c>
      <c r="H23" s="361">
        <f>_xlfn.FORECAST.LINEAR(G23,G5:G8,H5:H8)</f>
        <v>46065.98029544732</v>
      </c>
      <c r="I23" s="35"/>
    </row>
    <row r="24" spans="1:13">
      <c r="A24" s="232"/>
      <c r="B24" s="232"/>
      <c r="C24" s="33"/>
      <c r="D24" s="232"/>
      <c r="E24" s="232"/>
      <c r="G24" s="367">
        <v>46235</v>
      </c>
      <c r="H24" s="361">
        <f>_xlfn.FORECAST.LINEAR(G24,G5:G8,H5:H8)</f>
        <v>46066.007513084915</v>
      </c>
      <c r="I24" s="35"/>
    </row>
    <row r="25" spans="1:13">
      <c r="A25" s="475" t="s">
        <v>166</v>
      </c>
      <c r="B25" s="476">
        <f>SUMIFS('Entradas- fin- import'!D:D,'Entradas- fin- import'!A:A,"&gt;="&amp;B22,'Entradas- fin- import'!A:A,"&lt;="&amp;B23)</f>
        <v>275640.99</v>
      </c>
      <c r="C25" s="470"/>
      <c r="D25" s="475" t="s">
        <v>166</v>
      </c>
      <c r="E25" s="476">
        <f>SUMIFS('Saídas-NFE-import'!D:D,'Saídas-NFE-import'!A:A,"&gt;="&amp;E22,'Saídas-NFE-import'!A:A,"&lt;="&amp;E23)</f>
        <v>314772.10000000003</v>
      </c>
      <c r="F25" s="35"/>
      <c r="I25" s="35"/>
    </row>
    <row r="26" spans="1:13">
      <c r="A26" s="475" t="s">
        <v>167</v>
      </c>
      <c r="B26" s="476">
        <f>SUMIFS('Saidas-fin-import'!D:D,'Saidas-fin-import'!C:C,"IMPOSTOS",'Saidas-fin-import'!A:A,"&gt;="&amp;B22,'Saidas-fin-import'!A:A,"&lt;="&amp;B23)</f>
        <v>17864.269999999997</v>
      </c>
      <c r="C26" s="470"/>
      <c r="D26" s="475" t="s">
        <v>168</v>
      </c>
      <c r="E26" s="476">
        <f>SUMIFS('Saídas-NFE-import'!D:D,'Saídas-NFE-import'!E:E,"SNF",'Saídas-NFE-import'!A:A,"&gt;="&amp;E22,'Saídas-NFE-import'!A:A,"&lt;="&amp;E23)</f>
        <v>0</v>
      </c>
      <c r="F26" s="35"/>
      <c r="I26" s="35"/>
    </row>
    <row r="27" spans="1:13">
      <c r="A27" s="475" t="s">
        <v>169</v>
      </c>
      <c r="B27" s="476">
        <f>B25-B26</f>
        <v>257776.72</v>
      </c>
      <c r="C27" s="470"/>
      <c r="D27" s="481" t="s">
        <v>170</v>
      </c>
      <c r="E27" s="482">
        <f>E25+E26</f>
        <v>314772.10000000003</v>
      </c>
      <c r="F27" s="35"/>
    </row>
    <row r="28" spans="1:13">
      <c r="A28" s="239"/>
      <c r="B28" s="239"/>
      <c r="C28" s="33"/>
      <c r="D28" s="475" t="s">
        <v>167</v>
      </c>
      <c r="E28" s="476">
        <f>SUMIFS('Saidas-fin-import'!D:D,'Saidas-fin-import'!C:C,"IMPOSTOS",'Saidas-fin-import'!A:A,"&gt;="&amp;E22,'Saidas-fin-import'!A:A,"&lt;="&amp;E23)</f>
        <v>17864.269999999997</v>
      </c>
      <c r="F28" s="35"/>
      <c r="M28" s="498" t="s">
        <v>175</v>
      </c>
    </row>
    <row r="29" spans="1:13">
      <c r="A29" s="475" t="s">
        <v>171</v>
      </c>
      <c r="B29" s="476">
        <f>SUMIFS('Saidas-fin-import'!D:D,'Saidas-fin-import'!C:C,"FORNECEDORES",'Saidas-fin-import'!A:A,"&gt;="&amp;B22,'Saidas-fin-import'!A:A,"&lt;="&amp;B23)</f>
        <v>31000.299999999996</v>
      </c>
      <c r="C29" s="470"/>
      <c r="D29" s="475" t="s">
        <v>169</v>
      </c>
      <c r="E29" s="476">
        <f>E27-E28</f>
        <v>296907.83</v>
      </c>
      <c r="F29" s="35"/>
      <c r="G29" s="555" t="s">
        <v>54</v>
      </c>
      <c r="H29" s="556"/>
      <c r="I29" s="556"/>
      <c r="J29" s="557"/>
      <c r="M29" s="478" t="s">
        <v>177</v>
      </c>
    </row>
    <row r="30" spans="1:13">
      <c r="A30" s="475" t="s">
        <v>172</v>
      </c>
      <c r="B30" s="476">
        <f>B27-B29</f>
        <v>226776.42</v>
      </c>
      <c r="C30" s="35"/>
      <c r="D30" s="439"/>
      <c r="E30" s="439"/>
      <c r="F30" s="35"/>
      <c r="G30" s="558"/>
      <c r="H30" s="559"/>
      <c r="I30" s="559"/>
      <c r="J30" s="560"/>
      <c r="M30" s="489" t="s">
        <v>178</v>
      </c>
    </row>
    <row r="31" spans="1:13">
      <c r="A31" s="239"/>
      <c r="B31" s="239"/>
      <c r="C31" s="33"/>
      <c r="D31" s="475" t="s">
        <v>171</v>
      </c>
      <c r="E31" s="476">
        <f>SUMIFS('Entradas-NFE-Import'!D:D,'Entradas-NFE-Import'!A:A,"&gt;="&amp;E22,'Entradas-NFE-Import'!A:A,"&lt;="&amp;E23)</f>
        <v>158557.20000000001</v>
      </c>
      <c r="F31" s="35"/>
      <c r="G31" s="550" t="s">
        <v>57</v>
      </c>
      <c r="H31" s="551"/>
      <c r="I31" s="552" t="s">
        <v>58</v>
      </c>
      <c r="J31" s="553"/>
      <c r="M31" s="498" t="s">
        <v>179</v>
      </c>
    </row>
    <row r="32" spans="1:13">
      <c r="A32" s="475" t="s">
        <v>173</v>
      </c>
      <c r="B32" s="476"/>
      <c r="C32" s="470"/>
      <c r="D32" s="475" t="s">
        <v>172</v>
      </c>
      <c r="E32" s="476">
        <f>E29-E31</f>
        <v>138350.63</v>
      </c>
      <c r="F32" s="35"/>
      <c r="G32" s="517" t="s">
        <v>60</v>
      </c>
      <c r="H32" s="461">
        <v>116965.8</v>
      </c>
      <c r="I32" s="517" t="s">
        <v>60</v>
      </c>
      <c r="J32" s="461">
        <v>139755.03</v>
      </c>
      <c r="M32" s="489" t="s">
        <v>181</v>
      </c>
    </row>
    <row r="33" spans="1:13">
      <c r="A33" s="477" t="s">
        <v>175</v>
      </c>
      <c r="B33" s="476">
        <f>SUMIFS('Saidas-fin-import'!D:D,'Saidas-fin-import'!C:C,"BANCO",'Saidas-fin-import'!A:A,"&gt;="&amp;B22,'Saidas-fin-import'!A:A,"&lt;="&amp;B23)</f>
        <v>236.02000000000007</v>
      </c>
      <c r="C33" s="470"/>
      <c r="D33" s="239"/>
      <c r="E33" s="239"/>
      <c r="G33" s="450" t="s">
        <v>61</v>
      </c>
      <c r="H33" s="456">
        <v>48</v>
      </c>
      <c r="I33" s="450" t="s">
        <v>61</v>
      </c>
      <c r="J33" s="456">
        <v>48</v>
      </c>
      <c r="M33" s="489" t="s">
        <v>182</v>
      </c>
    </row>
    <row r="34" spans="1:13" ht="30">
      <c r="A34" s="478" t="s">
        <v>177</v>
      </c>
      <c r="B34" s="476">
        <f>SUMIFS('Saidas-fin-import'!D:D,'Saidas-fin-import'!C:C,"BRINDES",'Saidas-fin-import'!A:A,"&gt;="&amp;B22,'Saidas-fin-import'!A:A,"&lt;="&amp;B23)</f>
        <v>1327</v>
      </c>
      <c r="C34" s="470"/>
      <c r="D34" s="475" t="s">
        <v>173</v>
      </c>
      <c r="E34" s="476"/>
      <c r="F34" s="35"/>
      <c r="G34" s="450" t="s">
        <v>62</v>
      </c>
      <c r="H34" s="456">
        <f>COUNTIF('Saidas-fin-import'!C:C,"EMPRÉSTIMO PRONAMP")+14</f>
        <v>17</v>
      </c>
      <c r="I34" s="450" t="s">
        <v>62</v>
      </c>
      <c r="J34" s="456">
        <f>COUNTIF('Saidas-fin-import'!C:C,"EMPRÉSTIMOS FGI")+2</f>
        <v>5</v>
      </c>
      <c r="M34" s="499" t="s">
        <v>184</v>
      </c>
    </row>
    <row r="35" spans="1:13" ht="30">
      <c r="A35" s="479" t="s">
        <v>178</v>
      </c>
      <c r="B35" s="476">
        <f>SUMIFS('Saidas-fin-import'!D:D,'Saidas-fin-import'!C:C,"CARTÃO DE CRÉDITO",'Saidas-fin-import'!A:A,"&gt;="&amp;B22,'Saidas-fin-import'!A:A,"&lt;="&amp;B23)</f>
        <v>46601.599999999999</v>
      </c>
      <c r="C35" s="470"/>
      <c r="D35" s="475" t="s">
        <v>228</v>
      </c>
      <c r="E35" s="476">
        <f>SUMIFS('Entradas-NFE-Import'!D:D,'Entradas-NFE-Import'!E:E,"DEVOLUÇÕES",'Entradas-NFE-Import'!A:A,"&gt;="&amp;E22,'Entradas-NFE-Import'!A:A,"&lt;="&amp;E23)</f>
        <v>0</v>
      </c>
      <c r="F35" s="35"/>
      <c r="G35" s="450" t="s">
        <v>63</v>
      </c>
      <c r="H35" s="451">
        <f>(H32/H33)*(1+1.62%+10.75%)</f>
        <v>2738.2181137499997</v>
      </c>
      <c r="I35" s="450" t="s">
        <v>63</v>
      </c>
      <c r="J35" s="451">
        <f>(J32/J33)*(1+1.62%)</f>
        <v>2958.7304476250001</v>
      </c>
      <c r="M35" s="500" t="s">
        <v>186</v>
      </c>
    </row>
    <row r="36" spans="1:13">
      <c r="A36" s="478" t="s">
        <v>179</v>
      </c>
      <c r="B36" s="476">
        <f>SUMIFS('Saidas-fin-import'!D:D,'Saidas-fin-import'!C:C,"CONSUMO",'Saidas-fin-import'!A:A,"&gt;="&amp;B22,'Saidas-fin-import'!A:A,"&lt;="&amp;B23)</f>
        <v>322.71000000000004</v>
      </c>
      <c r="C36" s="470"/>
      <c r="D36" s="477" t="s">
        <v>175</v>
      </c>
      <c r="E36" s="476">
        <f>SUMIFS('Saidas-fin-import'!D:D,'Saidas-fin-import'!C:C,"BANCO",'Saidas-fin-import'!A:A,"&gt;="&amp;E22,'Saidas-fin-import'!A:A,"&lt;="&amp;E23)</f>
        <v>236.02000000000007</v>
      </c>
      <c r="F36" s="35"/>
      <c r="G36" s="450" t="s">
        <v>64</v>
      </c>
      <c r="H36" s="456">
        <f>H33-H34</f>
        <v>31</v>
      </c>
      <c r="I36" s="450" t="s">
        <v>64</v>
      </c>
      <c r="J36" s="456">
        <f>J33-J34</f>
        <v>43</v>
      </c>
      <c r="M36" s="477" t="s">
        <v>187</v>
      </c>
    </row>
    <row r="37" spans="1:13">
      <c r="A37" s="477" t="s">
        <v>187</v>
      </c>
      <c r="B37" s="476">
        <f>SUMIFS('Saidas-fin-import'!D:D,'Saidas-fin-import'!C:C,"EMPRÉSTIMO PRONAMP",'Saidas-fin-import'!A:A,"&gt;="&amp;B22,'Saidas-fin-import'!A:A,"&lt;="&amp;B23)</f>
        <v>10862.02</v>
      </c>
      <c r="C37" s="470"/>
      <c r="D37" s="478" t="s">
        <v>177</v>
      </c>
      <c r="E37" s="476">
        <f>SUMIFS('Saidas-fin-import'!D:D,'Saidas-fin-import'!C:C,"BRINDES",'Saidas-fin-import'!A:A,"&gt;="&amp;E22,'Saidas-fin-import'!A:A,"&lt;="&amp;E23)</f>
        <v>1327</v>
      </c>
      <c r="F37" s="35"/>
      <c r="G37" s="518" t="s">
        <v>66</v>
      </c>
      <c r="H37" s="464">
        <f>SUMIF('Saidas-fin-import'!C:C,"EMPRÉSTIMO PRONAMP",'Saidas-fin-import'!D:D)</f>
        <v>10862.02</v>
      </c>
      <c r="I37" s="518" t="s">
        <v>66</v>
      </c>
      <c r="J37" s="464">
        <f>SUMIF('Saidas-fin-import'!C:C,"EMPRÉSTIMOS FGI",'Saidas-fin-import'!D:D)+5275.86</f>
        <v>14801.490000000002</v>
      </c>
      <c r="M37" s="498" t="s">
        <v>188</v>
      </c>
    </row>
    <row r="38" spans="1:13" ht="15.75" customHeight="1">
      <c r="A38" s="478" t="s">
        <v>188</v>
      </c>
      <c r="B38" s="476">
        <f>SUMIFS('Saidas-fin-import'!D:D,'Saidas-fin-import'!C:C,"FUNCIONÁRIOS",'Saidas-fin-import'!A:A,"&gt;="&amp;B22,'Saidas-fin-import'!A:A,"&lt;="&amp;B23)</f>
        <v>26302.76</v>
      </c>
      <c r="C38" s="470"/>
      <c r="D38" s="479" t="s">
        <v>178</v>
      </c>
      <c r="E38" s="476">
        <f>SUMIFS('Saidas-fin-import'!D:D,'Saidas-fin-import'!C:C,"CARTÃO DE CRÉDITO",'Saidas-fin-import'!A:A,"&gt;="&amp;E22,'Saidas-fin-import'!A:A,"&lt;="&amp;E23)</f>
        <v>46601.599999999999</v>
      </c>
      <c r="F38" s="35"/>
      <c r="G38" s="519" t="s">
        <v>65</v>
      </c>
      <c r="H38" s="466">
        <f>H32-H37</f>
        <v>106103.78</v>
      </c>
      <c r="I38" s="519" t="s">
        <v>65</v>
      </c>
      <c r="J38" s="466">
        <f>J32-J37</f>
        <v>124953.54</v>
      </c>
      <c r="M38" s="498" t="s">
        <v>190</v>
      </c>
    </row>
    <row r="39" spans="1:13" ht="14.25" customHeight="1">
      <c r="A39" s="478" t="s">
        <v>192</v>
      </c>
      <c r="B39" s="476">
        <f>SUMIFS('Saidas-fin-import'!D:D,'Saidas-fin-import'!C:C,"GASTOS FIXOS",'Saidas-fin-import'!A:A,"&gt;="&amp;B22,'Saidas-fin-import'!A:A,"&lt;="&amp;B23)</f>
        <v>10303.67</v>
      </c>
      <c r="C39" s="470"/>
      <c r="D39" s="478" t="s">
        <v>179</v>
      </c>
      <c r="E39" s="476">
        <f>SUMIFS('Saidas-fin-import'!D:D,'Saidas-fin-import'!C:C,"CONSUMO",'Saidas-fin-import'!A:A,"&gt;="&amp;E22,'Saidas-fin-import'!A:A,"&lt;="&amp;E23)</f>
        <v>322.71000000000004</v>
      </c>
      <c r="F39" s="35"/>
      <c r="G39" s="520" t="s">
        <v>68</v>
      </c>
      <c r="H39" s="469">
        <f>(H37+H38)*1.172</f>
        <v>137083.91759999999</v>
      </c>
      <c r="I39" s="520" t="s">
        <v>68</v>
      </c>
      <c r="J39" s="469">
        <f>(J37+J38)*1.62</f>
        <v>226403.14860000001</v>
      </c>
      <c r="M39" s="498" t="s">
        <v>192</v>
      </c>
    </row>
    <row r="40" spans="1:13">
      <c r="A40" s="478" t="s">
        <v>194</v>
      </c>
      <c r="B40" s="476">
        <f>SUMIFS('Saidas-fin-import'!D:D,'Saidas-fin-import'!C:C,"IMPORTAÇÕES",'Saidas-fin-import'!A:A,"&gt;="&amp;B22,'Saidas-fin-import'!A:A,"&lt;="&amp;B23)</f>
        <v>30459.73</v>
      </c>
      <c r="C40" s="470"/>
      <c r="D40" s="477" t="s">
        <v>187</v>
      </c>
      <c r="E40" s="476">
        <f>SUMIFS('Saidas-fin-import'!D:D,'Saidas-fin-import'!C:C,"EMPRÉSTIMO PRONAMP",'Saidas-fin-import'!A:A,"&gt;="&amp;E22,'Saidas-fin-import'!A:A,"&lt;="&amp;E23)</f>
        <v>10862.02</v>
      </c>
      <c r="F40" s="35"/>
      <c r="G40" s="517" t="s">
        <v>70</v>
      </c>
      <c r="H40" s="459">
        <f>H32+H39</f>
        <v>254049.71759999997</v>
      </c>
      <c r="I40" s="517" t="s">
        <v>71</v>
      </c>
      <c r="J40" s="459">
        <f>J32+J39</f>
        <v>366158.17859999998</v>
      </c>
      <c r="M40" s="489" t="s">
        <v>194</v>
      </c>
    </row>
    <row r="41" spans="1:13">
      <c r="A41" s="478" t="s">
        <v>196</v>
      </c>
      <c r="B41" s="476">
        <f>SUMIFS('Saidas-fin-import'!D:D,'Saidas-fin-import'!C:C,"INVESTIMENTO",'Saidas-fin-import'!A:A,"&gt;="&amp;B22,'Saidas-fin-import'!A:A,"&lt;="&amp;B23)</f>
        <v>4138.46</v>
      </c>
      <c r="C41" s="470"/>
      <c r="D41" s="478" t="s">
        <v>188</v>
      </c>
      <c r="E41" s="476">
        <f>SUMIFS('Saidas-fin-import'!D:D,'Saidas-fin-import'!C:C,"FUNCIONÁRIOS",'Saidas-fin-import'!A:A,"&gt;="&amp;E22,'Saidas-fin-import'!A:A,"&lt;="&amp;E23)</f>
        <v>26302.76</v>
      </c>
      <c r="F41" s="35"/>
      <c r="G41" s="458" t="s">
        <v>72</v>
      </c>
      <c r="H41" s="457">
        <v>45994</v>
      </c>
      <c r="I41" s="458" t="s">
        <v>72</v>
      </c>
      <c r="J41" s="457">
        <v>46024</v>
      </c>
      <c r="M41" s="498" t="s">
        <v>196</v>
      </c>
    </row>
    <row r="42" spans="1:13">
      <c r="A42" s="477" t="s">
        <v>197</v>
      </c>
      <c r="B42" s="476">
        <f>SUMIFS('Saidas-fin-import'!D:D,'Saidas-fin-import'!C:C,"MANUTENÇÃO",'Saidas-fin-import'!A:A,"&gt;="&amp;B22,'Saidas-fin-import'!A:A,"&lt;="&amp;B23)</f>
        <v>2150</v>
      </c>
      <c r="C42" s="470"/>
      <c r="D42" s="478" t="s">
        <v>192</v>
      </c>
      <c r="E42" s="476">
        <f>SUMIFS('Saidas-fin-import'!D:D,'Saidas-fin-import'!C:C,"GASTOS FIXOS",'Saidas-fin-import'!A:A,"&gt;="&amp;E22,'Saidas-fin-import'!A:A,"&lt;="&amp;E23)</f>
        <v>10303.67</v>
      </c>
      <c r="F42" s="35"/>
      <c r="G42" s="450" t="s">
        <v>73</v>
      </c>
      <c r="H42" s="452">
        <v>47133</v>
      </c>
      <c r="I42" s="450" t="s">
        <v>73</v>
      </c>
      <c r="J42" s="452">
        <v>47455</v>
      </c>
      <c r="M42" s="498" t="s">
        <v>197</v>
      </c>
    </row>
    <row r="43" spans="1:13">
      <c r="A43" s="478" t="s">
        <v>203</v>
      </c>
      <c r="B43" s="476">
        <f>SUMIFS('Saidas-fin-import'!D:D,'Saidas-fin-import'!C:C,"MOVIMENTO",'Saidas-fin-import'!A:A,"&gt;="&amp;B22,'Saidas-fin-import'!A:A,"&lt;="&amp;B23)</f>
        <v>35855</v>
      </c>
      <c r="C43" s="470"/>
      <c r="D43" s="478" t="s">
        <v>194</v>
      </c>
      <c r="E43" s="476">
        <f>SUMIFS('Saidas-fin-import'!D:D,'Saidas-fin-import'!C:C,"IMPORTAÇÕES",'Saidas-fin-import'!A:A,"&gt;="&amp;E22,'Saidas-fin-import'!A:A,"&lt;="&amp;E23)</f>
        <v>30459.73</v>
      </c>
      <c r="F43" s="35"/>
      <c r="M43" s="498" t="s">
        <v>199</v>
      </c>
    </row>
    <row r="44" spans="1:13">
      <c r="A44" s="478" t="s">
        <v>201</v>
      </c>
      <c r="B44" s="476">
        <f>SUMIFS('Saidas-fin-import'!D:D,'Saidas-fin-import'!C:C,"MATERIAL DE ESCRITÓRIO",'Saidas-fin-import'!A:A,"&gt;="&amp;B22,'Saidas-fin-import'!A:A,"&lt;="&amp;B23)</f>
        <v>1242</v>
      </c>
      <c r="C44" s="470"/>
      <c r="D44" s="478" t="s">
        <v>196</v>
      </c>
      <c r="E44" s="476">
        <f>SUMIFS('Saidas-fin-import'!D:D,'Saidas-fin-import'!C:C,"INVESTIMENTO",'Saidas-fin-import'!A:A,"&gt;="&amp;E22,'Saidas-fin-import'!A:A,"&lt;="&amp;E23)</f>
        <v>4138.46</v>
      </c>
      <c r="F44" s="35"/>
      <c r="M44" s="478" t="s">
        <v>201</v>
      </c>
    </row>
    <row r="45" spans="1:13">
      <c r="A45" s="477" t="s">
        <v>206</v>
      </c>
      <c r="B45" s="476">
        <f>SUMIFS('Saidas-fin-import'!D:D,'Saidas-fin-import'!C:C,"SEGURO DE EMPRÉSTIMO",'Saidas-fin-import'!A:A,"&gt;="&amp;B22,'Saidas-fin-import'!A:A,"&lt;="&amp;B23)</f>
        <v>548.95000000000005</v>
      </c>
      <c r="C45" s="470"/>
      <c r="D45" s="477" t="s">
        <v>197</v>
      </c>
      <c r="E45" s="476">
        <f>SUMIFS('Saidas-fin-import'!D:D,'Saidas-fin-import'!C:C,"MANUTENÇÃO",'Saidas-fin-import'!A:A,"&gt;="&amp;E22,'Saidas-fin-import'!A:A,"&lt;="&amp;E23)</f>
        <v>2150</v>
      </c>
      <c r="F45" s="35"/>
      <c r="M45" s="498" t="s">
        <v>203</v>
      </c>
    </row>
    <row r="46" spans="1:13">
      <c r="A46" s="478" t="s">
        <v>209</v>
      </c>
      <c r="B46" s="476">
        <f>SUMIFS('Saidas-fin-import'!D:D,'Saidas-fin-import'!C:C,"SÓCIOS",'Saidas-fin-import'!A:A,"&gt;="&amp;B22,'Saidas-fin-import'!A:A,"&lt;="&amp;B23)</f>
        <v>53502.240000000005</v>
      </c>
      <c r="C46" s="470"/>
      <c r="D46" s="478" t="s">
        <v>203</v>
      </c>
      <c r="E46" s="476">
        <f>SUMIFS('Saidas-fin-import'!D:D,'Saidas-fin-import'!C:C,"MOVIMENTO",'Saidas-fin-import'!A:A,"&gt;="&amp;E22,'Saidas-fin-import'!A:A,"&lt;="&amp;E23)</f>
        <v>35855</v>
      </c>
      <c r="F46" s="35"/>
      <c r="M46" s="498" t="s">
        <v>205</v>
      </c>
    </row>
    <row r="47" spans="1:13">
      <c r="A47" s="477" t="s">
        <v>210</v>
      </c>
      <c r="B47" s="476">
        <f>SUMIFS('Saidas-fin-import'!D:D,'Saidas-fin-import'!C:C,"TRANSPORTES",'Saidas-fin-import'!A:A,"&gt;="&amp;B22,'Saidas-fin-import'!A:A,"&lt;="&amp;B23)</f>
        <v>7170</v>
      </c>
      <c r="C47" s="470"/>
      <c r="D47" s="478" t="s">
        <v>201</v>
      </c>
      <c r="E47" s="476">
        <f>SUMIFS('Saidas-fin-import'!D:D,'Saidas-fin-import'!C:C,"MATERIAL DE ESCRITÓRIO",'Saidas-fin-import'!A:A,"&gt;="&amp;E22,'Saidas-fin-import'!A:A,"&lt;="&amp;E23)</f>
        <v>1242</v>
      </c>
      <c r="F47" s="35"/>
      <c r="M47" s="477" t="s">
        <v>206</v>
      </c>
    </row>
    <row r="48" spans="1:13">
      <c r="A48" s="477" t="s">
        <v>211</v>
      </c>
      <c r="B48" s="476">
        <f>SUMIFS('Saidas-fin-import'!D:D,'Saidas-fin-import'!C:C,"TRANSPORTES IMPORTAÇÃO",'Saidas-fin-import'!A:A,"&gt;="&amp;B22,'Saidas-fin-import'!A:A,"&lt;="&amp;B23)</f>
        <v>4945.2599999999993</v>
      </c>
      <c r="C48" s="470"/>
      <c r="D48" s="477" t="s">
        <v>206</v>
      </c>
      <c r="E48" s="476">
        <f>SUMIFS('Saidas-fin-import'!D:D,'Saidas-fin-import'!C:C,"SEGURO DE EMPRÉSTIMO",'Saidas-fin-import'!A:A,"&gt;="&amp;E22,'Saidas-fin-import'!A:A,"&lt;="&amp;E23)</f>
        <v>548.95000000000005</v>
      </c>
      <c r="F48" s="35"/>
      <c r="M48" s="499" t="s">
        <v>207</v>
      </c>
    </row>
    <row r="49" spans="1:13">
      <c r="A49" s="475" t="s">
        <v>212</v>
      </c>
      <c r="B49" s="476">
        <f>SUMIFS('SAIDAS-FIN-ilumi'!D:D,'SAIDAS-FIN-ilumi'!C:C,"OUTRAS DESPESAS",'SAIDAS-FIN-ilumi'!A:A,"&gt;="&amp;B22,'SAIDAS-FIN-ilumi'!A:A,"&lt;="&amp;B23)</f>
        <v>0</v>
      </c>
      <c r="C49" s="470"/>
      <c r="D49" s="478" t="s">
        <v>209</v>
      </c>
      <c r="E49" s="476">
        <f>SUMIFS('Saidas-fin-import'!D:D,'Saidas-fin-import'!C:C,"SÓCIOS",'Saidas-fin-import'!A:A,"&gt;="&amp;E22,'Saidas-fin-import'!A:A,"&lt;="&amp;E23)</f>
        <v>53502.240000000005</v>
      </c>
      <c r="F49" s="35"/>
      <c r="M49" s="499" t="s">
        <v>208</v>
      </c>
    </row>
    <row r="50" spans="1:13">
      <c r="A50" s="475" t="s">
        <v>213</v>
      </c>
      <c r="B50" s="476">
        <f>SUM(B33:B49)</f>
        <v>235967.41999999998</v>
      </c>
      <c r="C50" s="470"/>
      <c r="D50" s="477" t="s">
        <v>210</v>
      </c>
      <c r="E50" s="476">
        <f>SUMIFS('Saidas-fin-import'!D:D,'Saidas-fin-import'!C:C,"TRANSPORTES",'Saidas-fin-import'!A:A,"&gt;="&amp;E22,'Saidas-fin-import'!A:A,"&lt;="&amp;E23)</f>
        <v>7170</v>
      </c>
      <c r="F50" s="35"/>
      <c r="M50" s="498" t="s">
        <v>209</v>
      </c>
    </row>
    <row r="51" spans="1:13">
      <c r="A51" s="239"/>
      <c r="B51" s="240"/>
      <c r="C51" s="472"/>
      <c r="D51" s="477" t="s">
        <v>211</v>
      </c>
      <c r="E51" s="476">
        <f>SUMIFS('Saidas-fin-import'!D:D,'Saidas-fin-import'!C:C,"TRANSPORTES IMPORTAÇÃO",'Saidas-fin-import'!A:A,"&gt;="&amp;E22,'Saidas-fin-import'!A:A,"&lt;="&amp;E23)</f>
        <v>4945.2599999999993</v>
      </c>
      <c r="F51" s="35"/>
      <c r="M51" s="498" t="s">
        <v>210</v>
      </c>
    </row>
    <row r="52" spans="1:13">
      <c r="A52" s="475" t="s">
        <v>214</v>
      </c>
      <c r="B52" s="476">
        <f>B30-B50</f>
        <v>-9190.9999999999709</v>
      </c>
      <c r="C52" s="473"/>
      <c r="D52" s="475" t="s">
        <v>212</v>
      </c>
      <c r="E52" s="476">
        <f>B49</f>
        <v>0</v>
      </c>
      <c r="F52" s="35"/>
      <c r="M52" s="477" t="s">
        <v>211</v>
      </c>
    </row>
    <row r="53" spans="1:13">
      <c r="A53" s="474"/>
      <c r="B53" s="474"/>
      <c r="C53" s="472"/>
      <c r="D53" s="475" t="s">
        <v>213</v>
      </c>
      <c r="E53" s="476">
        <f>SUM(E35:E52)</f>
        <v>235967.41999999998</v>
      </c>
      <c r="F53" s="35"/>
    </row>
    <row r="54" spans="1:13">
      <c r="A54" s="475" t="s">
        <v>215</v>
      </c>
      <c r="B54" s="480">
        <f>IF(B27=0,0,B30/B27)</f>
        <v>0.87973972203541118</v>
      </c>
      <c r="C54" s="473"/>
      <c r="D54" s="239"/>
      <c r="E54" s="239"/>
    </row>
    <row r="55" spans="1:13">
      <c r="A55" s="475" t="s">
        <v>216</v>
      </c>
      <c r="B55" s="480">
        <f>IF(B25=0,0,B52/B25)</f>
        <v>-3.3344097334725042E-2</v>
      </c>
      <c r="C55" s="473"/>
      <c r="D55" s="475" t="s">
        <v>214</v>
      </c>
      <c r="E55" s="476">
        <f>E32-E53</f>
        <v>-97616.789999999979</v>
      </c>
      <c r="F55" s="35"/>
    </row>
    <row r="56" spans="1:13">
      <c r="A56" s="233"/>
      <c r="B56" s="235"/>
      <c r="C56" s="33"/>
      <c r="D56" s="239"/>
      <c r="E56" s="239"/>
    </row>
    <row r="57" spans="1:13">
      <c r="C57" s="472"/>
      <c r="D57" s="475" t="s">
        <v>215</v>
      </c>
      <c r="E57" s="480">
        <f>IF(E29=0,0,E32/E29)</f>
        <v>0.46597164513984018</v>
      </c>
      <c r="F57" s="35"/>
    </row>
    <row r="58" spans="1:13">
      <c r="A58" s="471"/>
      <c r="B58" s="472"/>
      <c r="C58" s="33"/>
      <c r="D58" s="475" t="s">
        <v>216</v>
      </c>
      <c r="E58" s="480">
        <f>IF(E25=0,0,E55/E25)</f>
        <v>-0.31011894002041468</v>
      </c>
      <c r="F58" s="35"/>
    </row>
    <row r="59" spans="1:13">
      <c r="D59" s="233"/>
      <c r="E59" s="233"/>
    </row>
  </sheetData>
  <sortState xmlns:xlrd2="http://schemas.microsoft.com/office/spreadsheetml/2017/richdata2" ref="M28:M52">
    <sortCondition ref="M28:M52"/>
  </sortState>
  <mergeCells count="29">
    <mergeCell ref="E12:E13"/>
    <mergeCell ref="D15:D16"/>
    <mergeCell ref="E15:E16"/>
    <mergeCell ref="A1:E3"/>
    <mergeCell ref="A4:B5"/>
    <mergeCell ref="B8:B9"/>
    <mergeCell ref="A8:A9"/>
    <mergeCell ref="D4:E5"/>
    <mergeCell ref="D8:D9"/>
    <mergeCell ref="E8:E9"/>
    <mergeCell ref="A11:A12"/>
    <mergeCell ref="D6:D7"/>
    <mergeCell ref="E6:E7"/>
    <mergeCell ref="B13:B14"/>
    <mergeCell ref="A6:A7"/>
    <mergeCell ref="B6:B7"/>
    <mergeCell ref="A19:A20"/>
    <mergeCell ref="A13:A14"/>
    <mergeCell ref="A15:A16"/>
    <mergeCell ref="B15:B16"/>
    <mergeCell ref="D12:D13"/>
    <mergeCell ref="D18:D19"/>
    <mergeCell ref="B11:B12"/>
    <mergeCell ref="G31:H31"/>
    <mergeCell ref="I31:J31"/>
    <mergeCell ref="G29:J30"/>
    <mergeCell ref="G20:H20"/>
    <mergeCell ref="B19:B20"/>
    <mergeCell ref="E18:E19"/>
  </mergeCells>
  <conditionalFormatting sqref="B11 B13 B15">
    <cfRule type="cellIs" dxfId="10" priority="14" operator="lessThan">
      <formula>0</formula>
    </cfRule>
    <cfRule type="cellIs" dxfId="9" priority="15" operator="greaterThan">
      <formula>0</formula>
    </cfRule>
  </conditionalFormatting>
  <conditionalFormatting sqref="B19">
    <cfRule type="cellIs" dxfId="8" priority="6" stopIfTrue="1" operator="lessThan">
      <formula>0</formula>
    </cfRule>
    <cfRule type="cellIs" dxfId="7" priority="7" stopIfTrue="1" operator="greaterThan">
      <formula>0</formula>
    </cfRule>
  </conditionalFormatting>
  <conditionalFormatting sqref="B52 E55">
    <cfRule type="cellIs" dxfId="6" priority="4" operator="lessThan">
      <formula>0</formula>
    </cfRule>
    <cfRule type="cellIs" dxfId="5" priority="5" operator="greaterThan">
      <formula>0</formula>
    </cfRule>
  </conditionalFormatting>
  <conditionalFormatting sqref="E12 E14:E16 E18:E19">
    <cfRule type="cellIs" dxfId="4" priority="12" operator="greaterThan">
      <formula>0</formula>
    </cfRule>
    <cfRule type="cellIs" dxfId="3" priority="13" operator="lessThan">
      <formula>0</formula>
    </cfRule>
  </conditionalFormatting>
  <conditionalFormatting sqref="J5:K8 J17:K17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dataValidations count="1">
    <dataValidation type="list" allowBlank="1" showInputMessage="1" showErrorMessage="1" sqref="B8 E8" xr:uid="{A5ECE40F-91E5-43C5-ABCE-1120744591D3}">
      <formula1>"Janeiro, Fevereiro, Março, Abril, Maio,  Junho,  Julho, Agosto, Setembro, Outubro,  Novembro, Dezembro, Anual"</formula1>
    </dataValidation>
  </dataValidations>
  <hyperlinks>
    <hyperlink ref="B6" location="'Saidas-fin-import'!A1" display="Saidas Import fin" xr:uid="{F5DC5AA2-20B9-4DA1-8F72-0DE9CC302507}"/>
    <hyperlink ref="E6" location="'Saídas-NFE-import'!A1" display="Saidas Import NFE" xr:uid="{CC5433B9-4B05-40C3-A370-81D82649E025}"/>
    <hyperlink ref="A6" location="'Entradas- fin- import'!A1" display="Entradas Import FIN" xr:uid="{DED260DC-EC8D-4014-90E3-40DA199F002B}"/>
    <hyperlink ref="D6" location="'Entradas-NFE-Import'!A1" display="Entradas Import NFE" xr:uid="{C3E064C9-FA1A-41F1-817D-1807856D9416}"/>
  </hyperlink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F462-7A77-4E60-9C4A-936254F93367}">
  <dimension ref="A1:F101"/>
  <sheetViews>
    <sheetView topLeftCell="A74" workbookViewId="0">
      <selection activeCell="D74" sqref="D1:D1048576"/>
    </sheetView>
  </sheetViews>
  <sheetFormatPr defaultRowHeight="15"/>
  <cols>
    <col min="1" max="1" width="10.7109375" bestFit="1" customWidth="1"/>
    <col min="2" max="2" width="23.7109375" bestFit="1" customWidth="1"/>
    <col min="3" max="3" width="13.85546875" bestFit="1" customWidth="1"/>
    <col min="4" max="4" width="18.42578125" style="257" customWidth="1"/>
    <col min="6" max="6" width="14.28515625" bestFit="1" customWidth="1"/>
  </cols>
  <sheetData>
    <row r="1" spans="1:6">
      <c r="A1" s="73" t="s">
        <v>237</v>
      </c>
      <c r="B1" s="73" t="s">
        <v>238</v>
      </c>
      <c r="C1" s="93" t="s">
        <v>239</v>
      </c>
      <c r="D1" s="94" t="s">
        <v>240</v>
      </c>
    </row>
    <row r="2" spans="1:6">
      <c r="A2" s="75"/>
      <c r="B2" s="95"/>
      <c r="C2" s="96"/>
      <c r="D2" s="97"/>
    </row>
    <row r="3" spans="1:6">
      <c r="A3" s="98">
        <v>46027</v>
      </c>
      <c r="B3" s="99" t="s">
        <v>241</v>
      </c>
      <c r="C3" s="100">
        <v>777</v>
      </c>
      <c r="D3" s="101">
        <v>272</v>
      </c>
      <c r="E3" t="s">
        <v>242</v>
      </c>
      <c r="F3" s="257">
        <f>SUM(D3:D13)</f>
        <v>15208.68</v>
      </c>
    </row>
    <row r="4" spans="1:6">
      <c r="A4" s="98">
        <v>46027</v>
      </c>
      <c r="B4" s="77" t="s">
        <v>243</v>
      </c>
      <c r="C4" s="102">
        <v>768</v>
      </c>
      <c r="D4" s="103">
        <v>1343.16</v>
      </c>
      <c r="E4" t="s">
        <v>242</v>
      </c>
    </row>
    <row r="5" spans="1:6">
      <c r="A5" s="98">
        <v>46034</v>
      </c>
      <c r="B5" s="77" t="s">
        <v>243</v>
      </c>
      <c r="C5" s="102">
        <v>778</v>
      </c>
      <c r="D5" s="103">
        <v>1762.68</v>
      </c>
      <c r="E5" t="s">
        <v>244</v>
      </c>
    </row>
    <row r="6" spans="1:6">
      <c r="A6" s="98">
        <v>46034</v>
      </c>
      <c r="B6" s="99" t="s">
        <v>245</v>
      </c>
      <c r="C6" s="100">
        <v>779</v>
      </c>
      <c r="D6" s="101">
        <v>480</v>
      </c>
      <c r="E6" t="s">
        <v>244</v>
      </c>
    </row>
    <row r="7" spans="1:6">
      <c r="A7" s="98">
        <v>46038</v>
      </c>
      <c r="B7" s="99" t="s">
        <v>246</v>
      </c>
      <c r="C7" s="100">
        <v>771</v>
      </c>
      <c r="D7" s="101">
        <v>980</v>
      </c>
      <c r="E7" t="s">
        <v>244</v>
      </c>
    </row>
    <row r="8" spans="1:6">
      <c r="A8" s="98">
        <v>46038</v>
      </c>
      <c r="B8" s="99" t="s">
        <v>247</v>
      </c>
      <c r="C8" s="100">
        <v>770</v>
      </c>
      <c r="D8" s="101">
        <v>4105</v>
      </c>
      <c r="E8" t="s">
        <v>244</v>
      </c>
    </row>
    <row r="9" spans="1:6">
      <c r="A9" s="98">
        <v>46038</v>
      </c>
      <c r="B9" s="99" t="s">
        <v>245</v>
      </c>
      <c r="C9" s="100">
        <v>769</v>
      </c>
      <c r="D9" s="101">
        <v>3435.92</v>
      </c>
      <c r="E9" t="s">
        <v>244</v>
      </c>
    </row>
    <row r="10" spans="1:6">
      <c r="A10" s="98">
        <v>46041</v>
      </c>
      <c r="B10" s="99" t="s">
        <v>248</v>
      </c>
      <c r="C10" s="100">
        <v>775</v>
      </c>
      <c r="D10" s="101">
        <v>700.6</v>
      </c>
      <c r="E10" t="s">
        <v>244</v>
      </c>
    </row>
    <row r="11" spans="1:6">
      <c r="A11" s="98">
        <v>46043</v>
      </c>
      <c r="B11" s="99" t="s">
        <v>249</v>
      </c>
      <c r="C11" s="100" t="s">
        <v>250</v>
      </c>
      <c r="D11" s="101">
        <v>1479.32</v>
      </c>
      <c r="E11" t="s">
        <v>244</v>
      </c>
    </row>
    <row r="12" spans="1:6">
      <c r="A12" s="98">
        <v>46045</v>
      </c>
      <c r="B12" s="99" t="s">
        <v>251</v>
      </c>
      <c r="C12" s="100">
        <v>776</v>
      </c>
      <c r="D12" s="101">
        <v>170</v>
      </c>
      <c r="E12" t="s">
        <v>244</v>
      </c>
    </row>
    <row r="13" spans="1:6">
      <c r="A13" s="98">
        <v>46048</v>
      </c>
      <c r="B13" s="99" t="s">
        <v>245</v>
      </c>
      <c r="C13" s="100">
        <v>779</v>
      </c>
      <c r="D13" s="101">
        <v>480</v>
      </c>
      <c r="E13" t="s">
        <v>244</v>
      </c>
    </row>
    <row r="14" spans="1:6">
      <c r="A14" s="214">
        <v>46056</v>
      </c>
      <c r="B14" s="133" t="s">
        <v>248</v>
      </c>
      <c r="C14" s="133">
        <v>773</v>
      </c>
      <c r="D14" s="545">
        <v>980.84</v>
      </c>
      <c r="E14" s="124" t="s">
        <v>252</v>
      </c>
      <c r="F14" s="297">
        <f>SUM(D14:D36)</f>
        <v>37091.380000000005</v>
      </c>
    </row>
    <row r="15" spans="1:6">
      <c r="A15" s="214">
        <v>46058</v>
      </c>
      <c r="B15" s="133" t="s">
        <v>246</v>
      </c>
      <c r="C15" s="133">
        <v>784</v>
      </c>
      <c r="D15" s="545">
        <v>608.34</v>
      </c>
      <c r="E15" s="124" t="s">
        <v>252</v>
      </c>
    </row>
    <row r="16" spans="1:6">
      <c r="A16" s="214">
        <v>46058</v>
      </c>
      <c r="B16" s="133" t="s">
        <v>253</v>
      </c>
      <c r="C16" s="133" t="s">
        <v>254</v>
      </c>
      <c r="D16" s="545">
        <v>482.09</v>
      </c>
      <c r="E16" s="124" t="s">
        <v>252</v>
      </c>
    </row>
    <row r="17" spans="1:5">
      <c r="A17" s="214">
        <v>46059</v>
      </c>
      <c r="B17" s="133" t="s">
        <v>255</v>
      </c>
      <c r="C17" s="133">
        <v>783</v>
      </c>
      <c r="D17" s="545">
        <v>1714</v>
      </c>
      <c r="E17" s="124" t="s">
        <v>252</v>
      </c>
    </row>
    <row r="18" spans="1:5">
      <c r="A18" s="214">
        <v>46062</v>
      </c>
      <c r="B18" s="133" t="s">
        <v>243</v>
      </c>
      <c r="C18" s="133">
        <v>778</v>
      </c>
      <c r="D18" s="545">
        <v>1711.5</v>
      </c>
      <c r="E18" s="124" t="s">
        <v>252</v>
      </c>
    </row>
    <row r="19" spans="1:5">
      <c r="A19" s="214">
        <v>46062</v>
      </c>
      <c r="B19" s="133" t="s">
        <v>256</v>
      </c>
      <c r="C19" s="133">
        <v>782</v>
      </c>
      <c r="D19" s="545">
        <v>2850</v>
      </c>
      <c r="E19" s="124" t="s">
        <v>252</v>
      </c>
    </row>
    <row r="20" spans="1:5">
      <c r="A20" s="214">
        <v>46063</v>
      </c>
      <c r="B20" s="133" t="s">
        <v>257</v>
      </c>
      <c r="C20" s="133">
        <v>786</v>
      </c>
      <c r="D20" s="545">
        <v>452</v>
      </c>
      <c r="E20" s="124" t="s">
        <v>252</v>
      </c>
    </row>
    <row r="21" spans="1:5">
      <c r="A21" s="214">
        <v>46063</v>
      </c>
      <c r="B21" s="133" t="s">
        <v>245</v>
      </c>
      <c r="C21" s="133">
        <v>779</v>
      </c>
      <c r="D21" s="545">
        <v>480</v>
      </c>
      <c r="E21" s="124" t="s">
        <v>252</v>
      </c>
    </row>
    <row r="22" spans="1:5">
      <c r="A22" s="214">
        <v>46064</v>
      </c>
      <c r="B22" s="133" t="s">
        <v>258</v>
      </c>
      <c r="C22" s="133">
        <v>785</v>
      </c>
      <c r="D22" s="545">
        <v>5272.5</v>
      </c>
      <c r="E22" s="124" t="s">
        <v>252</v>
      </c>
    </row>
    <row r="23" spans="1:5">
      <c r="A23" s="214">
        <v>46064</v>
      </c>
      <c r="B23" s="133" t="s">
        <v>259</v>
      </c>
      <c r="C23" s="133">
        <v>787</v>
      </c>
      <c r="D23" s="545">
        <v>732</v>
      </c>
      <c r="E23" s="124" t="s">
        <v>252</v>
      </c>
    </row>
    <row r="24" spans="1:5">
      <c r="A24" s="214">
        <v>46066</v>
      </c>
      <c r="B24" s="184" t="s">
        <v>260</v>
      </c>
      <c r="C24" s="185" t="s">
        <v>261</v>
      </c>
      <c r="D24" s="546">
        <v>3435.92</v>
      </c>
      <c r="E24" s="124" t="s">
        <v>252</v>
      </c>
    </row>
    <row r="25" spans="1:5">
      <c r="A25" s="214">
        <v>46066</v>
      </c>
      <c r="B25" s="182" t="s">
        <v>262</v>
      </c>
      <c r="C25" s="183" t="s">
        <v>263</v>
      </c>
      <c r="D25" s="546">
        <v>1714</v>
      </c>
      <c r="E25" s="124" t="s">
        <v>252</v>
      </c>
    </row>
    <row r="26" spans="1:5">
      <c r="A26" s="214">
        <v>46066</v>
      </c>
      <c r="B26" s="184" t="s">
        <v>264</v>
      </c>
      <c r="C26" s="185" t="s">
        <v>265</v>
      </c>
      <c r="D26" s="546">
        <v>860</v>
      </c>
      <c r="E26" s="124" t="s">
        <v>252</v>
      </c>
    </row>
    <row r="27" spans="1:5">
      <c r="A27" s="214">
        <v>46071</v>
      </c>
      <c r="B27" s="182" t="s">
        <v>266</v>
      </c>
      <c r="C27" s="183" t="s">
        <v>267</v>
      </c>
      <c r="D27" s="546">
        <v>4105</v>
      </c>
      <c r="E27" s="124" t="s">
        <v>252</v>
      </c>
    </row>
    <row r="28" spans="1:5">
      <c r="A28" s="214">
        <v>46071</v>
      </c>
      <c r="B28" s="182" t="s">
        <v>268</v>
      </c>
      <c r="C28" s="183" t="s">
        <v>269</v>
      </c>
      <c r="D28" s="546">
        <v>452</v>
      </c>
      <c r="E28" s="124" t="s">
        <v>252</v>
      </c>
    </row>
    <row r="29" spans="1:5">
      <c r="A29" s="214">
        <v>46071</v>
      </c>
      <c r="B29" s="184" t="s">
        <v>270</v>
      </c>
      <c r="C29" s="185" t="s">
        <v>271</v>
      </c>
      <c r="D29" s="546">
        <v>1160.5</v>
      </c>
      <c r="E29" s="124" t="s">
        <v>252</v>
      </c>
    </row>
    <row r="30" spans="1:5">
      <c r="A30" s="214">
        <v>46071</v>
      </c>
      <c r="B30" s="182" t="s">
        <v>268</v>
      </c>
      <c r="C30" s="183" t="s">
        <v>272</v>
      </c>
      <c r="D30" s="546">
        <v>121.7</v>
      </c>
      <c r="E30" s="124" t="s">
        <v>252</v>
      </c>
    </row>
    <row r="31" spans="1:5">
      <c r="A31" s="214">
        <v>46073</v>
      </c>
      <c r="B31" s="184" t="s">
        <v>273</v>
      </c>
      <c r="C31" s="185" t="s">
        <v>274</v>
      </c>
      <c r="D31" s="546">
        <v>1714</v>
      </c>
      <c r="E31" s="124" t="s">
        <v>252</v>
      </c>
    </row>
    <row r="32" spans="1:5">
      <c r="A32" s="214">
        <v>46073</v>
      </c>
      <c r="B32" s="184" t="s">
        <v>246</v>
      </c>
      <c r="C32" s="185">
        <v>792</v>
      </c>
      <c r="D32" s="546">
        <v>324.66000000000003</v>
      </c>
      <c r="E32" s="124" t="s">
        <v>252</v>
      </c>
    </row>
    <row r="33" spans="1:6">
      <c r="A33" s="214">
        <v>46076</v>
      </c>
      <c r="B33" s="182" t="s">
        <v>275</v>
      </c>
      <c r="C33" s="183" t="s">
        <v>276</v>
      </c>
      <c r="D33" s="546">
        <v>2850</v>
      </c>
      <c r="E33" s="124" t="s">
        <v>252</v>
      </c>
    </row>
    <row r="34" spans="1:6">
      <c r="A34" s="214">
        <v>46077</v>
      </c>
      <c r="B34" s="184" t="s">
        <v>248</v>
      </c>
      <c r="C34" s="133">
        <v>793</v>
      </c>
      <c r="D34" s="546">
        <v>462</v>
      </c>
      <c r="E34" s="124" t="s">
        <v>252</v>
      </c>
    </row>
    <row r="35" spans="1:6">
      <c r="A35" s="214">
        <v>46078</v>
      </c>
      <c r="B35" s="133" t="s">
        <v>246</v>
      </c>
      <c r="C35" s="133">
        <v>803</v>
      </c>
      <c r="D35" s="545">
        <v>608.33000000000004</v>
      </c>
      <c r="E35" s="124" t="s">
        <v>252</v>
      </c>
    </row>
    <row r="36" spans="1:6">
      <c r="A36" s="214">
        <v>46079</v>
      </c>
      <c r="B36" s="133" t="s">
        <v>9</v>
      </c>
      <c r="C36" s="133" t="s">
        <v>277</v>
      </c>
      <c r="D36" s="545">
        <v>4000</v>
      </c>
      <c r="E36" s="124" t="s">
        <v>252</v>
      </c>
    </row>
    <row r="37" spans="1:6">
      <c r="A37" s="214">
        <v>46087</v>
      </c>
      <c r="B37" s="133" t="s">
        <v>246</v>
      </c>
      <c r="C37" s="133">
        <v>795</v>
      </c>
      <c r="D37" s="545">
        <v>5610.67</v>
      </c>
      <c r="E37" s="124" t="s">
        <v>278</v>
      </c>
      <c r="F37" s="297">
        <f>SUM(D37:D55)</f>
        <v>37723.490000000005</v>
      </c>
    </row>
    <row r="38" spans="1:6">
      <c r="A38" s="214">
        <v>46087</v>
      </c>
      <c r="B38" s="133" t="s">
        <v>9</v>
      </c>
      <c r="C38" s="133" t="s">
        <v>203</v>
      </c>
      <c r="D38" s="545">
        <v>7000</v>
      </c>
      <c r="E38" s="124" t="s">
        <v>278</v>
      </c>
    </row>
    <row r="39" spans="1:6">
      <c r="A39" s="214">
        <v>46087</v>
      </c>
      <c r="B39" s="133" t="s">
        <v>247</v>
      </c>
      <c r="C39" s="133">
        <v>796</v>
      </c>
      <c r="D39" s="545">
        <v>2581.66</v>
      </c>
      <c r="E39" s="124" t="s">
        <v>278</v>
      </c>
    </row>
    <row r="40" spans="1:6">
      <c r="A40" s="214">
        <v>46092</v>
      </c>
      <c r="B40" s="219" t="s">
        <v>279</v>
      </c>
      <c r="C40" s="220" t="s">
        <v>280</v>
      </c>
      <c r="D40" s="547">
        <v>1316.45</v>
      </c>
      <c r="E40" s="124" t="s">
        <v>278</v>
      </c>
    </row>
    <row r="41" spans="1:6">
      <c r="A41" s="214">
        <v>46092</v>
      </c>
      <c r="B41" s="219" t="s">
        <v>279</v>
      </c>
      <c r="C41" s="220" t="s">
        <v>281</v>
      </c>
      <c r="D41" s="547">
        <v>1751.38</v>
      </c>
      <c r="E41" s="124" t="s">
        <v>278</v>
      </c>
    </row>
    <row r="42" spans="1:6">
      <c r="A42" s="214">
        <v>46093</v>
      </c>
      <c r="B42" s="219" t="s">
        <v>282</v>
      </c>
      <c r="C42" s="220" t="s">
        <v>283</v>
      </c>
      <c r="D42" s="547">
        <v>4105</v>
      </c>
      <c r="E42" s="124" t="s">
        <v>278</v>
      </c>
    </row>
    <row r="43" spans="1:6">
      <c r="A43" s="214">
        <v>46093</v>
      </c>
      <c r="B43" s="219" t="s">
        <v>284</v>
      </c>
      <c r="C43" s="220" t="s">
        <v>285</v>
      </c>
      <c r="D43" s="547">
        <v>2081.25</v>
      </c>
      <c r="E43" s="124" t="s">
        <v>278</v>
      </c>
    </row>
    <row r="44" spans="1:6">
      <c r="A44" s="214">
        <v>46094</v>
      </c>
      <c r="B44" s="133" t="s">
        <v>246</v>
      </c>
      <c r="C44" s="133">
        <v>784</v>
      </c>
      <c r="D44" s="545">
        <v>608.33000000000004</v>
      </c>
      <c r="E44" s="124" t="s">
        <v>278</v>
      </c>
    </row>
    <row r="45" spans="1:6">
      <c r="A45" s="214">
        <v>46098</v>
      </c>
      <c r="B45" s="133" t="s">
        <v>279</v>
      </c>
      <c r="C45" s="133">
        <v>798</v>
      </c>
      <c r="D45" s="545">
        <v>1286.47</v>
      </c>
      <c r="E45" s="124" t="s">
        <v>278</v>
      </c>
    </row>
    <row r="46" spans="1:6">
      <c r="A46" s="214">
        <v>46099</v>
      </c>
      <c r="B46" s="133" t="s">
        <v>279</v>
      </c>
      <c r="C46" s="133">
        <v>800</v>
      </c>
      <c r="D46" s="545">
        <v>709.5</v>
      </c>
      <c r="E46" s="124" t="s">
        <v>278</v>
      </c>
    </row>
    <row r="47" spans="1:6">
      <c r="A47" s="214">
        <v>46100</v>
      </c>
      <c r="B47" s="184" t="s">
        <v>246</v>
      </c>
      <c r="C47" s="185" t="s">
        <v>286</v>
      </c>
      <c r="D47" s="546">
        <v>899.67</v>
      </c>
      <c r="E47" s="124" t="s">
        <v>278</v>
      </c>
    </row>
    <row r="48" spans="1:6">
      <c r="A48" s="214">
        <v>46104</v>
      </c>
      <c r="B48" s="182" t="s">
        <v>282</v>
      </c>
      <c r="C48" s="183">
        <v>796</v>
      </c>
      <c r="D48" s="546">
        <v>2581.67</v>
      </c>
      <c r="E48" s="124" t="s">
        <v>278</v>
      </c>
    </row>
    <row r="49" spans="1:6">
      <c r="A49" s="214">
        <v>46104</v>
      </c>
      <c r="B49" s="184" t="s">
        <v>279</v>
      </c>
      <c r="C49" s="185">
        <v>801</v>
      </c>
      <c r="D49" s="546">
        <v>543</v>
      </c>
      <c r="E49" s="124" t="s">
        <v>278</v>
      </c>
    </row>
    <row r="50" spans="1:6">
      <c r="A50" s="214">
        <v>46105</v>
      </c>
      <c r="B50" s="184" t="s">
        <v>279</v>
      </c>
      <c r="C50" s="185">
        <v>798</v>
      </c>
      <c r="D50" s="546">
        <v>1286.47</v>
      </c>
      <c r="E50" s="124" t="s">
        <v>278</v>
      </c>
    </row>
    <row r="51" spans="1:6">
      <c r="A51" s="214">
        <v>46105</v>
      </c>
      <c r="B51" s="182" t="s">
        <v>256</v>
      </c>
      <c r="C51" s="183">
        <v>802</v>
      </c>
      <c r="D51" s="546">
        <v>1452</v>
      </c>
      <c r="E51" s="124" t="s">
        <v>278</v>
      </c>
    </row>
    <row r="52" spans="1:6">
      <c r="A52" s="214">
        <v>46106</v>
      </c>
      <c r="B52" s="184" t="s">
        <v>279</v>
      </c>
      <c r="C52" s="185">
        <v>800</v>
      </c>
      <c r="D52" s="546">
        <v>709.5</v>
      </c>
      <c r="E52" s="124" t="s">
        <v>278</v>
      </c>
    </row>
    <row r="53" spans="1:6">
      <c r="A53" s="214">
        <v>46111</v>
      </c>
      <c r="B53" s="182" t="s">
        <v>287</v>
      </c>
      <c r="C53" s="183">
        <v>793</v>
      </c>
      <c r="D53" s="546">
        <v>462</v>
      </c>
      <c r="E53" s="124" t="s">
        <v>278</v>
      </c>
    </row>
    <row r="54" spans="1:6">
      <c r="A54" s="214">
        <v>46112</v>
      </c>
      <c r="B54" s="184" t="s">
        <v>279</v>
      </c>
      <c r="C54" s="185">
        <v>798</v>
      </c>
      <c r="D54" s="546">
        <v>1286.47</v>
      </c>
      <c r="E54" s="124" t="s">
        <v>278</v>
      </c>
    </row>
    <row r="55" spans="1:6">
      <c r="A55" s="214">
        <v>46112</v>
      </c>
      <c r="B55" s="184" t="s">
        <v>256</v>
      </c>
      <c r="C55" s="185">
        <v>802</v>
      </c>
      <c r="D55" s="546">
        <v>1452</v>
      </c>
      <c r="E55" s="124" t="s">
        <v>278</v>
      </c>
    </row>
    <row r="56" spans="1:6">
      <c r="A56" s="75">
        <v>46113</v>
      </c>
      <c r="B56" s="77" t="s">
        <v>246</v>
      </c>
      <c r="C56" s="77">
        <v>795</v>
      </c>
      <c r="D56" s="103">
        <v>5610.66</v>
      </c>
      <c r="E56" s="242" t="s">
        <v>288</v>
      </c>
      <c r="F56" s="257">
        <f>SUM(D56:D83)</f>
        <v>105609.12</v>
      </c>
    </row>
    <row r="57" spans="1:6">
      <c r="A57" s="75">
        <v>46118</v>
      </c>
      <c r="B57" s="77" t="s">
        <v>247</v>
      </c>
      <c r="C57" s="77">
        <v>796</v>
      </c>
      <c r="D57" s="103">
        <v>2581.67</v>
      </c>
      <c r="E57" s="242" t="s">
        <v>288</v>
      </c>
    </row>
    <row r="58" spans="1:6">
      <c r="A58" s="75">
        <v>46119</v>
      </c>
      <c r="B58" s="77" t="s">
        <v>256</v>
      </c>
      <c r="C58" s="77">
        <v>802</v>
      </c>
      <c r="D58" s="103">
        <v>1452</v>
      </c>
      <c r="E58" s="242" t="s">
        <v>288</v>
      </c>
    </row>
    <row r="59" spans="1:6">
      <c r="A59" s="75">
        <v>46120</v>
      </c>
      <c r="B59" s="77" t="s">
        <v>287</v>
      </c>
      <c r="C59" s="77">
        <v>804</v>
      </c>
      <c r="D59" s="103">
        <v>539</v>
      </c>
      <c r="E59" s="242" t="s">
        <v>288</v>
      </c>
    </row>
    <row r="60" spans="1:6">
      <c r="A60" s="75">
        <v>46122</v>
      </c>
      <c r="B60" s="243" t="s">
        <v>246</v>
      </c>
      <c r="C60" s="244">
        <v>805</v>
      </c>
      <c r="D60" s="245">
        <v>1115</v>
      </c>
      <c r="E60" s="242" t="s">
        <v>288</v>
      </c>
    </row>
    <row r="61" spans="1:6">
      <c r="A61" s="75">
        <v>46125</v>
      </c>
      <c r="B61" s="246" t="s">
        <v>247</v>
      </c>
      <c r="C61" s="247">
        <v>806</v>
      </c>
      <c r="D61" s="245">
        <v>1722.5</v>
      </c>
      <c r="E61" s="242" t="s">
        <v>288</v>
      </c>
    </row>
    <row r="62" spans="1:6">
      <c r="A62" s="75">
        <v>46126</v>
      </c>
      <c r="B62" s="243" t="s">
        <v>246</v>
      </c>
      <c r="C62" s="244">
        <v>808</v>
      </c>
      <c r="D62" s="245">
        <v>294</v>
      </c>
      <c r="E62" s="242" t="s">
        <v>288</v>
      </c>
    </row>
    <row r="63" spans="1:6">
      <c r="A63" s="75">
        <v>46126</v>
      </c>
      <c r="B63" s="243" t="s">
        <v>256</v>
      </c>
      <c r="C63" s="244">
        <v>802</v>
      </c>
      <c r="D63" s="245">
        <v>1452</v>
      </c>
      <c r="E63" s="242" t="s">
        <v>288</v>
      </c>
    </row>
    <row r="64" spans="1:6" ht="28.5">
      <c r="A64" s="75">
        <v>46127</v>
      </c>
      <c r="B64" s="246" t="s">
        <v>289</v>
      </c>
      <c r="C64" s="247" t="s">
        <v>194</v>
      </c>
      <c r="D64" s="245">
        <v>5460</v>
      </c>
      <c r="E64" s="242" t="s">
        <v>288</v>
      </c>
    </row>
    <row r="65" spans="1:5">
      <c r="A65" s="75">
        <v>46128</v>
      </c>
      <c r="B65" s="243" t="s">
        <v>245</v>
      </c>
      <c r="C65" s="244">
        <v>807</v>
      </c>
      <c r="D65" s="245">
        <v>6200.34</v>
      </c>
      <c r="E65" s="242" t="s">
        <v>288</v>
      </c>
    </row>
    <row r="66" spans="1:5">
      <c r="A66" s="75">
        <v>46129</v>
      </c>
      <c r="B66" s="246" t="s">
        <v>246</v>
      </c>
      <c r="C66" s="247">
        <v>792</v>
      </c>
      <c r="D66" s="245">
        <v>324.67</v>
      </c>
      <c r="E66" s="242" t="s">
        <v>288</v>
      </c>
    </row>
    <row r="67" spans="1:5">
      <c r="A67" s="75">
        <v>46132</v>
      </c>
      <c r="B67" s="243" t="s">
        <v>256</v>
      </c>
      <c r="C67" s="244">
        <v>809</v>
      </c>
      <c r="D67" s="245">
        <v>3720</v>
      </c>
      <c r="E67" s="242" t="s">
        <v>288</v>
      </c>
    </row>
    <row r="68" spans="1:5">
      <c r="A68" s="75">
        <v>46134</v>
      </c>
      <c r="B68" s="243" t="s">
        <v>290</v>
      </c>
      <c r="C68" s="244">
        <v>810</v>
      </c>
      <c r="D68" s="245">
        <v>234</v>
      </c>
      <c r="E68" s="242" t="s">
        <v>288</v>
      </c>
    </row>
    <row r="69" spans="1:5" ht="28.5">
      <c r="A69" s="75">
        <v>46135</v>
      </c>
      <c r="B69" s="246" t="s">
        <v>291</v>
      </c>
      <c r="C69" s="247" t="s">
        <v>182</v>
      </c>
      <c r="D69" s="245">
        <v>1479.8</v>
      </c>
      <c r="E69" s="242" t="s">
        <v>288</v>
      </c>
    </row>
    <row r="70" spans="1:5">
      <c r="A70" s="75">
        <v>46136</v>
      </c>
      <c r="B70" s="243" t="s">
        <v>292</v>
      </c>
      <c r="C70" s="248">
        <v>823</v>
      </c>
      <c r="D70" s="245">
        <v>12352.44</v>
      </c>
      <c r="E70" s="242" t="s">
        <v>288</v>
      </c>
    </row>
    <row r="71" spans="1:5">
      <c r="A71" s="75">
        <v>46139</v>
      </c>
      <c r="B71" s="77" t="s">
        <v>246</v>
      </c>
      <c r="C71" s="77">
        <v>805</v>
      </c>
      <c r="D71" s="103">
        <v>1115</v>
      </c>
      <c r="E71" s="242" t="s">
        <v>288</v>
      </c>
    </row>
    <row r="72" spans="1:5">
      <c r="A72" s="75">
        <v>46139</v>
      </c>
      <c r="B72" s="77" t="s">
        <v>247</v>
      </c>
      <c r="C72" s="77">
        <v>806</v>
      </c>
      <c r="D72" s="103">
        <v>1722.5</v>
      </c>
      <c r="E72" s="242" t="s">
        <v>288</v>
      </c>
    </row>
    <row r="73" spans="1:5">
      <c r="A73" s="75">
        <v>46139</v>
      </c>
      <c r="B73" s="77" t="s">
        <v>243</v>
      </c>
      <c r="C73" s="77">
        <v>814</v>
      </c>
      <c r="D73" s="103">
        <v>1419.61</v>
      </c>
      <c r="E73" s="242" t="s">
        <v>288</v>
      </c>
    </row>
    <row r="74" spans="1:5">
      <c r="A74" s="249">
        <v>46140</v>
      </c>
      <c r="B74" s="250" t="s">
        <v>292</v>
      </c>
      <c r="C74" s="250" t="s">
        <v>293</v>
      </c>
      <c r="D74" s="251">
        <v>12352.44</v>
      </c>
      <c r="E74" s="242" t="s">
        <v>288</v>
      </c>
    </row>
    <row r="75" spans="1:5">
      <c r="A75" s="249">
        <v>46140</v>
      </c>
      <c r="B75" s="250" t="s">
        <v>246</v>
      </c>
      <c r="C75" s="250" t="s">
        <v>294</v>
      </c>
      <c r="D75" s="251">
        <v>6014.9</v>
      </c>
      <c r="E75" s="242" t="s">
        <v>288</v>
      </c>
    </row>
    <row r="76" spans="1:5">
      <c r="A76" s="249">
        <v>46140</v>
      </c>
      <c r="B76" s="250" t="s">
        <v>245</v>
      </c>
      <c r="C76" s="250">
        <v>807</v>
      </c>
      <c r="D76" s="251">
        <v>6200.33</v>
      </c>
      <c r="E76" s="242" t="s">
        <v>288</v>
      </c>
    </row>
    <row r="77" spans="1:5">
      <c r="A77" s="249">
        <v>46140</v>
      </c>
      <c r="B77" s="250" t="s">
        <v>246</v>
      </c>
      <c r="C77" s="250" t="s">
        <v>295</v>
      </c>
      <c r="D77" s="251">
        <v>6014.9</v>
      </c>
      <c r="E77" s="242" t="s">
        <v>288</v>
      </c>
    </row>
    <row r="78" spans="1:5">
      <c r="A78" s="249">
        <v>46140</v>
      </c>
      <c r="B78" s="250" t="s">
        <v>292</v>
      </c>
      <c r="C78" s="250" t="s">
        <v>296</v>
      </c>
      <c r="D78" s="251">
        <v>12352.44</v>
      </c>
      <c r="E78" s="242" t="s">
        <v>288</v>
      </c>
    </row>
    <row r="79" spans="1:5">
      <c r="A79" s="249">
        <v>46140</v>
      </c>
      <c r="B79" s="250" t="s">
        <v>246</v>
      </c>
      <c r="C79" s="250" t="s">
        <v>297</v>
      </c>
      <c r="D79" s="251">
        <v>3364.09</v>
      </c>
      <c r="E79" s="242" t="s">
        <v>288</v>
      </c>
    </row>
    <row r="80" spans="1:5">
      <c r="A80" s="75">
        <v>46140</v>
      </c>
      <c r="B80" s="77" t="s">
        <v>298</v>
      </c>
      <c r="C80" s="77" t="s">
        <v>277</v>
      </c>
      <c r="D80" s="103">
        <v>5500</v>
      </c>
      <c r="E80" s="242" t="s">
        <v>288</v>
      </c>
    </row>
    <row r="81" spans="1:6">
      <c r="A81" s="75">
        <v>46140</v>
      </c>
      <c r="B81" s="77" t="s">
        <v>299</v>
      </c>
      <c r="C81" s="77">
        <v>811</v>
      </c>
      <c r="D81" s="103">
        <v>390.33</v>
      </c>
      <c r="E81" s="242" t="s">
        <v>288</v>
      </c>
    </row>
    <row r="82" spans="1:6">
      <c r="A82" s="75">
        <v>46140</v>
      </c>
      <c r="B82" s="77" t="s">
        <v>287</v>
      </c>
      <c r="C82" s="77">
        <v>793</v>
      </c>
      <c r="D82" s="103">
        <v>462</v>
      </c>
      <c r="E82" s="242" t="s">
        <v>288</v>
      </c>
    </row>
    <row r="83" spans="1:6">
      <c r="A83" s="75">
        <v>46141</v>
      </c>
      <c r="B83" s="77" t="s">
        <v>300</v>
      </c>
      <c r="C83" s="77">
        <v>813</v>
      </c>
      <c r="D83" s="103">
        <v>4162.5</v>
      </c>
      <c r="E83" s="242" t="s">
        <v>288</v>
      </c>
      <c r="F83" s="257">
        <f>SUM(D56:D83)</f>
        <v>105609.12</v>
      </c>
    </row>
    <row r="84" spans="1:6">
      <c r="A84" s="523">
        <v>46146</v>
      </c>
      <c r="B84" s="133" t="s">
        <v>256</v>
      </c>
      <c r="C84" s="133">
        <v>809</v>
      </c>
      <c r="D84" s="545">
        <v>3720</v>
      </c>
      <c r="E84" s="128" t="s">
        <v>1617</v>
      </c>
    </row>
    <row r="85" spans="1:6">
      <c r="A85" s="523">
        <v>46146</v>
      </c>
      <c r="B85" s="133" t="s">
        <v>243</v>
      </c>
      <c r="C85" s="133">
        <v>814</v>
      </c>
      <c r="D85" s="545">
        <v>1419.63</v>
      </c>
      <c r="E85" s="128" t="s">
        <v>1617</v>
      </c>
    </row>
    <row r="86" spans="1:6">
      <c r="A86" s="523">
        <v>46146</v>
      </c>
      <c r="B86" s="133" t="s">
        <v>246</v>
      </c>
      <c r="C86" s="133">
        <v>795</v>
      </c>
      <c r="D86" s="545">
        <v>5610.67</v>
      </c>
      <c r="E86" s="128" t="s">
        <v>1617</v>
      </c>
    </row>
    <row r="87" spans="1:6">
      <c r="A87" s="523">
        <v>46148</v>
      </c>
      <c r="B87" s="133" t="s">
        <v>248</v>
      </c>
      <c r="C87" s="133">
        <v>816</v>
      </c>
      <c r="D87" s="545">
        <v>949</v>
      </c>
      <c r="E87" s="128" t="s">
        <v>1617</v>
      </c>
    </row>
    <row r="88" spans="1:6">
      <c r="A88" s="523">
        <v>46149</v>
      </c>
      <c r="B88" s="170" t="s">
        <v>246</v>
      </c>
      <c r="C88" s="171">
        <v>815</v>
      </c>
      <c r="D88" s="546">
        <v>6014.9</v>
      </c>
      <c r="E88" s="128" t="s">
        <v>1617</v>
      </c>
    </row>
    <row r="89" spans="1:6">
      <c r="A89" s="523">
        <v>46150</v>
      </c>
      <c r="B89" s="168" t="s">
        <v>824</v>
      </c>
      <c r="C89" s="169">
        <v>825</v>
      </c>
      <c r="D89" s="546">
        <v>5460</v>
      </c>
      <c r="E89" s="128" t="s">
        <v>1617</v>
      </c>
    </row>
    <row r="90" spans="1:6">
      <c r="A90" s="523">
        <v>46153</v>
      </c>
      <c r="B90" s="184" t="s">
        <v>243</v>
      </c>
      <c r="C90" s="185">
        <v>814</v>
      </c>
      <c r="D90" s="546">
        <v>1419.63</v>
      </c>
      <c r="E90" s="128" t="s">
        <v>1617</v>
      </c>
    </row>
    <row r="91" spans="1:6">
      <c r="A91" s="523">
        <v>46156</v>
      </c>
      <c r="B91" s="184" t="s">
        <v>824</v>
      </c>
      <c r="C91" s="185">
        <v>12636</v>
      </c>
      <c r="D91" s="546">
        <v>8639.5</v>
      </c>
      <c r="E91" s="128" t="s">
        <v>1617</v>
      </c>
    </row>
    <row r="92" spans="1:6">
      <c r="A92" s="523">
        <v>46156</v>
      </c>
      <c r="B92" s="182" t="s">
        <v>257</v>
      </c>
      <c r="C92" s="183">
        <v>837</v>
      </c>
      <c r="D92" s="546">
        <v>69</v>
      </c>
      <c r="E92" s="128" t="s">
        <v>1617</v>
      </c>
    </row>
    <row r="93" spans="1:6">
      <c r="A93" s="523">
        <v>46156</v>
      </c>
      <c r="B93" s="184" t="s">
        <v>246</v>
      </c>
      <c r="C93" s="185">
        <v>815</v>
      </c>
      <c r="D93" s="546">
        <v>6014.9</v>
      </c>
      <c r="E93" s="128" t="s">
        <v>1617</v>
      </c>
    </row>
    <row r="94" spans="1:6">
      <c r="A94" s="523">
        <v>46160</v>
      </c>
      <c r="B94" s="182" t="s">
        <v>245</v>
      </c>
      <c r="C94" s="183">
        <v>807</v>
      </c>
      <c r="D94" s="546">
        <v>6200.33</v>
      </c>
      <c r="E94" s="128" t="s">
        <v>1617</v>
      </c>
    </row>
    <row r="95" spans="1:6">
      <c r="A95" s="523">
        <v>46160</v>
      </c>
      <c r="B95" s="184" t="s">
        <v>256</v>
      </c>
      <c r="C95" s="185">
        <v>809</v>
      </c>
      <c r="D95" s="546">
        <v>3720</v>
      </c>
      <c r="E95" s="128" t="s">
        <v>1617</v>
      </c>
    </row>
    <row r="96" spans="1:6">
      <c r="A96" s="523">
        <v>46160</v>
      </c>
      <c r="B96" s="184" t="s">
        <v>243</v>
      </c>
      <c r="C96" s="185">
        <v>814</v>
      </c>
      <c r="D96" s="546">
        <v>1419.63</v>
      </c>
      <c r="E96" s="128" t="s">
        <v>1617</v>
      </c>
    </row>
    <row r="97" spans="1:5">
      <c r="A97" s="523">
        <v>46162</v>
      </c>
      <c r="B97" s="182" t="s">
        <v>1626</v>
      </c>
      <c r="C97" s="183">
        <v>823</v>
      </c>
      <c r="D97" s="546">
        <v>1500</v>
      </c>
      <c r="E97" s="128" t="s">
        <v>1617</v>
      </c>
    </row>
    <row r="98" spans="1:5">
      <c r="A98" s="523">
        <v>46167</v>
      </c>
      <c r="B98" s="184" t="s">
        <v>256</v>
      </c>
      <c r="C98" s="133">
        <v>825</v>
      </c>
      <c r="D98" s="546">
        <v>12888.63</v>
      </c>
      <c r="E98" s="128" t="s">
        <v>1617</v>
      </c>
    </row>
    <row r="99" spans="1:5">
      <c r="A99" s="523">
        <v>46168</v>
      </c>
      <c r="B99" s="133" t="s">
        <v>243</v>
      </c>
      <c r="C99" s="133">
        <v>826</v>
      </c>
      <c r="D99" s="545">
        <v>330</v>
      </c>
      <c r="E99" s="128" t="s">
        <v>1617</v>
      </c>
    </row>
    <row r="100" spans="1:5">
      <c r="A100" s="523">
        <v>46170</v>
      </c>
      <c r="B100" s="133" t="s">
        <v>1627</v>
      </c>
      <c r="C100" s="133" t="s">
        <v>1628</v>
      </c>
      <c r="D100" s="545">
        <v>1220</v>
      </c>
      <c r="E100" s="128" t="s">
        <v>1617</v>
      </c>
    </row>
    <row r="101" spans="1:5">
      <c r="A101" s="523">
        <v>46170</v>
      </c>
      <c r="B101" s="133" t="s">
        <v>256</v>
      </c>
      <c r="C101" s="133">
        <v>825</v>
      </c>
      <c r="D101" s="545">
        <v>13412.5</v>
      </c>
      <c r="E101" s="128" t="s">
        <v>1617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BA51-5888-45FF-B05A-13ECBA4B5E5B}">
  <dimension ref="A1:O181"/>
  <sheetViews>
    <sheetView topLeftCell="A142" zoomScale="85" zoomScaleNormal="85" workbookViewId="0">
      <selection activeCell="D167" sqref="D167"/>
    </sheetView>
  </sheetViews>
  <sheetFormatPr defaultRowHeight="15"/>
  <cols>
    <col min="1" max="1" width="10.7109375" bestFit="1" customWidth="1"/>
    <col min="2" max="2" width="23.42578125" bestFit="1" customWidth="1"/>
    <col min="3" max="3" width="25.85546875" bestFit="1" customWidth="1"/>
    <col min="4" max="4" width="13.28515625" style="257" bestFit="1" customWidth="1"/>
    <col min="6" max="6" width="14.42578125" bestFit="1" customWidth="1"/>
    <col min="13" max="13" width="25.85546875" bestFit="1" customWidth="1"/>
  </cols>
  <sheetData>
    <row r="1" spans="1:13">
      <c r="A1" s="71" t="s">
        <v>237</v>
      </c>
      <c r="B1" s="72" t="s">
        <v>301</v>
      </c>
      <c r="C1" s="73" t="s">
        <v>239</v>
      </c>
      <c r="D1" s="74" t="s">
        <v>240</v>
      </c>
      <c r="M1" s="73" t="s">
        <v>239</v>
      </c>
    </row>
    <row r="2" spans="1:13">
      <c r="A2" s="75">
        <v>46024</v>
      </c>
      <c r="B2" s="76" t="s">
        <v>206</v>
      </c>
      <c r="C2" s="77" t="s">
        <v>206</v>
      </c>
      <c r="D2" s="78">
        <v>109.79</v>
      </c>
      <c r="E2" t="s">
        <v>242</v>
      </c>
      <c r="M2" s="77" t="s">
        <v>175</v>
      </c>
    </row>
    <row r="3" spans="1:13">
      <c r="A3" s="75">
        <v>46024</v>
      </c>
      <c r="B3" s="79" t="s">
        <v>302</v>
      </c>
      <c r="C3" s="79" t="s">
        <v>303</v>
      </c>
      <c r="D3" s="80">
        <v>2920.88</v>
      </c>
      <c r="E3" t="s">
        <v>242</v>
      </c>
      <c r="M3" s="79" t="s">
        <v>177</v>
      </c>
    </row>
    <row r="4" spans="1:13">
      <c r="A4" s="75">
        <v>46024</v>
      </c>
      <c r="B4" s="81" t="s">
        <v>304</v>
      </c>
      <c r="C4" s="77" t="s">
        <v>211</v>
      </c>
      <c r="D4" s="82">
        <v>2011.61</v>
      </c>
      <c r="E4" t="s">
        <v>244</v>
      </c>
      <c r="M4" s="218" t="s">
        <v>178</v>
      </c>
    </row>
    <row r="5" spans="1:13">
      <c r="A5" s="75">
        <v>46024</v>
      </c>
      <c r="B5" s="81" t="s">
        <v>305</v>
      </c>
      <c r="C5" s="77" t="s">
        <v>175</v>
      </c>
      <c r="D5" s="82">
        <v>1.7</v>
      </c>
      <c r="E5" t="s">
        <v>244</v>
      </c>
      <c r="M5" s="86" t="s">
        <v>179</v>
      </c>
    </row>
    <row r="6" spans="1:13">
      <c r="A6" s="75">
        <v>46027</v>
      </c>
      <c r="B6" s="83" t="s">
        <v>306</v>
      </c>
      <c r="C6" s="77" t="s">
        <v>307</v>
      </c>
      <c r="D6" s="80">
        <v>658.67</v>
      </c>
      <c r="E6" t="s">
        <v>244</v>
      </c>
      <c r="M6" s="79" t="s">
        <v>303</v>
      </c>
    </row>
    <row r="7" spans="1:13">
      <c r="A7" s="75">
        <v>46027</v>
      </c>
      <c r="B7" s="81" t="s">
        <v>308</v>
      </c>
      <c r="C7" s="79" t="s">
        <v>188</v>
      </c>
      <c r="D7" s="82">
        <v>250</v>
      </c>
      <c r="E7" t="s">
        <v>244</v>
      </c>
      <c r="M7" s="133" t="s">
        <v>187</v>
      </c>
    </row>
    <row r="8" spans="1:13">
      <c r="A8" s="75">
        <v>46027</v>
      </c>
      <c r="B8" s="83" t="s">
        <v>309</v>
      </c>
      <c r="C8" s="79" t="s">
        <v>188</v>
      </c>
      <c r="D8" s="80">
        <v>250</v>
      </c>
      <c r="E8" t="s">
        <v>244</v>
      </c>
      <c r="M8" s="79" t="s">
        <v>307</v>
      </c>
    </row>
    <row r="9" spans="1:13">
      <c r="A9" s="75">
        <v>46027</v>
      </c>
      <c r="B9" s="81" t="s">
        <v>305</v>
      </c>
      <c r="C9" s="79" t="s">
        <v>175</v>
      </c>
      <c r="D9" s="82">
        <v>3.4</v>
      </c>
      <c r="E9" t="s">
        <v>244</v>
      </c>
      <c r="M9" s="79" t="s">
        <v>188</v>
      </c>
    </row>
    <row r="10" spans="1:13">
      <c r="A10" s="75">
        <v>46030</v>
      </c>
      <c r="B10" s="81" t="s">
        <v>310</v>
      </c>
      <c r="C10" s="79" t="s">
        <v>311</v>
      </c>
      <c r="D10" s="82">
        <v>459.73</v>
      </c>
      <c r="E10" t="s">
        <v>244</v>
      </c>
      <c r="M10" s="86" t="s">
        <v>192</v>
      </c>
    </row>
    <row r="11" spans="1:13">
      <c r="A11" s="75">
        <v>46031</v>
      </c>
      <c r="B11" s="84" t="s">
        <v>312</v>
      </c>
      <c r="C11" s="79" t="s">
        <v>307</v>
      </c>
      <c r="D11" s="82">
        <v>1114.33</v>
      </c>
      <c r="E11" t="s">
        <v>244</v>
      </c>
      <c r="M11" s="79" t="s">
        <v>194</v>
      </c>
    </row>
    <row r="12" spans="1:13">
      <c r="A12" s="75">
        <v>46034</v>
      </c>
      <c r="B12" s="84" t="s">
        <v>305</v>
      </c>
      <c r="C12" s="79" t="s">
        <v>175</v>
      </c>
      <c r="D12" s="82">
        <v>3.4</v>
      </c>
      <c r="E12" t="s">
        <v>244</v>
      </c>
      <c r="M12" s="86" t="s">
        <v>313</v>
      </c>
    </row>
    <row r="13" spans="1:13" ht="18" customHeight="1">
      <c r="A13" s="75">
        <v>46034</v>
      </c>
      <c r="B13" s="84" t="s">
        <v>201</v>
      </c>
      <c r="C13" s="79" t="s">
        <v>201</v>
      </c>
      <c r="D13" s="82">
        <v>1242</v>
      </c>
      <c r="E13" t="s">
        <v>244</v>
      </c>
      <c r="M13" s="86" t="s">
        <v>196</v>
      </c>
    </row>
    <row r="14" spans="1:13">
      <c r="A14" s="75">
        <v>46034</v>
      </c>
      <c r="B14" s="84" t="s">
        <v>314</v>
      </c>
      <c r="C14" s="79" t="s">
        <v>177</v>
      </c>
      <c r="D14" s="82">
        <v>1327</v>
      </c>
      <c r="E14" t="s">
        <v>244</v>
      </c>
      <c r="M14" s="133" t="s">
        <v>197</v>
      </c>
    </row>
    <row r="15" spans="1:13">
      <c r="A15" s="75">
        <v>46035</v>
      </c>
      <c r="B15" s="85" t="s">
        <v>315</v>
      </c>
      <c r="C15" s="86" t="s">
        <v>187</v>
      </c>
      <c r="D15" s="82">
        <v>3540.29</v>
      </c>
      <c r="E15" t="s">
        <v>244</v>
      </c>
      <c r="M15" s="86" t="s">
        <v>203</v>
      </c>
    </row>
    <row r="16" spans="1:13">
      <c r="A16" s="75">
        <v>46037</v>
      </c>
      <c r="B16" s="85" t="s">
        <v>316</v>
      </c>
      <c r="C16" s="86" t="s">
        <v>196</v>
      </c>
      <c r="D16" s="82">
        <v>112.82</v>
      </c>
      <c r="E16" t="s">
        <v>244</v>
      </c>
      <c r="M16" s="79" t="s">
        <v>201</v>
      </c>
    </row>
    <row r="17" spans="1:13">
      <c r="A17" s="75">
        <v>46037</v>
      </c>
      <c r="B17" s="86" t="s">
        <v>317</v>
      </c>
      <c r="C17" s="86" t="s">
        <v>179</v>
      </c>
      <c r="D17" s="82">
        <v>95</v>
      </c>
      <c r="E17" t="s">
        <v>244</v>
      </c>
      <c r="M17" s="77" t="s">
        <v>206</v>
      </c>
    </row>
    <row r="18" spans="1:13">
      <c r="A18" s="75">
        <v>46037</v>
      </c>
      <c r="B18" s="85" t="s">
        <v>318</v>
      </c>
      <c r="C18" s="86" t="s">
        <v>192</v>
      </c>
      <c r="D18" s="82">
        <v>573</v>
      </c>
      <c r="E18" t="s">
        <v>244</v>
      </c>
      <c r="M18" s="86" t="s">
        <v>209</v>
      </c>
    </row>
    <row r="19" spans="1:13">
      <c r="A19" s="75">
        <v>46038</v>
      </c>
      <c r="B19" s="81" t="s">
        <v>305</v>
      </c>
      <c r="C19" s="86" t="s">
        <v>175</v>
      </c>
      <c r="D19" s="82">
        <v>3.4</v>
      </c>
      <c r="E19" t="s">
        <v>244</v>
      </c>
      <c r="M19" s="133" t="s">
        <v>210</v>
      </c>
    </row>
    <row r="20" spans="1:13">
      <c r="A20" s="75">
        <v>46041</v>
      </c>
      <c r="B20" s="83" t="s">
        <v>319</v>
      </c>
      <c r="C20" s="86" t="s">
        <v>209</v>
      </c>
      <c r="D20" s="80">
        <v>10000</v>
      </c>
      <c r="E20" t="s">
        <v>244</v>
      </c>
      <c r="M20" s="77" t="s">
        <v>211</v>
      </c>
    </row>
    <row r="21" spans="1:13">
      <c r="A21" s="75">
        <v>46041</v>
      </c>
      <c r="B21" s="81" t="s">
        <v>305</v>
      </c>
      <c r="C21" s="86" t="s">
        <v>175</v>
      </c>
      <c r="D21" s="82">
        <v>3.4</v>
      </c>
      <c r="E21" t="s">
        <v>244</v>
      </c>
    </row>
    <row r="22" spans="1:13">
      <c r="A22" s="75">
        <v>46042</v>
      </c>
      <c r="B22" s="83" t="s">
        <v>320</v>
      </c>
      <c r="C22" s="86" t="s">
        <v>313</v>
      </c>
      <c r="D22" s="80">
        <v>440.26</v>
      </c>
      <c r="E22" t="s">
        <v>244</v>
      </c>
    </row>
    <row r="23" spans="1:13">
      <c r="A23" s="75">
        <v>46042</v>
      </c>
      <c r="B23" s="83" t="s">
        <v>321</v>
      </c>
      <c r="C23" s="86" t="s">
        <v>209</v>
      </c>
      <c r="D23" s="80">
        <v>850</v>
      </c>
      <c r="E23" t="s">
        <v>244</v>
      </c>
    </row>
    <row r="24" spans="1:13">
      <c r="A24" s="75">
        <v>46043</v>
      </c>
      <c r="B24" s="81" t="s">
        <v>319</v>
      </c>
      <c r="C24" s="86" t="s">
        <v>209</v>
      </c>
      <c r="D24" s="82">
        <v>200</v>
      </c>
      <c r="E24" t="s">
        <v>244</v>
      </c>
    </row>
    <row r="25" spans="1:13">
      <c r="A25" s="75">
        <v>46043</v>
      </c>
      <c r="B25" s="83" t="s">
        <v>322</v>
      </c>
      <c r="C25" s="86" t="s">
        <v>311</v>
      </c>
      <c r="D25" s="80">
        <v>30000</v>
      </c>
      <c r="E25" t="s">
        <v>244</v>
      </c>
    </row>
    <row r="26" spans="1:13">
      <c r="A26" s="75">
        <v>46045</v>
      </c>
      <c r="B26" s="81" t="s">
        <v>305</v>
      </c>
      <c r="C26" s="86" t="s">
        <v>175</v>
      </c>
      <c r="D26" s="82">
        <v>1.7</v>
      </c>
      <c r="E26" t="s">
        <v>244</v>
      </c>
    </row>
    <row r="27" spans="1:13">
      <c r="A27" s="75">
        <v>46048</v>
      </c>
      <c r="B27" s="83" t="s">
        <v>312</v>
      </c>
      <c r="C27" s="86" t="s">
        <v>307</v>
      </c>
      <c r="D27" s="80">
        <v>1114.3399999999999</v>
      </c>
      <c r="E27" t="s">
        <v>244</v>
      </c>
    </row>
    <row r="28" spans="1:13">
      <c r="A28" s="75">
        <v>46048</v>
      </c>
      <c r="B28" s="83" t="s">
        <v>323</v>
      </c>
      <c r="C28" s="86" t="s">
        <v>209</v>
      </c>
      <c r="D28" s="80">
        <v>17119.18</v>
      </c>
      <c r="E28" t="s">
        <v>244</v>
      </c>
    </row>
    <row r="29" spans="1:13">
      <c r="A29" s="75">
        <v>46048</v>
      </c>
      <c r="B29" s="81" t="s">
        <v>305</v>
      </c>
      <c r="C29" s="86" t="s">
        <v>175</v>
      </c>
      <c r="D29" s="82">
        <v>1.7</v>
      </c>
      <c r="E29" t="s">
        <v>244</v>
      </c>
    </row>
    <row r="30" spans="1:13" ht="15.75" thickBot="1">
      <c r="A30" s="75">
        <v>46051</v>
      </c>
      <c r="B30" s="87" t="s">
        <v>324</v>
      </c>
      <c r="C30" s="88" t="s">
        <v>188</v>
      </c>
      <c r="D30" s="89">
        <v>500</v>
      </c>
      <c r="E30" t="s">
        <v>244</v>
      </c>
    </row>
    <row r="31" spans="1:13" ht="15.75" thickBot="1">
      <c r="A31" s="75">
        <v>46051</v>
      </c>
      <c r="B31" s="90" t="s">
        <v>325</v>
      </c>
      <c r="C31" s="91" t="s">
        <v>209</v>
      </c>
      <c r="D31" s="92">
        <v>3000</v>
      </c>
      <c r="E31" t="s">
        <v>244</v>
      </c>
      <c r="F31" s="257">
        <f>SUM(D2:D31)</f>
        <v>77907.599999999991</v>
      </c>
    </row>
    <row r="32" spans="1:13">
      <c r="A32" s="214">
        <v>46055</v>
      </c>
      <c r="B32" s="128" t="s">
        <v>206</v>
      </c>
      <c r="C32" s="133" t="s">
        <v>206</v>
      </c>
      <c r="D32" s="546">
        <v>109.79</v>
      </c>
      <c r="E32" s="124" t="s">
        <v>252</v>
      </c>
    </row>
    <row r="33" spans="1:15">
      <c r="A33" s="214">
        <v>46055</v>
      </c>
      <c r="B33" s="215" t="s">
        <v>302</v>
      </c>
      <c r="C33" s="215" t="s">
        <v>303</v>
      </c>
      <c r="D33" s="548">
        <v>3019.29</v>
      </c>
      <c r="E33" s="124" t="s">
        <v>252</v>
      </c>
    </row>
    <row r="34" spans="1:15">
      <c r="A34" s="214">
        <v>46055</v>
      </c>
      <c r="B34" s="127" t="s">
        <v>326</v>
      </c>
      <c r="C34" s="133" t="s">
        <v>188</v>
      </c>
      <c r="D34" s="549">
        <v>190.8</v>
      </c>
      <c r="E34" s="124" t="s">
        <v>252</v>
      </c>
    </row>
    <row r="35" spans="1:15">
      <c r="A35" s="214">
        <v>46055</v>
      </c>
      <c r="B35" s="127" t="s">
        <v>327</v>
      </c>
      <c r="C35" s="133" t="s">
        <v>188</v>
      </c>
      <c r="D35" s="549">
        <v>190.8</v>
      </c>
      <c r="E35" s="124" t="s">
        <v>252</v>
      </c>
    </row>
    <row r="36" spans="1:15">
      <c r="A36" s="214">
        <v>46055</v>
      </c>
      <c r="B36" s="131" t="s">
        <v>328</v>
      </c>
      <c r="C36" s="133" t="s">
        <v>188</v>
      </c>
      <c r="D36" s="548">
        <v>190.08</v>
      </c>
      <c r="E36" s="124" t="s">
        <v>252</v>
      </c>
    </row>
    <row r="37" spans="1:15">
      <c r="A37" s="214">
        <v>46055</v>
      </c>
      <c r="B37" s="127" t="s">
        <v>329</v>
      </c>
      <c r="C37" s="133" t="s">
        <v>197</v>
      </c>
      <c r="D37" s="549">
        <v>250</v>
      </c>
      <c r="E37" s="124" t="s">
        <v>252</v>
      </c>
    </row>
    <row r="38" spans="1:15">
      <c r="A38" s="214">
        <v>46055</v>
      </c>
      <c r="B38" s="216" t="s">
        <v>305</v>
      </c>
      <c r="C38" s="215" t="s">
        <v>175</v>
      </c>
      <c r="D38" s="549">
        <v>1.7</v>
      </c>
      <c r="E38" s="124" t="s">
        <v>252</v>
      </c>
    </row>
    <row r="39" spans="1:15">
      <c r="A39" s="214">
        <v>46056</v>
      </c>
      <c r="B39" s="216" t="s">
        <v>305</v>
      </c>
      <c r="C39" s="215" t="s">
        <v>175</v>
      </c>
      <c r="D39" s="549">
        <v>1.7</v>
      </c>
      <c r="E39" s="124" t="s">
        <v>252</v>
      </c>
    </row>
    <row r="40" spans="1:15">
      <c r="A40" s="214">
        <v>46058</v>
      </c>
      <c r="B40" s="216" t="s">
        <v>305</v>
      </c>
      <c r="C40" s="215" t="s">
        <v>175</v>
      </c>
      <c r="D40" s="549">
        <v>1.81</v>
      </c>
      <c r="E40" s="124" t="s">
        <v>252</v>
      </c>
    </row>
    <row r="41" spans="1:15">
      <c r="A41" s="214">
        <v>46059</v>
      </c>
      <c r="B41" s="216" t="s">
        <v>330</v>
      </c>
      <c r="C41" s="215" t="s">
        <v>307</v>
      </c>
      <c r="D41" s="549">
        <v>1121.26</v>
      </c>
      <c r="E41" s="124" t="s">
        <v>252</v>
      </c>
    </row>
    <row r="42" spans="1:15">
      <c r="A42" s="214">
        <v>46059</v>
      </c>
      <c r="B42" s="216" t="s">
        <v>305</v>
      </c>
      <c r="C42" s="215" t="s">
        <v>175</v>
      </c>
      <c r="D42" s="549">
        <v>1.81</v>
      </c>
      <c r="E42" s="124" t="s">
        <v>252</v>
      </c>
    </row>
    <row r="43" spans="1:15">
      <c r="A43" s="214">
        <v>46062</v>
      </c>
      <c r="B43" s="216" t="s">
        <v>305</v>
      </c>
      <c r="C43" s="215" t="s">
        <v>175</v>
      </c>
      <c r="D43" s="549">
        <v>3.62</v>
      </c>
      <c r="E43" s="124" t="s">
        <v>252</v>
      </c>
    </row>
    <row r="44" spans="1:15">
      <c r="A44" s="214">
        <v>46062</v>
      </c>
      <c r="B44" s="216" t="s">
        <v>306</v>
      </c>
      <c r="C44" s="215" t="s">
        <v>307</v>
      </c>
      <c r="D44" s="549">
        <v>1266.67</v>
      </c>
      <c r="E44" s="124" t="s">
        <v>252</v>
      </c>
      <c r="O44" t="s">
        <v>175</v>
      </c>
    </row>
    <row r="45" spans="1:15">
      <c r="A45" s="214">
        <v>46062</v>
      </c>
      <c r="B45" s="216" t="s">
        <v>331</v>
      </c>
      <c r="C45" s="215" t="s">
        <v>307</v>
      </c>
      <c r="D45" s="549">
        <v>1114.33</v>
      </c>
      <c r="E45" s="124" t="s">
        <v>252</v>
      </c>
    </row>
    <row r="46" spans="1:15">
      <c r="A46" s="214">
        <v>46063</v>
      </c>
      <c r="B46" s="217" t="s">
        <v>305</v>
      </c>
      <c r="C46" s="218" t="s">
        <v>175</v>
      </c>
      <c r="D46" s="549">
        <v>3.62</v>
      </c>
      <c r="E46" s="124" t="s">
        <v>252</v>
      </c>
    </row>
    <row r="47" spans="1:15">
      <c r="A47" s="214">
        <v>46063</v>
      </c>
      <c r="B47" s="218" t="s">
        <v>319</v>
      </c>
      <c r="C47" s="218" t="s">
        <v>209</v>
      </c>
      <c r="D47" s="549">
        <v>3000</v>
      </c>
      <c r="E47" s="124" t="s">
        <v>252</v>
      </c>
    </row>
    <row r="48" spans="1:15">
      <c r="A48" s="214">
        <v>46063</v>
      </c>
      <c r="B48" s="217" t="s">
        <v>332</v>
      </c>
      <c r="C48" s="218" t="s">
        <v>209</v>
      </c>
      <c r="D48" s="549">
        <v>1166.4000000000001</v>
      </c>
      <c r="E48" s="124" t="s">
        <v>252</v>
      </c>
    </row>
    <row r="49" spans="1:5">
      <c r="A49" s="214">
        <v>46064</v>
      </c>
      <c r="B49" s="127" t="s">
        <v>333</v>
      </c>
      <c r="C49" s="218" t="s">
        <v>188</v>
      </c>
      <c r="D49" s="549">
        <v>2000</v>
      </c>
      <c r="E49" s="124" t="s">
        <v>252</v>
      </c>
    </row>
    <row r="50" spans="1:5">
      <c r="A50" s="214">
        <v>46064</v>
      </c>
      <c r="B50" s="127" t="s">
        <v>334</v>
      </c>
      <c r="C50" s="218" t="s">
        <v>209</v>
      </c>
      <c r="D50" s="549">
        <v>316.66000000000003</v>
      </c>
      <c r="E50" s="124" t="s">
        <v>252</v>
      </c>
    </row>
    <row r="51" spans="1:5">
      <c r="A51" s="214">
        <v>46064</v>
      </c>
      <c r="B51" s="127" t="s">
        <v>305</v>
      </c>
      <c r="C51" s="218" t="s">
        <v>175</v>
      </c>
      <c r="D51" s="549">
        <v>3.62</v>
      </c>
      <c r="E51" s="124" t="s">
        <v>252</v>
      </c>
    </row>
    <row r="52" spans="1:5">
      <c r="A52" s="214">
        <v>46066</v>
      </c>
      <c r="B52" s="131" t="s">
        <v>302</v>
      </c>
      <c r="C52" s="218" t="s">
        <v>303</v>
      </c>
      <c r="D52" s="548">
        <v>3585.46</v>
      </c>
      <c r="E52" s="124" t="s">
        <v>252</v>
      </c>
    </row>
    <row r="53" spans="1:5">
      <c r="A53" s="214">
        <v>46066</v>
      </c>
      <c r="B53" s="131" t="s">
        <v>335</v>
      </c>
      <c r="C53" s="218" t="s">
        <v>209</v>
      </c>
      <c r="D53" s="548">
        <v>2500</v>
      </c>
      <c r="E53" s="124" t="s">
        <v>252</v>
      </c>
    </row>
    <row r="54" spans="1:5">
      <c r="A54" s="214">
        <v>46066</v>
      </c>
      <c r="B54" s="131" t="s">
        <v>305</v>
      </c>
      <c r="C54" s="218" t="s">
        <v>175</v>
      </c>
      <c r="D54" s="548">
        <v>5.43</v>
      </c>
      <c r="E54" s="124" t="s">
        <v>252</v>
      </c>
    </row>
    <row r="55" spans="1:5">
      <c r="A55" s="214">
        <v>46071</v>
      </c>
      <c r="B55" s="131" t="s">
        <v>336</v>
      </c>
      <c r="C55" s="218" t="s">
        <v>196</v>
      </c>
      <c r="D55" s="548">
        <v>112.82</v>
      </c>
      <c r="E55" s="124" t="s">
        <v>252</v>
      </c>
    </row>
    <row r="56" spans="1:5">
      <c r="A56" s="214">
        <v>46071</v>
      </c>
      <c r="B56" s="131" t="s">
        <v>305</v>
      </c>
      <c r="C56" s="218" t="s">
        <v>175</v>
      </c>
      <c r="D56" s="548">
        <v>9.0500000000000007</v>
      </c>
      <c r="E56" s="124" t="s">
        <v>252</v>
      </c>
    </row>
    <row r="57" spans="1:5">
      <c r="A57" s="214">
        <v>46071</v>
      </c>
      <c r="B57" s="127" t="s">
        <v>337</v>
      </c>
      <c r="C57" s="218" t="s">
        <v>192</v>
      </c>
      <c r="D57" s="549">
        <v>612</v>
      </c>
      <c r="E57" s="124" t="s">
        <v>252</v>
      </c>
    </row>
    <row r="58" spans="1:5">
      <c r="A58" s="214">
        <v>46072</v>
      </c>
      <c r="B58" s="128" t="s">
        <v>338</v>
      </c>
      <c r="C58" s="133" t="s">
        <v>210</v>
      </c>
      <c r="D58" s="546">
        <v>820</v>
      </c>
      <c r="E58" s="124" t="s">
        <v>252</v>
      </c>
    </row>
    <row r="59" spans="1:5">
      <c r="A59" s="214">
        <v>46072</v>
      </c>
      <c r="B59" s="128" t="s">
        <v>319</v>
      </c>
      <c r="C59" s="133" t="s">
        <v>209</v>
      </c>
      <c r="D59" s="546">
        <v>5000</v>
      </c>
      <c r="E59" s="124" t="s">
        <v>252</v>
      </c>
    </row>
    <row r="60" spans="1:5">
      <c r="A60" s="214">
        <v>46072</v>
      </c>
      <c r="B60" s="127" t="s">
        <v>305</v>
      </c>
      <c r="C60" s="218" t="s">
        <v>175</v>
      </c>
      <c r="D60" s="549">
        <v>1.81</v>
      </c>
      <c r="E60" s="124" t="s">
        <v>252</v>
      </c>
    </row>
    <row r="61" spans="1:5">
      <c r="A61" s="214">
        <v>46073</v>
      </c>
      <c r="B61" s="131" t="s">
        <v>328</v>
      </c>
      <c r="C61" s="218" t="s">
        <v>188</v>
      </c>
      <c r="D61" s="548">
        <v>855.2</v>
      </c>
      <c r="E61" s="124" t="s">
        <v>252</v>
      </c>
    </row>
    <row r="62" spans="1:5">
      <c r="A62" s="214">
        <v>46073</v>
      </c>
      <c r="B62" s="127" t="s">
        <v>326</v>
      </c>
      <c r="C62" s="218" t="s">
        <v>188</v>
      </c>
      <c r="D62" s="549">
        <v>855.2</v>
      </c>
      <c r="E62" s="124" t="s">
        <v>252</v>
      </c>
    </row>
    <row r="63" spans="1:5">
      <c r="A63" s="214">
        <v>46073</v>
      </c>
      <c r="B63" s="131" t="s">
        <v>330</v>
      </c>
      <c r="C63" s="218" t="s">
        <v>307</v>
      </c>
      <c r="D63" s="548">
        <v>1121.25</v>
      </c>
      <c r="E63" s="124" t="s">
        <v>252</v>
      </c>
    </row>
    <row r="64" spans="1:5">
      <c r="A64" s="214">
        <v>46073</v>
      </c>
      <c r="B64" s="131" t="s">
        <v>320</v>
      </c>
      <c r="C64" s="218" t="s">
        <v>313</v>
      </c>
      <c r="D64" s="548">
        <v>1565.41</v>
      </c>
      <c r="E64" s="124" t="s">
        <v>252</v>
      </c>
    </row>
    <row r="65" spans="1:6">
      <c r="A65" s="214">
        <v>46073</v>
      </c>
      <c r="B65" s="127" t="s">
        <v>305</v>
      </c>
      <c r="C65" s="218" t="s">
        <v>175</v>
      </c>
      <c r="D65" s="549">
        <v>1.81</v>
      </c>
      <c r="E65" s="124" t="s">
        <v>252</v>
      </c>
    </row>
    <row r="66" spans="1:6">
      <c r="A66" s="214">
        <v>46076</v>
      </c>
      <c r="B66" s="127" t="s">
        <v>305</v>
      </c>
      <c r="C66" s="218" t="s">
        <v>175</v>
      </c>
      <c r="D66" s="549">
        <v>1.81</v>
      </c>
      <c r="E66" s="124" t="s">
        <v>252</v>
      </c>
    </row>
    <row r="67" spans="1:6">
      <c r="A67" s="214">
        <v>46076</v>
      </c>
      <c r="B67" s="216" t="s">
        <v>306</v>
      </c>
      <c r="C67" s="215" t="s">
        <v>307</v>
      </c>
      <c r="D67" s="549">
        <v>1266.67</v>
      </c>
      <c r="E67" s="124" t="s">
        <v>252</v>
      </c>
    </row>
    <row r="68" spans="1:6">
      <c r="A68" s="214">
        <v>46078</v>
      </c>
      <c r="B68" s="127" t="s">
        <v>178</v>
      </c>
      <c r="C68" s="218" t="s">
        <v>178</v>
      </c>
      <c r="D68" s="549">
        <v>10246.030000000001</v>
      </c>
      <c r="E68" s="124" t="s">
        <v>252</v>
      </c>
    </row>
    <row r="69" spans="1:6">
      <c r="A69" s="214">
        <v>46078</v>
      </c>
      <c r="B69" s="127" t="s">
        <v>305</v>
      </c>
      <c r="C69" s="218" t="s">
        <v>175</v>
      </c>
      <c r="D69" s="549">
        <v>1.81</v>
      </c>
      <c r="E69" s="124" t="s">
        <v>252</v>
      </c>
    </row>
    <row r="70" spans="1:6">
      <c r="A70" s="214">
        <v>46079</v>
      </c>
      <c r="B70" s="127" t="s">
        <v>339</v>
      </c>
      <c r="C70" s="218" t="s">
        <v>211</v>
      </c>
      <c r="D70" s="549">
        <v>1248.6600000000001</v>
      </c>
      <c r="E70" s="124" t="s">
        <v>252</v>
      </c>
    </row>
    <row r="71" spans="1:6">
      <c r="A71" s="214">
        <v>46079</v>
      </c>
      <c r="B71" s="131" t="s">
        <v>340</v>
      </c>
      <c r="C71" s="218" t="s">
        <v>188</v>
      </c>
      <c r="D71" s="548">
        <v>1000</v>
      </c>
      <c r="E71" s="124" t="s">
        <v>252</v>
      </c>
      <c r="F71" s="297">
        <f>SUM(D32:D71)</f>
        <v>44764.380000000005</v>
      </c>
    </row>
    <row r="72" spans="1:6">
      <c r="A72" s="214">
        <v>46083</v>
      </c>
      <c r="B72" s="128" t="s">
        <v>341</v>
      </c>
      <c r="C72" s="133" t="s">
        <v>206</v>
      </c>
      <c r="D72" s="546">
        <v>109.79</v>
      </c>
      <c r="E72" s="124" t="s">
        <v>278</v>
      </c>
    </row>
    <row r="73" spans="1:6">
      <c r="A73" s="214">
        <v>46083</v>
      </c>
      <c r="B73" s="215" t="s">
        <v>302</v>
      </c>
      <c r="C73" s="215" t="s">
        <v>342</v>
      </c>
      <c r="D73" s="548">
        <v>2724.27</v>
      </c>
      <c r="E73" s="124" t="s">
        <v>278</v>
      </c>
    </row>
    <row r="74" spans="1:6">
      <c r="A74" s="214">
        <v>46087</v>
      </c>
      <c r="B74" s="127" t="s">
        <v>326</v>
      </c>
      <c r="C74" s="133" t="s">
        <v>188</v>
      </c>
      <c r="D74" s="549">
        <v>1282.8</v>
      </c>
      <c r="E74" s="124" t="s">
        <v>278</v>
      </c>
    </row>
    <row r="75" spans="1:6">
      <c r="A75" s="214">
        <v>46087</v>
      </c>
      <c r="B75" s="127" t="s">
        <v>328</v>
      </c>
      <c r="C75" s="133" t="s">
        <v>188</v>
      </c>
      <c r="D75" s="549">
        <v>1516</v>
      </c>
      <c r="E75" s="124" t="s">
        <v>278</v>
      </c>
    </row>
    <row r="76" spans="1:6">
      <c r="A76" s="214">
        <v>46087</v>
      </c>
      <c r="B76" s="131" t="s">
        <v>343</v>
      </c>
      <c r="C76" s="133" t="s">
        <v>307</v>
      </c>
      <c r="D76" s="548">
        <v>1121.25</v>
      </c>
      <c r="E76" s="124" t="s">
        <v>278</v>
      </c>
    </row>
    <row r="77" spans="1:6">
      <c r="A77" s="214">
        <v>46087</v>
      </c>
      <c r="B77" s="131" t="s">
        <v>305</v>
      </c>
      <c r="C77" s="133" t="s">
        <v>175</v>
      </c>
      <c r="D77" s="548">
        <v>1.81</v>
      </c>
      <c r="E77" s="124" t="s">
        <v>278</v>
      </c>
    </row>
    <row r="78" spans="1:6">
      <c r="A78" s="214">
        <v>46091</v>
      </c>
      <c r="B78" s="127" t="s">
        <v>306</v>
      </c>
      <c r="C78" s="133" t="s">
        <v>307</v>
      </c>
      <c r="D78" s="549">
        <v>1266.67</v>
      </c>
      <c r="E78" s="124" t="s">
        <v>278</v>
      </c>
    </row>
    <row r="79" spans="1:6">
      <c r="A79" s="214">
        <v>46091</v>
      </c>
      <c r="B79" s="216" t="s">
        <v>331</v>
      </c>
      <c r="C79" s="133" t="s">
        <v>307</v>
      </c>
      <c r="D79" s="549">
        <v>655</v>
      </c>
      <c r="E79" s="124" t="s">
        <v>278</v>
      </c>
    </row>
    <row r="80" spans="1:6">
      <c r="A80" s="214">
        <v>46092</v>
      </c>
      <c r="B80" s="216" t="s">
        <v>305</v>
      </c>
      <c r="C80" s="133" t="s">
        <v>175</v>
      </c>
      <c r="D80" s="549">
        <v>3.62</v>
      </c>
      <c r="E80" s="124" t="s">
        <v>278</v>
      </c>
    </row>
    <row r="81" spans="1:5">
      <c r="A81" s="214">
        <v>46093</v>
      </c>
      <c r="B81" s="216" t="s">
        <v>305</v>
      </c>
      <c r="C81" s="133" t="s">
        <v>175</v>
      </c>
      <c r="D81" s="549">
        <v>3.62</v>
      </c>
      <c r="E81" s="124" t="s">
        <v>278</v>
      </c>
    </row>
    <row r="82" spans="1:5">
      <c r="A82" s="214">
        <v>46094</v>
      </c>
      <c r="B82" s="128" t="s">
        <v>344</v>
      </c>
      <c r="C82" s="133" t="s">
        <v>187</v>
      </c>
      <c r="D82" s="546">
        <v>3621.21</v>
      </c>
      <c r="E82" s="124" t="s">
        <v>278</v>
      </c>
    </row>
    <row r="83" spans="1:5">
      <c r="A83" s="214">
        <v>46097</v>
      </c>
      <c r="B83" s="216" t="s">
        <v>318</v>
      </c>
      <c r="C83" s="133" t="s">
        <v>307</v>
      </c>
      <c r="D83" s="549">
        <v>612</v>
      </c>
      <c r="E83" s="124" t="s">
        <v>278</v>
      </c>
    </row>
    <row r="84" spans="1:5">
      <c r="A84" s="214">
        <v>46097</v>
      </c>
      <c r="B84" s="216" t="s">
        <v>345</v>
      </c>
      <c r="C84" s="215" t="s">
        <v>196</v>
      </c>
      <c r="D84" s="549">
        <v>3800</v>
      </c>
      <c r="E84" s="124" t="s">
        <v>278</v>
      </c>
    </row>
    <row r="85" spans="1:5">
      <c r="A85" s="214">
        <v>46098</v>
      </c>
      <c r="B85" s="216" t="s">
        <v>331</v>
      </c>
      <c r="C85" s="215" t="s">
        <v>307</v>
      </c>
      <c r="D85" s="549">
        <v>655</v>
      </c>
      <c r="E85" s="124" t="s">
        <v>278</v>
      </c>
    </row>
    <row r="86" spans="1:5">
      <c r="A86" s="214">
        <v>46098</v>
      </c>
      <c r="B86" s="128" t="s">
        <v>305</v>
      </c>
      <c r="C86" s="133" t="s">
        <v>175</v>
      </c>
      <c r="D86" s="546">
        <v>1.81</v>
      </c>
      <c r="E86" s="124" t="s">
        <v>278</v>
      </c>
    </row>
    <row r="87" spans="1:5" ht="30">
      <c r="A87" s="214">
        <v>46099</v>
      </c>
      <c r="B87" s="216" t="s">
        <v>346</v>
      </c>
      <c r="C87" s="215" t="s">
        <v>196</v>
      </c>
      <c r="D87" s="549">
        <v>112.82</v>
      </c>
      <c r="E87" s="124" t="s">
        <v>278</v>
      </c>
    </row>
    <row r="88" spans="1:5">
      <c r="A88" s="214">
        <v>46099</v>
      </c>
      <c r="B88" s="216" t="s">
        <v>305</v>
      </c>
      <c r="C88" s="215" t="s">
        <v>175</v>
      </c>
      <c r="D88" s="549">
        <v>1.81</v>
      </c>
      <c r="E88" s="124" t="s">
        <v>278</v>
      </c>
    </row>
    <row r="89" spans="1:5">
      <c r="A89" s="214">
        <v>46101</v>
      </c>
      <c r="B89" s="217" t="s">
        <v>347</v>
      </c>
      <c r="C89" s="218" t="s">
        <v>313</v>
      </c>
      <c r="D89" s="549">
        <v>2439.37</v>
      </c>
      <c r="E89" s="124" t="s">
        <v>278</v>
      </c>
    </row>
    <row r="90" spans="1:5">
      <c r="A90" s="214">
        <v>46101</v>
      </c>
      <c r="B90" s="218" t="s">
        <v>348</v>
      </c>
      <c r="C90" s="218" t="s">
        <v>188</v>
      </c>
      <c r="D90" s="549">
        <v>855.2</v>
      </c>
      <c r="E90" s="124" t="s">
        <v>278</v>
      </c>
    </row>
    <row r="91" spans="1:5">
      <c r="A91" s="214">
        <v>46101</v>
      </c>
      <c r="B91" s="217" t="s">
        <v>349</v>
      </c>
      <c r="C91" s="218" t="s">
        <v>178</v>
      </c>
      <c r="D91" s="549">
        <v>2669.3</v>
      </c>
      <c r="E91" s="124" t="s">
        <v>278</v>
      </c>
    </row>
    <row r="92" spans="1:5">
      <c r="A92" s="214">
        <v>46104</v>
      </c>
      <c r="B92" s="127" t="s">
        <v>349</v>
      </c>
      <c r="C92" s="218" t="s">
        <v>178</v>
      </c>
      <c r="D92" s="549">
        <v>2500</v>
      </c>
      <c r="E92" s="124" t="s">
        <v>278</v>
      </c>
    </row>
    <row r="93" spans="1:5">
      <c r="A93" s="214">
        <v>46104</v>
      </c>
      <c r="B93" s="127" t="s">
        <v>305</v>
      </c>
      <c r="C93" s="218" t="s">
        <v>175</v>
      </c>
      <c r="D93" s="549">
        <v>3.62</v>
      </c>
      <c r="E93" s="124" t="s">
        <v>278</v>
      </c>
    </row>
    <row r="94" spans="1:5">
      <c r="A94" s="214">
        <v>46105</v>
      </c>
      <c r="B94" s="127" t="s">
        <v>305</v>
      </c>
      <c r="C94" s="218" t="s">
        <v>175</v>
      </c>
      <c r="D94" s="549">
        <v>3.62</v>
      </c>
      <c r="E94" s="124" t="s">
        <v>278</v>
      </c>
    </row>
    <row r="95" spans="1:5">
      <c r="A95" s="214">
        <v>46106</v>
      </c>
      <c r="B95" s="127" t="s">
        <v>306</v>
      </c>
      <c r="C95" s="218" t="s">
        <v>307</v>
      </c>
      <c r="D95" s="549">
        <v>1266.67</v>
      </c>
      <c r="E95" s="124" t="s">
        <v>278</v>
      </c>
    </row>
    <row r="96" spans="1:5">
      <c r="A96" s="214">
        <v>46106</v>
      </c>
      <c r="B96" s="131" t="s">
        <v>350</v>
      </c>
      <c r="C96" s="218" t="s">
        <v>192</v>
      </c>
      <c r="D96" s="548">
        <v>7571.95</v>
      </c>
      <c r="E96" s="124" t="s">
        <v>278</v>
      </c>
    </row>
    <row r="97" spans="1:6">
      <c r="A97" s="214">
        <v>46106</v>
      </c>
      <c r="B97" s="131" t="s">
        <v>351</v>
      </c>
      <c r="C97" s="218" t="s">
        <v>192</v>
      </c>
      <c r="D97" s="548">
        <v>209.9</v>
      </c>
      <c r="E97" s="124" t="s">
        <v>278</v>
      </c>
    </row>
    <row r="98" spans="1:6">
      <c r="A98" s="214">
        <v>46106</v>
      </c>
      <c r="B98" s="131" t="s">
        <v>305</v>
      </c>
      <c r="C98" s="218" t="s">
        <v>175</v>
      </c>
      <c r="D98" s="548">
        <v>1.81</v>
      </c>
      <c r="E98" s="124" t="s">
        <v>278</v>
      </c>
    </row>
    <row r="99" spans="1:6">
      <c r="A99" s="214">
        <v>46107</v>
      </c>
      <c r="B99" s="127" t="s">
        <v>352</v>
      </c>
      <c r="C99" s="218" t="s">
        <v>307</v>
      </c>
      <c r="D99" s="549">
        <v>210</v>
      </c>
      <c r="E99" s="124" t="s">
        <v>278</v>
      </c>
    </row>
    <row r="100" spans="1:6">
      <c r="A100" s="214">
        <v>46111</v>
      </c>
      <c r="B100" s="128" t="s">
        <v>305</v>
      </c>
      <c r="C100" s="133" t="s">
        <v>175</v>
      </c>
      <c r="D100" s="546">
        <v>1.81</v>
      </c>
      <c r="E100" s="124" t="s">
        <v>278</v>
      </c>
    </row>
    <row r="101" spans="1:6">
      <c r="A101" s="214">
        <v>46112</v>
      </c>
      <c r="B101" s="128" t="s">
        <v>305</v>
      </c>
      <c r="C101" s="133" t="s">
        <v>175</v>
      </c>
      <c r="D101" s="546">
        <v>3.62</v>
      </c>
      <c r="E101" s="124" t="s">
        <v>278</v>
      </c>
      <c r="F101" s="297">
        <f>SUM(D72:D101)</f>
        <v>35226.35</v>
      </c>
    </row>
    <row r="102" spans="1:6">
      <c r="A102" s="75">
        <v>46113</v>
      </c>
      <c r="B102" s="81" t="s">
        <v>338</v>
      </c>
      <c r="C102" s="77" t="s">
        <v>210</v>
      </c>
      <c r="D102" s="82">
        <v>1380</v>
      </c>
      <c r="E102" s="242" t="s">
        <v>288</v>
      </c>
    </row>
    <row r="103" spans="1:6">
      <c r="A103" s="75">
        <v>46114</v>
      </c>
      <c r="B103" s="76" t="s">
        <v>341</v>
      </c>
      <c r="C103" s="77" t="s">
        <v>206</v>
      </c>
      <c r="D103" s="78">
        <v>109.79</v>
      </c>
      <c r="E103" s="242" t="s">
        <v>288</v>
      </c>
    </row>
    <row r="104" spans="1:6">
      <c r="A104" s="75">
        <v>46114</v>
      </c>
      <c r="B104" s="79" t="s">
        <v>302</v>
      </c>
      <c r="C104" s="79" t="s">
        <v>342</v>
      </c>
      <c r="D104" s="80">
        <v>3019.29</v>
      </c>
      <c r="E104" s="242" t="s">
        <v>288</v>
      </c>
    </row>
    <row r="105" spans="1:6">
      <c r="A105" s="75">
        <v>46114</v>
      </c>
      <c r="B105" s="76" t="s">
        <v>340</v>
      </c>
      <c r="C105" s="77" t="s">
        <v>188</v>
      </c>
      <c r="D105" s="78">
        <v>1000</v>
      </c>
      <c r="E105" s="242" t="s">
        <v>288</v>
      </c>
    </row>
    <row r="106" spans="1:6">
      <c r="A106" s="75">
        <v>46114</v>
      </c>
      <c r="B106" s="76" t="s">
        <v>353</v>
      </c>
      <c r="C106" s="77" t="s">
        <v>188</v>
      </c>
      <c r="D106" s="78">
        <v>520.13</v>
      </c>
      <c r="E106" s="242" t="s">
        <v>288</v>
      </c>
    </row>
    <row r="107" spans="1:6">
      <c r="A107" s="75">
        <v>46114</v>
      </c>
      <c r="B107" s="83" t="s">
        <v>339</v>
      </c>
      <c r="C107" s="77" t="s">
        <v>313</v>
      </c>
      <c r="D107" s="80">
        <v>3724.03</v>
      </c>
      <c r="E107" s="242" t="s">
        <v>288</v>
      </c>
    </row>
    <row r="108" spans="1:6">
      <c r="A108" s="75">
        <v>46118</v>
      </c>
      <c r="B108" s="76" t="s">
        <v>305</v>
      </c>
      <c r="C108" s="77" t="s">
        <v>175</v>
      </c>
      <c r="D108" s="78">
        <v>1.81</v>
      </c>
      <c r="E108" s="242" t="s">
        <v>288</v>
      </c>
    </row>
    <row r="109" spans="1:6">
      <c r="A109" s="75">
        <v>46119</v>
      </c>
      <c r="B109" s="81" t="s">
        <v>354</v>
      </c>
      <c r="C109" s="77" t="s">
        <v>188</v>
      </c>
      <c r="D109" s="82">
        <v>1782.34</v>
      </c>
      <c r="E109" s="242" t="s">
        <v>288</v>
      </c>
    </row>
    <row r="110" spans="1:6">
      <c r="A110" s="75">
        <v>46119</v>
      </c>
      <c r="B110" s="76" t="s">
        <v>355</v>
      </c>
      <c r="C110" s="77" t="s">
        <v>188</v>
      </c>
      <c r="D110" s="78">
        <v>1851.25</v>
      </c>
      <c r="E110" s="242" t="s">
        <v>288</v>
      </c>
    </row>
    <row r="111" spans="1:6">
      <c r="A111" s="75">
        <v>46119</v>
      </c>
      <c r="B111" s="84" t="s">
        <v>305</v>
      </c>
      <c r="C111" s="79" t="s">
        <v>175</v>
      </c>
      <c r="D111" s="82">
        <v>1.81</v>
      </c>
      <c r="E111" s="242" t="s">
        <v>288</v>
      </c>
    </row>
    <row r="112" spans="1:6">
      <c r="A112" s="75">
        <v>46120</v>
      </c>
      <c r="B112" s="84" t="s">
        <v>305</v>
      </c>
      <c r="C112" s="79" t="s">
        <v>175</v>
      </c>
      <c r="D112" s="82">
        <v>1.81</v>
      </c>
      <c r="E112" s="242" t="s">
        <v>288</v>
      </c>
    </row>
    <row r="113" spans="1:5">
      <c r="A113" s="75">
        <v>46122</v>
      </c>
      <c r="B113" s="84" t="s">
        <v>306</v>
      </c>
      <c r="C113" s="79" t="s">
        <v>307</v>
      </c>
      <c r="D113" s="82">
        <v>1292.42</v>
      </c>
      <c r="E113" s="242" t="s">
        <v>288</v>
      </c>
    </row>
    <row r="114" spans="1:5">
      <c r="A114" s="75">
        <v>46125</v>
      </c>
      <c r="B114" s="84" t="s">
        <v>302</v>
      </c>
      <c r="C114" s="79" t="s">
        <v>342</v>
      </c>
      <c r="D114" s="82">
        <v>3660.84</v>
      </c>
      <c r="E114" s="242" t="s">
        <v>288</v>
      </c>
    </row>
    <row r="115" spans="1:5">
      <c r="A115" s="75">
        <v>46125</v>
      </c>
      <c r="B115" s="85" t="s">
        <v>305</v>
      </c>
      <c r="C115" s="86" t="s">
        <v>175</v>
      </c>
      <c r="D115" s="82">
        <v>1.81</v>
      </c>
      <c r="E115" s="242" t="s">
        <v>288</v>
      </c>
    </row>
    <row r="116" spans="1:5">
      <c r="A116" s="75">
        <v>46126</v>
      </c>
      <c r="B116" s="85" t="s">
        <v>305</v>
      </c>
      <c r="C116" s="86" t="s">
        <v>175</v>
      </c>
      <c r="D116" s="82">
        <v>1.81</v>
      </c>
      <c r="E116" s="242" t="s">
        <v>288</v>
      </c>
    </row>
    <row r="117" spans="1:5">
      <c r="A117" s="75">
        <v>46127</v>
      </c>
      <c r="B117" s="85" t="s">
        <v>337</v>
      </c>
      <c r="C117" s="86" t="s">
        <v>192</v>
      </c>
      <c r="D117" s="82">
        <v>612</v>
      </c>
      <c r="E117" s="242" t="s">
        <v>288</v>
      </c>
    </row>
    <row r="118" spans="1:5">
      <c r="A118" s="75">
        <v>46127</v>
      </c>
      <c r="B118" s="81" t="s">
        <v>338</v>
      </c>
      <c r="C118" s="86" t="s">
        <v>210</v>
      </c>
      <c r="D118" s="82">
        <v>1060</v>
      </c>
      <c r="E118" s="242" t="s">
        <v>288</v>
      </c>
    </row>
    <row r="119" spans="1:5">
      <c r="A119" s="75">
        <v>46128</v>
      </c>
      <c r="B119" s="81" t="s">
        <v>305</v>
      </c>
      <c r="C119" s="86" t="s">
        <v>175</v>
      </c>
      <c r="D119" s="82">
        <v>1.81</v>
      </c>
      <c r="E119" s="242" t="s">
        <v>288</v>
      </c>
    </row>
    <row r="120" spans="1:5">
      <c r="A120" s="75">
        <v>46132</v>
      </c>
      <c r="B120" s="81" t="s">
        <v>331</v>
      </c>
      <c r="C120" s="86" t="s">
        <v>307</v>
      </c>
      <c r="D120" s="82">
        <v>1310</v>
      </c>
      <c r="E120" s="242" t="s">
        <v>288</v>
      </c>
    </row>
    <row r="121" spans="1:5">
      <c r="A121" s="75">
        <v>46132</v>
      </c>
      <c r="B121" s="81" t="s">
        <v>306</v>
      </c>
      <c r="C121" s="86" t="s">
        <v>307</v>
      </c>
      <c r="D121" s="82">
        <v>1900</v>
      </c>
      <c r="E121" s="242" t="s">
        <v>288</v>
      </c>
    </row>
    <row r="122" spans="1:5">
      <c r="A122" s="75">
        <v>46132</v>
      </c>
      <c r="B122" s="81" t="s">
        <v>320</v>
      </c>
      <c r="C122" s="86" t="s">
        <v>313</v>
      </c>
      <c r="D122" s="82">
        <v>2985.97</v>
      </c>
      <c r="E122" s="242" t="s">
        <v>288</v>
      </c>
    </row>
    <row r="123" spans="1:5">
      <c r="A123" s="75">
        <v>46132</v>
      </c>
      <c r="B123" s="83" t="s">
        <v>354</v>
      </c>
      <c r="C123" s="86" t="s">
        <v>188</v>
      </c>
      <c r="D123" s="80">
        <v>855.2</v>
      </c>
      <c r="E123" s="242" t="s">
        <v>288</v>
      </c>
    </row>
    <row r="124" spans="1:5">
      <c r="A124" s="75">
        <v>46132</v>
      </c>
      <c r="B124" s="83" t="s">
        <v>356</v>
      </c>
      <c r="C124" s="86" t="s">
        <v>188</v>
      </c>
      <c r="D124" s="80">
        <v>855.2</v>
      </c>
      <c r="E124" s="242" t="s">
        <v>288</v>
      </c>
    </row>
    <row r="125" spans="1:5">
      <c r="A125" s="75">
        <v>46132</v>
      </c>
      <c r="B125" s="83" t="s">
        <v>357</v>
      </c>
      <c r="C125" s="86" t="s">
        <v>192</v>
      </c>
      <c r="D125" s="80">
        <v>112.82</v>
      </c>
      <c r="E125" s="242" t="s">
        <v>288</v>
      </c>
    </row>
    <row r="126" spans="1:5">
      <c r="A126" s="75">
        <v>46132</v>
      </c>
      <c r="B126" s="81" t="s">
        <v>323</v>
      </c>
      <c r="C126" s="86" t="s">
        <v>178</v>
      </c>
      <c r="D126" s="82">
        <v>4835.71</v>
      </c>
      <c r="E126" s="242" t="s">
        <v>288</v>
      </c>
    </row>
    <row r="127" spans="1:5">
      <c r="A127" s="75">
        <v>46132</v>
      </c>
      <c r="B127" s="76" t="s">
        <v>358</v>
      </c>
      <c r="C127" s="77" t="s">
        <v>209</v>
      </c>
      <c r="D127" s="78">
        <v>850</v>
      </c>
      <c r="E127" s="242" t="s">
        <v>288</v>
      </c>
    </row>
    <row r="128" spans="1:5">
      <c r="A128" s="75">
        <v>46132</v>
      </c>
      <c r="B128" s="76" t="s">
        <v>305</v>
      </c>
      <c r="C128" s="77" t="s">
        <v>175</v>
      </c>
      <c r="D128" s="78">
        <v>1.81</v>
      </c>
      <c r="E128" s="242" t="s">
        <v>288</v>
      </c>
    </row>
    <row r="129" spans="1:6">
      <c r="A129" s="75">
        <v>46134</v>
      </c>
      <c r="B129" s="81" t="s">
        <v>305</v>
      </c>
      <c r="C129" s="86" t="s">
        <v>175</v>
      </c>
      <c r="D129" s="82">
        <v>1.81</v>
      </c>
      <c r="E129" s="242" t="s">
        <v>288</v>
      </c>
    </row>
    <row r="130" spans="1:6">
      <c r="A130" s="75">
        <v>46135</v>
      </c>
      <c r="B130" s="83" t="s">
        <v>319</v>
      </c>
      <c r="C130" s="86" t="s">
        <v>209</v>
      </c>
      <c r="D130" s="80">
        <v>1500</v>
      </c>
      <c r="E130" s="242" t="s">
        <v>288</v>
      </c>
    </row>
    <row r="131" spans="1:6">
      <c r="A131" s="75">
        <v>46136</v>
      </c>
      <c r="B131" s="81" t="s">
        <v>306</v>
      </c>
      <c r="C131" s="86" t="s">
        <v>307</v>
      </c>
      <c r="D131" s="82">
        <v>1266.67</v>
      </c>
      <c r="E131" s="242" t="s">
        <v>288</v>
      </c>
    </row>
    <row r="132" spans="1:6">
      <c r="A132" s="75">
        <v>46136</v>
      </c>
      <c r="B132" s="83" t="s">
        <v>359</v>
      </c>
      <c r="C132" s="86" t="s">
        <v>203</v>
      </c>
      <c r="D132" s="80">
        <v>31000</v>
      </c>
      <c r="E132" s="242" t="s">
        <v>288</v>
      </c>
    </row>
    <row r="133" spans="1:6">
      <c r="A133" s="75">
        <v>46139</v>
      </c>
      <c r="B133" s="83" t="s">
        <v>323</v>
      </c>
      <c r="C133" s="86" t="s">
        <v>178</v>
      </c>
      <c r="D133" s="80">
        <v>9979.2800000000007</v>
      </c>
      <c r="E133" s="242" t="s">
        <v>288</v>
      </c>
    </row>
    <row r="134" spans="1:6">
      <c r="A134" s="75">
        <v>46139</v>
      </c>
      <c r="B134" s="81" t="s">
        <v>323</v>
      </c>
      <c r="C134" s="86" t="s">
        <v>178</v>
      </c>
      <c r="D134" s="82">
        <v>3500</v>
      </c>
      <c r="E134" s="242" t="s">
        <v>288</v>
      </c>
    </row>
    <row r="135" spans="1:6">
      <c r="A135" s="75">
        <v>46139</v>
      </c>
      <c r="B135" s="81" t="s">
        <v>305</v>
      </c>
      <c r="C135" s="86" t="s">
        <v>175</v>
      </c>
      <c r="D135" s="82">
        <v>3.62</v>
      </c>
      <c r="E135" s="242" t="s">
        <v>288</v>
      </c>
    </row>
    <row r="136" spans="1:6">
      <c r="A136" s="75">
        <v>46140</v>
      </c>
      <c r="B136" s="84" t="s">
        <v>194</v>
      </c>
      <c r="C136" s="79" t="s">
        <v>194</v>
      </c>
      <c r="D136" s="82">
        <v>25000</v>
      </c>
      <c r="E136" s="242" t="s">
        <v>288</v>
      </c>
    </row>
    <row r="137" spans="1:6">
      <c r="A137" s="75">
        <v>46140</v>
      </c>
      <c r="B137" s="81" t="s">
        <v>305</v>
      </c>
      <c r="C137" s="86" t="s">
        <v>175</v>
      </c>
      <c r="D137" s="82">
        <v>3.62</v>
      </c>
      <c r="E137" s="242" t="s">
        <v>288</v>
      </c>
    </row>
    <row r="138" spans="1:6">
      <c r="A138" s="75">
        <v>46141</v>
      </c>
      <c r="B138" s="81" t="s">
        <v>305</v>
      </c>
      <c r="C138" s="86" t="s">
        <v>175</v>
      </c>
      <c r="D138" s="82">
        <v>1.81</v>
      </c>
      <c r="E138" s="242" t="s">
        <v>288</v>
      </c>
    </row>
    <row r="139" spans="1:6">
      <c r="A139" s="75">
        <v>46142</v>
      </c>
      <c r="B139" s="81" t="s">
        <v>339</v>
      </c>
      <c r="C139" s="86" t="s">
        <v>211</v>
      </c>
      <c r="D139" s="82">
        <v>801.6</v>
      </c>
      <c r="E139" s="242" t="s">
        <v>288</v>
      </c>
    </row>
    <row r="140" spans="1:6">
      <c r="A140" s="75">
        <v>46142</v>
      </c>
      <c r="B140" s="83" t="s">
        <v>360</v>
      </c>
      <c r="C140" s="86" t="s">
        <v>210</v>
      </c>
      <c r="D140" s="80">
        <v>1100</v>
      </c>
      <c r="E140" s="242" t="s">
        <v>288</v>
      </c>
    </row>
    <row r="141" spans="1:6">
      <c r="A141" s="75">
        <v>46142</v>
      </c>
      <c r="B141" s="81" t="s">
        <v>329</v>
      </c>
      <c r="C141" s="86" t="s">
        <v>210</v>
      </c>
      <c r="D141" s="82">
        <v>100</v>
      </c>
      <c r="E141" s="242" t="s">
        <v>288</v>
      </c>
    </row>
    <row r="142" spans="1:6">
      <c r="A142" s="75">
        <v>46142</v>
      </c>
      <c r="B142" s="81" t="s">
        <v>361</v>
      </c>
      <c r="C142" s="86" t="s">
        <v>179</v>
      </c>
      <c r="D142" s="80">
        <v>47.71</v>
      </c>
      <c r="E142" s="242" t="s">
        <v>288</v>
      </c>
      <c r="F142" s="257">
        <f>SUM(D102:D142)</f>
        <v>108035.78</v>
      </c>
    </row>
    <row r="143" spans="1:6">
      <c r="A143" s="214">
        <v>46146</v>
      </c>
      <c r="B143" s="127" t="s">
        <v>306</v>
      </c>
      <c r="C143" s="133" t="s">
        <v>307</v>
      </c>
      <c r="D143" s="549">
        <v>1900</v>
      </c>
      <c r="E143" s="128" t="s">
        <v>1617</v>
      </c>
    </row>
    <row r="144" spans="1:6">
      <c r="A144" s="214">
        <v>46146</v>
      </c>
      <c r="B144" s="128" t="s">
        <v>331</v>
      </c>
      <c r="C144" s="133" t="s">
        <v>307</v>
      </c>
      <c r="D144" s="546">
        <v>1310</v>
      </c>
      <c r="E144" s="128" t="s">
        <v>1617</v>
      </c>
    </row>
    <row r="145" spans="1:13">
      <c r="A145" s="214">
        <v>46146</v>
      </c>
      <c r="B145" s="215" t="s">
        <v>302</v>
      </c>
      <c r="C145" s="215" t="s">
        <v>342</v>
      </c>
      <c r="D145" s="548">
        <v>3117.76</v>
      </c>
      <c r="E145" s="128" t="s">
        <v>1617</v>
      </c>
    </row>
    <row r="146" spans="1:13">
      <c r="A146" s="214">
        <v>46146</v>
      </c>
      <c r="B146" s="128" t="s">
        <v>341</v>
      </c>
      <c r="C146" s="133" t="s">
        <v>206</v>
      </c>
      <c r="D146" s="546">
        <v>109.79</v>
      </c>
      <c r="E146" s="128" t="s">
        <v>1617</v>
      </c>
      <c r="M146" s="77" t="s">
        <v>175</v>
      </c>
    </row>
    <row r="147" spans="1:13">
      <c r="A147" s="214">
        <v>46146</v>
      </c>
      <c r="B147" s="131" t="s">
        <v>305</v>
      </c>
      <c r="C147" s="133" t="s">
        <v>175</v>
      </c>
      <c r="D147" s="548">
        <v>3.62</v>
      </c>
      <c r="E147" s="128" t="s">
        <v>1617</v>
      </c>
      <c r="M147" s="79" t="s">
        <v>177</v>
      </c>
    </row>
    <row r="148" spans="1:13">
      <c r="A148" s="214">
        <v>46146</v>
      </c>
      <c r="B148" s="128" t="s">
        <v>319</v>
      </c>
      <c r="C148" s="133" t="s">
        <v>209</v>
      </c>
      <c r="D148" s="546">
        <v>1000</v>
      </c>
      <c r="E148" s="128" t="s">
        <v>1617</v>
      </c>
      <c r="M148" s="218" t="s">
        <v>178</v>
      </c>
    </row>
    <row r="149" spans="1:13">
      <c r="A149" s="214">
        <v>46147</v>
      </c>
      <c r="B149" s="128" t="s">
        <v>1618</v>
      </c>
      <c r="C149" s="133" t="s">
        <v>175</v>
      </c>
      <c r="D149" s="546">
        <v>107.13</v>
      </c>
      <c r="E149" s="128" t="s">
        <v>1617</v>
      </c>
      <c r="M149" s="86" t="s">
        <v>179</v>
      </c>
    </row>
    <row r="150" spans="1:13">
      <c r="A150" s="214">
        <v>46148</v>
      </c>
      <c r="B150" s="128" t="s">
        <v>305</v>
      </c>
      <c r="C150" s="133" t="s">
        <v>175</v>
      </c>
      <c r="D150" s="546">
        <v>1.81</v>
      </c>
      <c r="E150" s="128" t="s">
        <v>1617</v>
      </c>
      <c r="M150" s="79" t="s">
        <v>303</v>
      </c>
    </row>
    <row r="151" spans="1:13">
      <c r="A151" s="214">
        <v>46149</v>
      </c>
      <c r="B151" s="128" t="s">
        <v>354</v>
      </c>
      <c r="C151" s="133" t="s">
        <v>188</v>
      </c>
      <c r="D151" s="546">
        <v>1494.8</v>
      </c>
      <c r="E151" s="128" t="s">
        <v>1617</v>
      </c>
      <c r="M151" s="133" t="s">
        <v>187</v>
      </c>
    </row>
    <row r="152" spans="1:13">
      <c r="A152" s="214">
        <v>46149</v>
      </c>
      <c r="B152" s="216" t="s">
        <v>356</v>
      </c>
      <c r="C152" s="133" t="s">
        <v>188</v>
      </c>
      <c r="D152" s="549">
        <v>1494.8</v>
      </c>
      <c r="E152" s="128" t="s">
        <v>1617</v>
      </c>
      <c r="M152" s="79" t="s">
        <v>307</v>
      </c>
    </row>
    <row r="153" spans="1:13">
      <c r="A153" s="214">
        <v>46149</v>
      </c>
      <c r="B153" s="216" t="s">
        <v>1619</v>
      </c>
      <c r="C153" s="133" t="s">
        <v>188</v>
      </c>
      <c r="D153" s="549">
        <v>2502.96</v>
      </c>
      <c r="E153" s="128" t="s">
        <v>1617</v>
      </c>
      <c r="M153" s="79" t="s">
        <v>188</v>
      </c>
    </row>
    <row r="154" spans="1:13">
      <c r="A154" s="214">
        <v>46149</v>
      </c>
      <c r="B154" s="216" t="s">
        <v>340</v>
      </c>
      <c r="C154" s="133" t="s">
        <v>188</v>
      </c>
      <c r="D154" s="549">
        <v>1000</v>
      </c>
      <c r="E154" s="128" t="s">
        <v>1617</v>
      </c>
      <c r="M154" s="86" t="s">
        <v>192</v>
      </c>
    </row>
    <row r="155" spans="1:13">
      <c r="A155" s="214">
        <v>46149</v>
      </c>
      <c r="B155" s="128" t="s">
        <v>305</v>
      </c>
      <c r="C155" s="133" t="s">
        <v>175</v>
      </c>
      <c r="D155" s="546">
        <v>1.81</v>
      </c>
      <c r="E155" s="128" t="s">
        <v>1617</v>
      </c>
      <c r="M155" s="79" t="s">
        <v>194</v>
      </c>
    </row>
    <row r="156" spans="1:13">
      <c r="A156" s="214">
        <v>46150</v>
      </c>
      <c r="B156" s="217" t="s">
        <v>1620</v>
      </c>
      <c r="C156" s="218" t="s">
        <v>188</v>
      </c>
      <c r="D156" s="549">
        <v>1300</v>
      </c>
      <c r="E156" s="128" t="s">
        <v>1617</v>
      </c>
      <c r="M156" s="86" t="s">
        <v>313</v>
      </c>
    </row>
    <row r="157" spans="1:13">
      <c r="A157" s="214">
        <v>46153</v>
      </c>
      <c r="B157" s="127" t="s">
        <v>305</v>
      </c>
      <c r="C157" s="218" t="s">
        <v>175</v>
      </c>
      <c r="D157" s="549">
        <v>1.81</v>
      </c>
      <c r="E157" s="128" t="s">
        <v>1617</v>
      </c>
      <c r="M157" s="86" t="s">
        <v>196</v>
      </c>
    </row>
    <row r="158" spans="1:13">
      <c r="A158" s="214">
        <v>46154</v>
      </c>
      <c r="B158" s="127" t="s">
        <v>359</v>
      </c>
      <c r="C158" s="218" t="s">
        <v>203</v>
      </c>
      <c r="D158" s="549">
        <v>4855</v>
      </c>
      <c r="E158" s="128" t="s">
        <v>1617</v>
      </c>
      <c r="M158" s="133" t="s">
        <v>197</v>
      </c>
    </row>
    <row r="159" spans="1:13">
      <c r="A159" s="214">
        <v>46154</v>
      </c>
      <c r="B159" s="127" t="s">
        <v>1621</v>
      </c>
      <c r="C159" s="218" t="s">
        <v>179</v>
      </c>
      <c r="D159" s="549">
        <v>180</v>
      </c>
      <c r="E159" s="128" t="s">
        <v>1617</v>
      </c>
      <c r="M159" s="86" t="s">
        <v>203</v>
      </c>
    </row>
    <row r="160" spans="1:13">
      <c r="A160" s="214">
        <v>46155</v>
      </c>
      <c r="B160" s="127" t="s">
        <v>1622</v>
      </c>
      <c r="C160" s="218" t="s">
        <v>187</v>
      </c>
      <c r="D160" s="549">
        <v>3700.52</v>
      </c>
      <c r="E160" s="128" t="s">
        <v>1617</v>
      </c>
      <c r="M160" s="79" t="s">
        <v>201</v>
      </c>
    </row>
    <row r="161" spans="1:13">
      <c r="A161" s="214">
        <v>46155</v>
      </c>
      <c r="B161" s="128" t="s">
        <v>1623</v>
      </c>
      <c r="C161" s="133" t="s">
        <v>194</v>
      </c>
      <c r="D161" s="546">
        <v>3200</v>
      </c>
      <c r="E161" s="128" t="s">
        <v>1617</v>
      </c>
      <c r="M161" s="77" t="s">
        <v>206</v>
      </c>
    </row>
    <row r="162" spans="1:13">
      <c r="A162" s="214">
        <v>46156</v>
      </c>
      <c r="B162" s="131" t="s">
        <v>305</v>
      </c>
      <c r="C162" s="218" t="s">
        <v>175</v>
      </c>
      <c r="D162" s="548">
        <v>1.81</v>
      </c>
      <c r="E162" s="128" t="s">
        <v>1617</v>
      </c>
      <c r="M162" s="86" t="s">
        <v>209</v>
      </c>
    </row>
    <row r="163" spans="1:13">
      <c r="A163" s="214">
        <v>46157</v>
      </c>
      <c r="B163" s="127" t="s">
        <v>337</v>
      </c>
      <c r="C163" s="218" t="s">
        <v>192</v>
      </c>
      <c r="D163" s="549">
        <v>612</v>
      </c>
      <c r="E163" s="128" t="s">
        <v>1617</v>
      </c>
      <c r="M163" s="133" t="s">
        <v>210</v>
      </c>
    </row>
    <row r="164" spans="1:13">
      <c r="A164" s="214">
        <v>46160</v>
      </c>
      <c r="B164" s="127" t="s">
        <v>1624</v>
      </c>
      <c r="C164" s="218" t="s">
        <v>1625</v>
      </c>
      <c r="D164" s="549">
        <v>1500</v>
      </c>
      <c r="E164" s="128" t="s">
        <v>1617</v>
      </c>
      <c r="M164" s="77" t="s">
        <v>211</v>
      </c>
    </row>
    <row r="165" spans="1:13">
      <c r="A165" s="214">
        <v>46160</v>
      </c>
      <c r="B165" s="128" t="s">
        <v>338</v>
      </c>
      <c r="C165" s="133" t="s">
        <v>210</v>
      </c>
      <c r="D165" s="546">
        <v>1190</v>
      </c>
      <c r="E165" s="128" t="s">
        <v>1617</v>
      </c>
    </row>
    <row r="166" spans="1:13">
      <c r="A166" s="214">
        <v>46160</v>
      </c>
      <c r="B166" s="128" t="s">
        <v>306</v>
      </c>
      <c r="C166" s="133" t="s">
        <v>307</v>
      </c>
      <c r="D166" s="546">
        <v>1900</v>
      </c>
      <c r="E166" s="128" t="s">
        <v>1617</v>
      </c>
    </row>
    <row r="167" spans="1:13">
      <c r="A167" s="214">
        <v>46160</v>
      </c>
      <c r="B167" s="128" t="s">
        <v>329</v>
      </c>
      <c r="C167" s="133" t="s">
        <v>197</v>
      </c>
      <c r="D167" s="546">
        <v>1900</v>
      </c>
      <c r="E167" s="128" t="s">
        <v>1617</v>
      </c>
    </row>
    <row r="168" spans="1:13">
      <c r="A168" s="214">
        <v>46160</v>
      </c>
      <c r="B168" s="128" t="s">
        <v>305</v>
      </c>
      <c r="C168" s="133" t="s">
        <v>175</v>
      </c>
      <c r="D168" s="546">
        <v>5.43</v>
      </c>
      <c r="E168" s="128" t="s">
        <v>1617</v>
      </c>
    </row>
    <row r="169" spans="1:13">
      <c r="A169" s="214">
        <v>46162</v>
      </c>
      <c r="B169" s="127" t="s">
        <v>320</v>
      </c>
      <c r="C169" s="218" t="s">
        <v>313</v>
      </c>
      <c r="D169" s="549">
        <v>6709.23</v>
      </c>
      <c r="E169" s="128" t="s">
        <v>1617</v>
      </c>
    </row>
    <row r="170" spans="1:13">
      <c r="A170" s="214">
        <v>46162</v>
      </c>
      <c r="B170" s="131" t="s">
        <v>339</v>
      </c>
      <c r="C170" s="218" t="s">
        <v>211</v>
      </c>
      <c r="D170" s="548">
        <v>331.9</v>
      </c>
      <c r="E170" s="128" t="s">
        <v>1617</v>
      </c>
    </row>
    <row r="171" spans="1:13">
      <c r="A171" s="214">
        <v>46162</v>
      </c>
      <c r="B171" s="127" t="s">
        <v>356</v>
      </c>
      <c r="C171" s="218" t="s">
        <v>188</v>
      </c>
      <c r="D171" s="549">
        <v>855</v>
      </c>
      <c r="E171" s="128" t="s">
        <v>1617</v>
      </c>
    </row>
    <row r="172" spans="1:13">
      <c r="A172" s="214">
        <v>46162</v>
      </c>
      <c r="B172" s="131" t="s">
        <v>354</v>
      </c>
      <c r="C172" s="218" t="s">
        <v>188</v>
      </c>
      <c r="D172" s="548">
        <v>855</v>
      </c>
      <c r="E172" s="128" t="s">
        <v>1617</v>
      </c>
    </row>
    <row r="173" spans="1:13">
      <c r="A173" s="214">
        <v>46162</v>
      </c>
      <c r="B173" s="131" t="s">
        <v>1623</v>
      </c>
      <c r="C173" s="218" t="s">
        <v>209</v>
      </c>
      <c r="D173" s="548">
        <v>7000</v>
      </c>
      <c r="E173" s="128" t="s">
        <v>1617</v>
      </c>
    </row>
    <row r="174" spans="1:13">
      <c r="A174" s="214">
        <v>46167</v>
      </c>
      <c r="B174" s="127" t="s">
        <v>178</v>
      </c>
      <c r="C174" s="218" t="s">
        <v>178</v>
      </c>
      <c r="D174" s="549">
        <v>9323.0400000000009</v>
      </c>
      <c r="E174" s="128" t="s">
        <v>1617</v>
      </c>
    </row>
    <row r="175" spans="1:13">
      <c r="A175" s="214">
        <v>46167</v>
      </c>
      <c r="B175" s="127" t="s">
        <v>178</v>
      </c>
      <c r="C175" s="218" t="s">
        <v>178</v>
      </c>
      <c r="D175" s="549">
        <v>3548.24</v>
      </c>
      <c r="E175" s="128" t="s">
        <v>1617</v>
      </c>
    </row>
    <row r="176" spans="1:13">
      <c r="A176" s="214">
        <v>46168</v>
      </c>
      <c r="B176" s="127" t="s">
        <v>305</v>
      </c>
      <c r="C176" s="218" t="s">
        <v>175</v>
      </c>
      <c r="D176" s="549">
        <v>1.81</v>
      </c>
      <c r="E176" s="128" t="s">
        <v>1617</v>
      </c>
    </row>
    <row r="177" spans="1:5">
      <c r="A177" s="214">
        <v>46170</v>
      </c>
      <c r="B177" s="216" t="s">
        <v>306</v>
      </c>
      <c r="C177" s="215" t="s">
        <v>307</v>
      </c>
      <c r="D177" s="549">
        <v>3723.1</v>
      </c>
      <c r="E177" s="128" t="s">
        <v>1617</v>
      </c>
    </row>
    <row r="178" spans="1:5">
      <c r="A178" s="214">
        <v>46170</v>
      </c>
      <c r="B178" s="127" t="s">
        <v>331</v>
      </c>
      <c r="C178" s="218" t="s">
        <v>307</v>
      </c>
      <c r="D178" s="549">
        <v>1834</v>
      </c>
      <c r="E178" s="128" t="s">
        <v>1617</v>
      </c>
    </row>
    <row r="179" spans="1:5">
      <c r="A179" s="214">
        <v>46170</v>
      </c>
      <c r="B179" s="127" t="s">
        <v>339</v>
      </c>
      <c r="C179" s="218" t="s">
        <v>211</v>
      </c>
      <c r="D179" s="549">
        <v>551.49</v>
      </c>
      <c r="E179" s="128" t="s">
        <v>1617</v>
      </c>
    </row>
    <row r="180" spans="1:5">
      <c r="A180" s="214">
        <v>46170</v>
      </c>
      <c r="B180" s="127" t="s">
        <v>305</v>
      </c>
      <c r="C180" s="218" t="s">
        <v>175</v>
      </c>
      <c r="D180" s="549">
        <v>1.81</v>
      </c>
      <c r="E180" s="128" t="s">
        <v>1617</v>
      </c>
    </row>
    <row r="181" spans="1:5">
      <c r="A181" s="214">
        <v>46171</v>
      </c>
      <c r="B181" s="131" t="s">
        <v>338</v>
      </c>
      <c r="C181" s="218" t="s">
        <v>210</v>
      </c>
      <c r="D181" s="548">
        <v>1520</v>
      </c>
      <c r="E181" s="128" t="s">
        <v>1617</v>
      </c>
    </row>
  </sheetData>
  <sortState xmlns:xlrd2="http://schemas.microsoft.com/office/spreadsheetml/2017/richdata2" ref="M2:M20">
    <sortCondition ref="M1:M20"/>
  </sortState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372B-D7B2-4C36-AD6E-3956AD95718F}">
  <dimension ref="A1:E24"/>
  <sheetViews>
    <sheetView workbookViewId="0">
      <selection activeCell="A25" sqref="A25"/>
    </sheetView>
  </sheetViews>
  <sheetFormatPr defaultRowHeight="15"/>
  <cols>
    <col min="1" max="1" width="10.7109375" bestFit="1" customWidth="1"/>
    <col min="3" max="3" width="20.42578125" customWidth="1"/>
    <col min="4" max="4" width="12.5703125" bestFit="1" customWidth="1"/>
  </cols>
  <sheetData>
    <row r="1" spans="1:5" ht="26.25">
      <c r="A1" s="104" t="s">
        <v>362</v>
      </c>
      <c r="B1" s="105" t="s">
        <v>363</v>
      </c>
      <c r="C1" s="106" t="s">
        <v>364</v>
      </c>
      <c r="D1" s="107" t="s">
        <v>365</v>
      </c>
    </row>
    <row r="2" spans="1:5">
      <c r="A2" s="108">
        <v>46031</v>
      </c>
      <c r="B2" s="109">
        <v>75376</v>
      </c>
      <c r="C2" s="110" t="s">
        <v>306</v>
      </c>
      <c r="D2" s="111">
        <v>3800</v>
      </c>
      <c r="E2" t="s">
        <v>366</v>
      </c>
    </row>
    <row r="3" spans="1:5">
      <c r="A3" s="108">
        <v>46034</v>
      </c>
      <c r="B3" s="109">
        <v>302</v>
      </c>
      <c r="C3" s="110" t="s">
        <v>330</v>
      </c>
      <c r="D3" s="111">
        <v>3363.76</v>
      </c>
      <c r="E3" t="s">
        <v>366</v>
      </c>
    </row>
    <row r="4" spans="1:5">
      <c r="A4" s="108">
        <v>46043</v>
      </c>
      <c r="B4" s="109">
        <v>1</v>
      </c>
      <c r="C4" s="110" t="s">
        <v>367</v>
      </c>
      <c r="D4" s="111">
        <v>4295.5</v>
      </c>
      <c r="E4" t="s">
        <v>366</v>
      </c>
    </row>
    <row r="5" spans="1:5">
      <c r="A5" s="212">
        <v>46059</v>
      </c>
      <c r="B5" s="124">
        <v>1</v>
      </c>
      <c r="C5" s="124" t="s">
        <v>368</v>
      </c>
      <c r="D5" s="155">
        <v>9065</v>
      </c>
      <c r="E5" t="s">
        <v>369</v>
      </c>
    </row>
    <row r="6" spans="1:5">
      <c r="A6" s="212">
        <v>46059</v>
      </c>
      <c r="B6" s="124">
        <v>2</v>
      </c>
      <c r="C6" s="124" t="s">
        <v>322</v>
      </c>
      <c r="D6" s="155">
        <v>5775</v>
      </c>
      <c r="E6" t="s">
        <v>369</v>
      </c>
    </row>
    <row r="7" spans="1:5">
      <c r="A7" s="212">
        <v>46059</v>
      </c>
      <c r="B7" s="124">
        <v>3</v>
      </c>
      <c r="C7" s="124" t="s">
        <v>322</v>
      </c>
      <c r="D7" s="155">
        <v>13191.72</v>
      </c>
      <c r="E7" t="s">
        <v>369</v>
      </c>
    </row>
    <row r="8" spans="1:5">
      <c r="A8" s="212">
        <v>46066</v>
      </c>
      <c r="B8" s="124">
        <v>144</v>
      </c>
      <c r="C8" s="124" t="s">
        <v>331</v>
      </c>
      <c r="D8" s="155">
        <v>1310</v>
      </c>
      <c r="E8" t="s">
        <v>369</v>
      </c>
    </row>
    <row r="9" spans="1:5">
      <c r="A9" s="212">
        <v>46078</v>
      </c>
      <c r="B9" s="124">
        <v>75906</v>
      </c>
      <c r="C9" s="124" t="s">
        <v>306</v>
      </c>
      <c r="D9" s="155">
        <v>3800</v>
      </c>
      <c r="E9" t="s">
        <v>369</v>
      </c>
    </row>
    <row r="10" spans="1:5">
      <c r="A10" s="212">
        <v>46094</v>
      </c>
      <c r="B10" s="124">
        <v>18</v>
      </c>
      <c r="C10" s="124" t="s">
        <v>322</v>
      </c>
      <c r="D10" s="155">
        <v>15208</v>
      </c>
      <c r="E10" t="s">
        <v>370</v>
      </c>
    </row>
    <row r="11" spans="1:5">
      <c r="A11" s="212">
        <v>46104</v>
      </c>
      <c r="B11" s="124">
        <v>152</v>
      </c>
      <c r="C11" s="124" t="s">
        <v>331</v>
      </c>
      <c r="D11" s="155">
        <v>2620</v>
      </c>
      <c r="E11" t="s">
        <v>370</v>
      </c>
    </row>
    <row r="12" spans="1:5">
      <c r="A12" s="212">
        <v>46105</v>
      </c>
      <c r="B12" s="124">
        <v>76238</v>
      </c>
      <c r="C12" s="124" t="s">
        <v>306</v>
      </c>
      <c r="D12" s="155">
        <v>7600</v>
      </c>
      <c r="E12" t="s">
        <v>370</v>
      </c>
    </row>
    <row r="13" spans="1:5">
      <c r="A13" s="252">
        <v>46126</v>
      </c>
      <c r="B13" s="253">
        <v>817</v>
      </c>
      <c r="C13" s="253" t="s">
        <v>371</v>
      </c>
      <c r="D13" s="254">
        <v>9190.94</v>
      </c>
      <c r="E13" t="s">
        <v>372</v>
      </c>
    </row>
    <row r="14" spans="1:5">
      <c r="A14" s="252">
        <v>46126</v>
      </c>
      <c r="B14" s="253">
        <v>818</v>
      </c>
      <c r="C14" s="253" t="s">
        <v>371</v>
      </c>
      <c r="D14" s="254">
        <v>1972.76</v>
      </c>
      <c r="E14" t="s">
        <v>372</v>
      </c>
    </row>
    <row r="15" spans="1:5">
      <c r="A15" s="252">
        <v>46126</v>
      </c>
      <c r="B15" s="253">
        <v>819</v>
      </c>
      <c r="C15" s="253" t="s">
        <v>371</v>
      </c>
      <c r="D15" s="254">
        <v>2721.66</v>
      </c>
      <c r="E15" t="s">
        <v>372</v>
      </c>
    </row>
    <row r="16" spans="1:5">
      <c r="A16" s="252">
        <v>46126</v>
      </c>
      <c r="B16" s="253">
        <v>820</v>
      </c>
      <c r="C16" s="253" t="s">
        <v>371</v>
      </c>
      <c r="D16" s="254">
        <v>6545.1</v>
      </c>
      <c r="E16" t="s">
        <v>372</v>
      </c>
    </row>
    <row r="17" spans="1:5">
      <c r="A17" s="252">
        <v>46126</v>
      </c>
      <c r="B17" s="253">
        <v>821</v>
      </c>
      <c r="C17" s="253" t="s">
        <v>371</v>
      </c>
      <c r="D17" s="254">
        <v>4716.08</v>
      </c>
      <c r="E17" t="s">
        <v>372</v>
      </c>
    </row>
    <row r="18" spans="1:5">
      <c r="A18" s="252">
        <v>46140</v>
      </c>
      <c r="B18" s="253">
        <v>76645</v>
      </c>
      <c r="C18" s="253" t="s">
        <v>306</v>
      </c>
      <c r="D18" s="254">
        <v>18615.5</v>
      </c>
      <c r="E18" t="s">
        <v>372</v>
      </c>
    </row>
    <row r="19" spans="1:5">
      <c r="A19" s="252">
        <v>46142</v>
      </c>
      <c r="B19" s="253">
        <v>165</v>
      </c>
      <c r="C19" s="253" t="s">
        <v>373</v>
      </c>
      <c r="D19" s="254">
        <v>3668</v>
      </c>
      <c r="E19" t="s">
        <v>372</v>
      </c>
    </row>
    <row r="20" spans="1:5">
      <c r="A20" s="114">
        <v>46149</v>
      </c>
      <c r="B20" s="115" t="s">
        <v>1613</v>
      </c>
      <c r="C20" s="116" t="s">
        <v>1614</v>
      </c>
      <c r="D20" s="521">
        <v>22706.09</v>
      </c>
      <c r="E20" s="124" t="s">
        <v>1615</v>
      </c>
    </row>
    <row r="21" spans="1:5">
      <c r="A21" s="114">
        <v>46154</v>
      </c>
      <c r="B21" s="115">
        <v>76757</v>
      </c>
      <c r="C21" s="116" t="s">
        <v>1225</v>
      </c>
      <c r="D21" s="521">
        <v>10064</v>
      </c>
      <c r="E21" s="124" t="s">
        <v>1615</v>
      </c>
    </row>
    <row r="22" spans="1:5">
      <c r="A22" s="114">
        <v>46168</v>
      </c>
      <c r="B22" s="115">
        <v>172</v>
      </c>
      <c r="C22" s="116" t="s">
        <v>1616</v>
      </c>
      <c r="D22" s="521">
        <v>1572</v>
      </c>
      <c r="E22" s="124" t="s">
        <v>1615</v>
      </c>
    </row>
    <row r="23" spans="1:5">
      <c r="A23" s="114">
        <v>46168</v>
      </c>
      <c r="B23" s="115">
        <v>449</v>
      </c>
      <c r="C23" s="116" t="s">
        <v>1260</v>
      </c>
      <c r="D23" s="522">
        <v>764.49</v>
      </c>
      <c r="E23" s="124" t="s">
        <v>1615</v>
      </c>
    </row>
    <row r="24" spans="1:5">
      <c r="A24" s="114">
        <v>46171</v>
      </c>
      <c r="B24" s="115">
        <v>264029</v>
      </c>
      <c r="C24" s="116" t="s">
        <v>1221</v>
      </c>
      <c r="D24" s="521">
        <v>5991.6</v>
      </c>
      <c r="E24" s="124" t="s">
        <v>1615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7641-44EF-486F-9A9B-86837F375724}">
  <dimension ref="A1:E67"/>
  <sheetViews>
    <sheetView topLeftCell="A39" workbookViewId="0">
      <selection activeCell="G45" sqref="G45"/>
    </sheetView>
  </sheetViews>
  <sheetFormatPr defaultRowHeight="15"/>
  <cols>
    <col min="1" max="1" width="10.7109375" bestFit="1" customWidth="1"/>
    <col min="3" max="3" width="53.7109375" bestFit="1" customWidth="1"/>
    <col min="4" max="4" width="13.28515625" bestFit="1" customWidth="1"/>
  </cols>
  <sheetData>
    <row r="1" spans="1:5" ht="26.25">
      <c r="A1" s="112" t="s">
        <v>362</v>
      </c>
      <c r="B1" s="113" t="s">
        <v>363</v>
      </c>
      <c r="C1" s="106" t="s">
        <v>364</v>
      </c>
      <c r="D1" s="52" t="s">
        <v>365</v>
      </c>
    </row>
    <row r="2" spans="1:5">
      <c r="A2" s="108">
        <v>46028</v>
      </c>
      <c r="B2" s="109">
        <v>781</v>
      </c>
      <c r="C2" s="110" t="s">
        <v>374</v>
      </c>
      <c r="D2" s="111">
        <v>980.84</v>
      </c>
      <c r="E2" t="s">
        <v>366</v>
      </c>
    </row>
    <row r="3" spans="1:5">
      <c r="A3" s="108">
        <v>46031</v>
      </c>
      <c r="B3" s="109">
        <v>782</v>
      </c>
      <c r="C3" s="110" t="s">
        <v>375</v>
      </c>
      <c r="D3" s="111">
        <v>5700</v>
      </c>
      <c r="E3" t="s">
        <v>366</v>
      </c>
    </row>
    <row r="4" spans="1:5">
      <c r="A4" s="108">
        <v>46031</v>
      </c>
      <c r="B4" s="109">
        <v>783</v>
      </c>
      <c r="C4" s="110" t="s">
        <v>376</v>
      </c>
      <c r="D4" s="111">
        <v>5142</v>
      </c>
      <c r="E4" t="s">
        <v>366</v>
      </c>
    </row>
    <row r="5" spans="1:5">
      <c r="A5" s="108">
        <v>46034</v>
      </c>
      <c r="B5" s="109">
        <v>784</v>
      </c>
      <c r="C5" s="110" t="s">
        <v>377</v>
      </c>
      <c r="D5" s="111">
        <v>1825</v>
      </c>
      <c r="E5" t="s">
        <v>366</v>
      </c>
    </row>
    <row r="6" spans="1:5">
      <c r="A6" s="108">
        <v>46035</v>
      </c>
      <c r="B6" s="109">
        <v>785</v>
      </c>
      <c r="C6" s="110" t="s">
        <v>378</v>
      </c>
      <c r="D6" s="111">
        <v>5272.5</v>
      </c>
      <c r="E6" t="s">
        <v>366</v>
      </c>
    </row>
    <row r="7" spans="1:5">
      <c r="A7" s="108">
        <v>46035</v>
      </c>
      <c r="B7" s="109">
        <v>786</v>
      </c>
      <c r="C7" s="110" t="s">
        <v>379</v>
      </c>
      <c r="D7" s="111">
        <v>904</v>
      </c>
      <c r="E7" t="s">
        <v>366</v>
      </c>
    </row>
    <row r="8" spans="1:5">
      <c r="A8" s="108">
        <v>46036</v>
      </c>
      <c r="B8" s="109">
        <v>787</v>
      </c>
      <c r="C8" s="110" t="s">
        <v>380</v>
      </c>
      <c r="D8" s="111">
        <v>732</v>
      </c>
      <c r="E8" t="s">
        <v>366</v>
      </c>
    </row>
    <row r="9" spans="1:5">
      <c r="A9" s="108">
        <v>46038</v>
      </c>
      <c r="B9" s="109">
        <v>789</v>
      </c>
      <c r="C9" s="110" t="s">
        <v>381</v>
      </c>
      <c r="D9" s="111">
        <v>860</v>
      </c>
      <c r="E9" t="s">
        <v>366</v>
      </c>
    </row>
    <row r="10" spans="1:5">
      <c r="A10" s="108">
        <v>46038</v>
      </c>
      <c r="B10" s="109">
        <v>790</v>
      </c>
      <c r="C10" s="110" t="s">
        <v>382</v>
      </c>
      <c r="D10" s="111">
        <v>1160.5</v>
      </c>
      <c r="E10" t="s">
        <v>366</v>
      </c>
    </row>
    <row r="11" spans="1:5">
      <c r="A11" s="108">
        <v>46043</v>
      </c>
      <c r="B11" s="109">
        <v>791</v>
      </c>
      <c r="C11" s="110" t="s">
        <v>379</v>
      </c>
      <c r="D11" s="111">
        <v>121.7</v>
      </c>
      <c r="E11" t="s">
        <v>366</v>
      </c>
    </row>
    <row r="12" spans="1:5">
      <c r="A12" s="108">
        <v>46045</v>
      </c>
      <c r="B12" s="109">
        <v>792</v>
      </c>
      <c r="C12" s="110" t="s">
        <v>377</v>
      </c>
      <c r="D12" s="111">
        <v>974</v>
      </c>
      <c r="E12" t="s">
        <v>366</v>
      </c>
    </row>
    <row r="13" spans="1:5">
      <c r="A13" s="108">
        <v>46050</v>
      </c>
      <c r="B13" s="109">
        <v>793</v>
      </c>
      <c r="C13" s="110" t="s">
        <v>374</v>
      </c>
      <c r="D13" s="111">
        <v>1386</v>
      </c>
      <c r="E13" t="s">
        <v>366</v>
      </c>
    </row>
    <row r="14" spans="1:5">
      <c r="A14" s="108">
        <v>46051</v>
      </c>
      <c r="B14" s="109">
        <v>794</v>
      </c>
      <c r="C14" s="110" t="s">
        <v>383</v>
      </c>
      <c r="D14" s="111">
        <v>230</v>
      </c>
      <c r="E14" t="s">
        <v>366</v>
      </c>
    </row>
    <row r="15" spans="1:5">
      <c r="A15" s="212">
        <v>46057</v>
      </c>
      <c r="B15" s="213">
        <v>795</v>
      </c>
      <c r="C15" s="116" t="s">
        <v>377</v>
      </c>
      <c r="D15" s="155">
        <v>16832</v>
      </c>
      <c r="E15" t="s">
        <v>369</v>
      </c>
    </row>
    <row r="16" spans="1:5">
      <c r="A16" s="212">
        <v>46057</v>
      </c>
      <c r="B16" s="213">
        <v>796</v>
      </c>
      <c r="C16" s="124" t="s">
        <v>247</v>
      </c>
      <c r="D16" s="155">
        <v>7745</v>
      </c>
      <c r="E16" t="s">
        <v>369</v>
      </c>
    </row>
    <row r="17" spans="1:5">
      <c r="A17" s="212">
        <v>46058</v>
      </c>
      <c r="B17" s="213">
        <v>797</v>
      </c>
      <c r="C17" s="124" t="s">
        <v>384</v>
      </c>
      <c r="D17" s="155">
        <v>1000</v>
      </c>
      <c r="E17" t="s">
        <v>369</v>
      </c>
    </row>
    <row r="18" spans="1:5">
      <c r="A18" s="212">
        <v>46063</v>
      </c>
      <c r="B18" s="213">
        <v>798</v>
      </c>
      <c r="C18" s="124" t="s">
        <v>243</v>
      </c>
      <c r="D18" s="155">
        <v>5145.8900000000003</v>
      </c>
      <c r="E18" t="s">
        <v>369</v>
      </c>
    </row>
    <row r="19" spans="1:5">
      <c r="A19" s="212">
        <v>46066</v>
      </c>
      <c r="B19" s="213">
        <v>799</v>
      </c>
      <c r="C19" s="116" t="s">
        <v>378</v>
      </c>
      <c r="D19" s="155">
        <v>2081.25</v>
      </c>
      <c r="E19" t="s">
        <v>369</v>
      </c>
    </row>
    <row r="20" spans="1:5">
      <c r="A20" s="212">
        <v>46071</v>
      </c>
      <c r="B20" s="213">
        <v>800</v>
      </c>
      <c r="C20" s="124" t="s">
        <v>243</v>
      </c>
      <c r="D20" s="155">
        <v>1419</v>
      </c>
      <c r="E20" t="s">
        <v>369</v>
      </c>
    </row>
    <row r="21" spans="1:5">
      <c r="A21" s="212">
        <v>46076</v>
      </c>
      <c r="B21" s="213">
        <v>801</v>
      </c>
      <c r="C21" s="124" t="s">
        <v>243</v>
      </c>
      <c r="D21" s="155">
        <v>543</v>
      </c>
      <c r="E21" t="s">
        <v>369</v>
      </c>
    </row>
    <row r="22" spans="1:5">
      <c r="A22" s="212">
        <v>46077</v>
      </c>
      <c r="B22" s="213">
        <v>802</v>
      </c>
      <c r="C22" s="116" t="s">
        <v>375</v>
      </c>
      <c r="D22" s="155">
        <v>5808</v>
      </c>
      <c r="E22" t="s">
        <v>369</v>
      </c>
    </row>
    <row r="23" spans="1:5">
      <c r="A23" s="212">
        <v>46077</v>
      </c>
      <c r="B23" s="213">
        <v>803</v>
      </c>
      <c r="C23" s="116" t="s">
        <v>377</v>
      </c>
      <c r="D23" s="155">
        <v>575</v>
      </c>
      <c r="E23" t="s">
        <v>369</v>
      </c>
    </row>
    <row r="24" spans="1:5">
      <c r="A24" s="114">
        <v>46092</v>
      </c>
      <c r="B24" s="115">
        <v>804</v>
      </c>
      <c r="C24" s="116" t="s">
        <v>374</v>
      </c>
      <c r="D24" s="117">
        <v>539</v>
      </c>
      <c r="E24" t="s">
        <v>370</v>
      </c>
    </row>
    <row r="25" spans="1:5">
      <c r="A25" s="114">
        <v>46094</v>
      </c>
      <c r="B25" s="115">
        <v>805</v>
      </c>
      <c r="C25" s="116" t="s">
        <v>377</v>
      </c>
      <c r="D25" s="117">
        <v>2230</v>
      </c>
      <c r="E25" t="s">
        <v>370</v>
      </c>
    </row>
    <row r="26" spans="1:5">
      <c r="A26" s="114">
        <v>46094</v>
      </c>
      <c r="B26" s="115">
        <v>806</v>
      </c>
      <c r="C26" s="116" t="s">
        <v>385</v>
      </c>
      <c r="D26" s="117">
        <v>3445</v>
      </c>
      <c r="E26" t="s">
        <v>370</v>
      </c>
    </row>
    <row r="27" spans="1:5">
      <c r="A27" s="114">
        <v>46098</v>
      </c>
      <c r="B27" s="115">
        <v>807</v>
      </c>
      <c r="C27" s="116" t="s">
        <v>386</v>
      </c>
      <c r="D27" s="117">
        <v>18601</v>
      </c>
      <c r="E27" t="s">
        <v>370</v>
      </c>
    </row>
    <row r="28" spans="1:5">
      <c r="A28" s="114">
        <v>46099</v>
      </c>
      <c r="B28" s="115">
        <v>808</v>
      </c>
      <c r="C28" s="116" t="s">
        <v>377</v>
      </c>
      <c r="D28" s="117">
        <v>294</v>
      </c>
      <c r="E28" t="s">
        <v>370</v>
      </c>
    </row>
    <row r="29" spans="1:5">
      <c r="A29" s="114">
        <v>46100</v>
      </c>
      <c r="B29" s="115">
        <v>809</v>
      </c>
      <c r="C29" s="116" t="s">
        <v>375</v>
      </c>
      <c r="D29" s="117">
        <v>11160</v>
      </c>
      <c r="E29" t="s">
        <v>370</v>
      </c>
    </row>
    <row r="30" spans="1:5">
      <c r="A30" s="114">
        <v>46105</v>
      </c>
      <c r="B30" s="115">
        <v>810</v>
      </c>
      <c r="C30" s="116" t="s">
        <v>387</v>
      </c>
      <c r="D30" s="117">
        <v>234</v>
      </c>
      <c r="E30" t="s">
        <v>370</v>
      </c>
    </row>
    <row r="31" spans="1:5">
      <c r="A31" s="114">
        <v>46106</v>
      </c>
      <c r="B31" s="115">
        <v>811</v>
      </c>
      <c r="C31" s="116" t="s">
        <v>388</v>
      </c>
      <c r="D31" s="117">
        <v>379</v>
      </c>
      <c r="E31" t="s">
        <v>370</v>
      </c>
    </row>
    <row r="32" spans="1:5">
      <c r="A32" s="114">
        <v>46108</v>
      </c>
      <c r="B32" s="115">
        <v>812</v>
      </c>
      <c r="C32" s="116" t="s">
        <v>379</v>
      </c>
      <c r="D32" s="117">
        <v>69</v>
      </c>
      <c r="E32" t="s">
        <v>370</v>
      </c>
    </row>
    <row r="33" spans="1:5">
      <c r="A33" s="114">
        <v>46111</v>
      </c>
      <c r="B33" s="115">
        <v>813</v>
      </c>
      <c r="C33" s="116" t="s">
        <v>378</v>
      </c>
      <c r="D33" s="117">
        <v>4162.5</v>
      </c>
      <c r="E33" t="s">
        <v>370</v>
      </c>
    </row>
    <row r="34" spans="1:5">
      <c r="A34" s="114">
        <v>46111</v>
      </c>
      <c r="B34" s="115">
        <v>814</v>
      </c>
      <c r="C34" s="116" t="s">
        <v>389</v>
      </c>
      <c r="D34" s="117">
        <v>5678.5</v>
      </c>
      <c r="E34" t="s">
        <v>370</v>
      </c>
    </row>
    <row r="35" spans="1:5">
      <c r="A35" s="256">
        <v>46119</v>
      </c>
      <c r="B35">
        <v>815</v>
      </c>
      <c r="C35" t="s">
        <v>377</v>
      </c>
      <c r="D35" s="257">
        <v>30074.5</v>
      </c>
      <c r="E35" t="s">
        <v>372</v>
      </c>
    </row>
    <row r="36" spans="1:5">
      <c r="A36" s="256">
        <v>46120</v>
      </c>
      <c r="B36">
        <v>816</v>
      </c>
      <c r="C36" t="s">
        <v>374</v>
      </c>
      <c r="D36" s="257">
        <v>949</v>
      </c>
      <c r="E36" t="s">
        <v>372</v>
      </c>
    </row>
    <row r="37" spans="1:5">
      <c r="A37" s="256">
        <v>46134</v>
      </c>
      <c r="B37">
        <v>822</v>
      </c>
      <c r="C37" t="s">
        <v>390</v>
      </c>
      <c r="D37" s="257">
        <v>100</v>
      </c>
      <c r="E37" t="s">
        <v>372</v>
      </c>
    </row>
    <row r="38" spans="1:5">
      <c r="A38" s="256">
        <v>46134</v>
      </c>
      <c r="B38">
        <v>823</v>
      </c>
      <c r="C38" t="s">
        <v>391</v>
      </c>
      <c r="D38" s="257">
        <v>37057.32</v>
      </c>
      <c r="E38" t="s">
        <v>372</v>
      </c>
    </row>
    <row r="39" spans="1:5">
      <c r="A39" s="256">
        <v>46140</v>
      </c>
      <c r="B39">
        <v>824</v>
      </c>
      <c r="C39" t="s">
        <v>392</v>
      </c>
      <c r="D39" s="257">
        <v>85</v>
      </c>
      <c r="E39" t="s">
        <v>372</v>
      </c>
    </row>
    <row r="40" spans="1:5">
      <c r="A40" s="256">
        <v>46140</v>
      </c>
      <c r="B40">
        <v>825</v>
      </c>
      <c r="C40" t="s">
        <v>375</v>
      </c>
      <c r="D40" s="257">
        <v>26825</v>
      </c>
      <c r="E40" t="s">
        <v>372</v>
      </c>
    </row>
    <row r="41" spans="1:5">
      <c r="A41" s="256">
        <v>46140</v>
      </c>
      <c r="B41">
        <v>826</v>
      </c>
      <c r="C41" t="s">
        <v>389</v>
      </c>
      <c r="D41" s="257">
        <v>330</v>
      </c>
      <c r="E41" t="s">
        <v>372</v>
      </c>
    </row>
    <row r="42" spans="1:5">
      <c r="A42" s="256">
        <v>46142</v>
      </c>
      <c r="B42">
        <v>827</v>
      </c>
      <c r="C42" t="s">
        <v>378</v>
      </c>
      <c r="D42" s="257">
        <v>5838.7</v>
      </c>
      <c r="E42" t="s">
        <v>372</v>
      </c>
    </row>
    <row r="43" spans="1:5">
      <c r="A43" s="114">
        <v>46148</v>
      </c>
      <c r="B43" s="115">
        <v>829</v>
      </c>
      <c r="C43" s="116" t="s">
        <v>374</v>
      </c>
      <c r="D43" s="117">
        <v>1549</v>
      </c>
      <c r="E43" s="124" t="s">
        <v>1615</v>
      </c>
    </row>
    <row r="44" spans="1:5">
      <c r="A44" s="114">
        <v>46148</v>
      </c>
      <c r="B44" s="115">
        <v>830</v>
      </c>
      <c r="C44" s="116" t="s">
        <v>1384</v>
      </c>
      <c r="D44" s="117">
        <v>2700</v>
      </c>
      <c r="E44" s="124" t="s">
        <v>1615</v>
      </c>
    </row>
    <row r="45" spans="1:5">
      <c r="A45" s="114">
        <v>46149</v>
      </c>
      <c r="B45" s="115">
        <v>831</v>
      </c>
      <c r="C45" s="116" t="s">
        <v>1629</v>
      </c>
      <c r="D45" s="117">
        <v>114.3</v>
      </c>
      <c r="E45" s="124" t="s">
        <v>1615</v>
      </c>
    </row>
    <row r="46" spans="1:5">
      <c r="A46" s="114">
        <v>46149</v>
      </c>
      <c r="B46" s="115">
        <v>832</v>
      </c>
      <c r="C46" s="116" t="s">
        <v>1630</v>
      </c>
      <c r="D46" s="117">
        <v>2505.6</v>
      </c>
      <c r="E46" s="124" t="s">
        <v>1615</v>
      </c>
    </row>
    <row r="47" spans="1:5">
      <c r="A47" s="114">
        <v>46150</v>
      </c>
      <c r="B47" s="115">
        <v>833</v>
      </c>
      <c r="C47" s="116" t="s">
        <v>1631</v>
      </c>
      <c r="D47" s="117">
        <v>600</v>
      </c>
      <c r="E47" s="124" t="s">
        <v>1615</v>
      </c>
    </row>
    <row r="48" spans="1:5">
      <c r="A48" s="114">
        <v>46150</v>
      </c>
      <c r="B48" s="115">
        <v>834</v>
      </c>
      <c r="C48" s="116" t="s">
        <v>1632</v>
      </c>
      <c r="D48" s="117">
        <v>2380</v>
      </c>
      <c r="E48" s="124" t="s">
        <v>1615</v>
      </c>
    </row>
    <row r="49" spans="1:5">
      <c r="A49" s="114">
        <v>46153</v>
      </c>
      <c r="B49" s="115">
        <v>835</v>
      </c>
      <c r="C49" s="116" t="s">
        <v>1433</v>
      </c>
      <c r="D49" s="117">
        <v>1975</v>
      </c>
      <c r="E49" s="124" t="s">
        <v>1615</v>
      </c>
    </row>
    <row r="50" spans="1:5">
      <c r="A50" s="114">
        <v>46153</v>
      </c>
      <c r="B50" s="115">
        <v>836</v>
      </c>
      <c r="C50" s="116" t="s">
        <v>385</v>
      </c>
      <c r="D50" s="117">
        <v>1175</v>
      </c>
      <c r="E50" s="124" t="s">
        <v>1615</v>
      </c>
    </row>
    <row r="51" spans="1:5">
      <c r="A51" s="114">
        <v>46153</v>
      </c>
      <c r="B51" s="115">
        <v>837</v>
      </c>
      <c r="C51" s="116" t="s">
        <v>379</v>
      </c>
      <c r="D51" s="117">
        <v>69</v>
      </c>
      <c r="E51" s="124" t="s">
        <v>1615</v>
      </c>
    </row>
    <row r="52" spans="1:5">
      <c r="A52" s="114">
        <v>46154</v>
      </c>
      <c r="B52" s="115">
        <v>838</v>
      </c>
      <c r="C52" s="116" t="s">
        <v>375</v>
      </c>
      <c r="D52" s="117">
        <v>14633.6</v>
      </c>
      <c r="E52" s="124" t="s">
        <v>1615</v>
      </c>
    </row>
    <row r="53" spans="1:5">
      <c r="A53" s="114">
        <v>46156</v>
      </c>
      <c r="B53" s="115">
        <v>839</v>
      </c>
      <c r="C53" s="116" t="s">
        <v>1333</v>
      </c>
      <c r="D53" s="117">
        <v>672</v>
      </c>
      <c r="E53" s="124" t="s">
        <v>1615</v>
      </c>
    </row>
    <row r="54" spans="1:5">
      <c r="A54" s="114">
        <v>46161</v>
      </c>
      <c r="B54" s="115">
        <v>840</v>
      </c>
      <c r="C54" s="116" t="s">
        <v>378</v>
      </c>
      <c r="D54" s="117">
        <v>2497.5</v>
      </c>
      <c r="E54" s="124" t="s">
        <v>1615</v>
      </c>
    </row>
    <row r="55" spans="1:5">
      <c r="A55" s="114">
        <v>46162</v>
      </c>
      <c r="B55" s="115">
        <v>842</v>
      </c>
      <c r="C55" s="116" t="s">
        <v>385</v>
      </c>
      <c r="D55" s="117">
        <v>2305</v>
      </c>
      <c r="E55" s="124" t="s">
        <v>1615</v>
      </c>
    </row>
    <row r="56" spans="1:5">
      <c r="A56" s="114">
        <v>46162</v>
      </c>
      <c r="B56" s="115">
        <v>843</v>
      </c>
      <c r="C56" s="116" t="s">
        <v>1340</v>
      </c>
      <c r="D56" s="117">
        <v>10920</v>
      </c>
      <c r="E56" s="124" t="s">
        <v>1615</v>
      </c>
    </row>
    <row r="57" spans="1:5">
      <c r="A57" s="114">
        <v>46163</v>
      </c>
      <c r="B57" s="115">
        <v>844</v>
      </c>
      <c r="C57" s="116" t="s">
        <v>377</v>
      </c>
      <c r="D57" s="117">
        <v>27052</v>
      </c>
      <c r="E57" s="124" t="s">
        <v>1615</v>
      </c>
    </row>
    <row r="58" spans="1:5">
      <c r="A58" s="114">
        <v>46163</v>
      </c>
      <c r="B58" s="115">
        <v>845</v>
      </c>
      <c r="C58" s="116" t="s">
        <v>1364</v>
      </c>
      <c r="D58" s="117">
        <v>60</v>
      </c>
      <c r="E58" s="124" t="s">
        <v>1615</v>
      </c>
    </row>
    <row r="59" spans="1:5">
      <c r="A59" s="114">
        <v>46167</v>
      </c>
      <c r="B59" s="115">
        <v>850</v>
      </c>
      <c r="C59" s="116" t="s">
        <v>380</v>
      </c>
      <c r="D59" s="117">
        <v>274.5</v>
      </c>
      <c r="E59" s="124" t="s">
        <v>1615</v>
      </c>
    </row>
    <row r="60" spans="1:5">
      <c r="A60" s="114">
        <v>46167</v>
      </c>
      <c r="B60" s="115">
        <v>851</v>
      </c>
      <c r="C60" s="116" t="s">
        <v>389</v>
      </c>
      <c r="D60" s="117">
        <v>1302.5</v>
      </c>
      <c r="E60" s="124" t="s">
        <v>1615</v>
      </c>
    </row>
    <row r="61" spans="1:5">
      <c r="A61" s="114">
        <v>46169</v>
      </c>
      <c r="B61" s="115">
        <v>852</v>
      </c>
      <c r="C61" s="116" t="s">
        <v>1633</v>
      </c>
      <c r="D61" s="117">
        <v>450</v>
      </c>
      <c r="E61" s="124" t="s">
        <v>1615</v>
      </c>
    </row>
    <row r="62" spans="1:5">
      <c r="A62" s="114">
        <v>46169</v>
      </c>
      <c r="B62" s="115">
        <v>853</v>
      </c>
      <c r="C62" s="116" t="s">
        <v>385</v>
      </c>
      <c r="D62" s="117">
        <v>6825</v>
      </c>
      <c r="E62" s="124" t="s">
        <v>1615</v>
      </c>
    </row>
    <row r="63" spans="1:5">
      <c r="A63" s="114">
        <v>46169</v>
      </c>
      <c r="B63" s="115">
        <v>854</v>
      </c>
      <c r="C63" s="116" t="s">
        <v>377</v>
      </c>
      <c r="D63" s="117">
        <v>974</v>
      </c>
      <c r="E63" s="124" t="s">
        <v>1615</v>
      </c>
    </row>
    <row r="64" spans="1:5">
      <c r="A64" s="114">
        <v>46170</v>
      </c>
      <c r="B64" s="115">
        <v>855</v>
      </c>
      <c r="C64" s="116" t="s">
        <v>1427</v>
      </c>
      <c r="D64" s="117">
        <v>868.9</v>
      </c>
      <c r="E64" s="124" t="s">
        <v>1615</v>
      </c>
    </row>
    <row r="65" spans="1:5">
      <c r="A65" s="114">
        <v>46171</v>
      </c>
      <c r="B65" s="115">
        <v>856</v>
      </c>
      <c r="C65" s="116" t="s">
        <v>1327</v>
      </c>
      <c r="D65" s="117">
        <v>8780</v>
      </c>
      <c r="E65" s="124" t="s">
        <v>1615</v>
      </c>
    </row>
    <row r="66" spans="1:5">
      <c r="A66" s="114">
        <v>46171</v>
      </c>
      <c r="B66" s="115">
        <v>858</v>
      </c>
      <c r="C66" s="116" t="s">
        <v>1329</v>
      </c>
      <c r="D66" s="117">
        <v>8100</v>
      </c>
      <c r="E66" s="124" t="s">
        <v>1615</v>
      </c>
    </row>
    <row r="67" spans="1:5">
      <c r="A67" s="114">
        <v>46171</v>
      </c>
      <c r="B67" s="115">
        <v>859</v>
      </c>
      <c r="C67" s="116" t="s">
        <v>1634</v>
      </c>
      <c r="D67" s="117">
        <v>1500</v>
      </c>
      <c r="E67" s="124" t="s">
        <v>1615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1"/>
  <sheetViews>
    <sheetView topLeftCell="A719" workbookViewId="0">
      <selection activeCell="A591" sqref="A591:XFD750"/>
    </sheetView>
  </sheetViews>
  <sheetFormatPr defaultRowHeight="15"/>
  <cols>
    <col min="1" max="1" width="18" customWidth="1"/>
    <col min="2" max="2" width="50" customWidth="1"/>
    <col min="3" max="5" width="18" customWidth="1"/>
    <col min="7" max="7" width="14.28515625" bestFit="1" customWidth="1"/>
  </cols>
  <sheetData>
    <row r="1" spans="1:7">
      <c r="A1" s="1" t="s">
        <v>362</v>
      </c>
      <c r="B1" s="1" t="s">
        <v>393</v>
      </c>
      <c r="C1" s="1" t="s">
        <v>394</v>
      </c>
      <c r="D1" s="1" t="s">
        <v>365</v>
      </c>
      <c r="E1" s="1" t="s">
        <v>395</v>
      </c>
      <c r="F1" s="1" t="s">
        <v>7</v>
      </c>
    </row>
    <row r="2" spans="1:7">
      <c r="A2" s="2">
        <v>46024</v>
      </c>
      <c r="B2" s="3" t="s">
        <v>396</v>
      </c>
      <c r="C2" s="4">
        <v>11853</v>
      </c>
      <c r="D2" s="5">
        <v>175</v>
      </c>
      <c r="E2" s="3" t="s">
        <v>397</v>
      </c>
      <c r="F2" t="s">
        <v>23</v>
      </c>
      <c r="G2" s="293">
        <f>SUM(D2:D115)</f>
        <v>132275.39999999997</v>
      </c>
    </row>
    <row r="3" spans="1:7">
      <c r="A3" s="2">
        <v>46024</v>
      </c>
      <c r="B3" s="3" t="s">
        <v>398</v>
      </c>
      <c r="C3" s="6" t="s">
        <v>399</v>
      </c>
      <c r="D3" s="5">
        <v>594.35</v>
      </c>
      <c r="E3" s="3" t="s">
        <v>397</v>
      </c>
      <c r="F3" t="s">
        <v>23</v>
      </c>
    </row>
    <row r="4" spans="1:7">
      <c r="A4" s="2">
        <v>46024</v>
      </c>
      <c r="B4" s="3" t="s">
        <v>398</v>
      </c>
      <c r="C4" s="6" t="s">
        <v>400</v>
      </c>
      <c r="D4" s="5">
        <v>1255.08</v>
      </c>
      <c r="E4" s="3" t="s">
        <v>397</v>
      </c>
      <c r="F4" t="s">
        <v>23</v>
      </c>
    </row>
    <row r="5" spans="1:7">
      <c r="A5" s="2">
        <v>46024</v>
      </c>
      <c r="B5" s="3" t="s">
        <v>266</v>
      </c>
      <c r="C5" s="6" t="s">
        <v>401</v>
      </c>
      <c r="D5" s="5">
        <v>1875</v>
      </c>
      <c r="E5" s="3" t="s">
        <v>397</v>
      </c>
      <c r="F5" t="s">
        <v>23</v>
      </c>
    </row>
    <row r="6" spans="1:7">
      <c r="A6" s="2">
        <v>46024</v>
      </c>
      <c r="B6" s="3" t="s">
        <v>402</v>
      </c>
      <c r="C6" s="6" t="s">
        <v>403</v>
      </c>
      <c r="D6" s="5">
        <v>1016.84</v>
      </c>
      <c r="E6" s="3" t="s">
        <v>397</v>
      </c>
      <c r="F6" t="s">
        <v>23</v>
      </c>
    </row>
    <row r="7" spans="1:7">
      <c r="A7" s="2">
        <v>46024</v>
      </c>
      <c r="B7" s="3" t="s">
        <v>404</v>
      </c>
      <c r="C7" s="6" t="s">
        <v>405</v>
      </c>
      <c r="D7" s="5">
        <v>1331.67</v>
      </c>
      <c r="E7" s="3" t="s">
        <v>397</v>
      </c>
      <c r="F7" t="s">
        <v>23</v>
      </c>
    </row>
    <row r="8" spans="1:7">
      <c r="A8" s="2">
        <v>46024</v>
      </c>
      <c r="B8" s="3" t="s">
        <v>398</v>
      </c>
      <c r="C8" s="6" t="s">
        <v>406</v>
      </c>
      <c r="D8" s="5">
        <v>2142.0700000000002</v>
      </c>
      <c r="E8" s="3" t="s">
        <v>397</v>
      </c>
      <c r="F8" t="s">
        <v>23</v>
      </c>
    </row>
    <row r="9" spans="1:7">
      <c r="A9" s="2">
        <v>46024</v>
      </c>
      <c r="B9" s="3" t="s">
        <v>407</v>
      </c>
      <c r="C9" s="6" t="s">
        <v>408</v>
      </c>
      <c r="D9" s="5">
        <v>2180.96</v>
      </c>
      <c r="E9" s="3" t="s">
        <v>397</v>
      </c>
      <c r="F9" t="s">
        <v>23</v>
      </c>
    </row>
    <row r="10" spans="1:7">
      <c r="A10" s="2">
        <v>46024</v>
      </c>
      <c r="B10" s="3" t="s">
        <v>409</v>
      </c>
      <c r="C10" s="6" t="s">
        <v>410</v>
      </c>
      <c r="D10" s="5">
        <v>843.67</v>
      </c>
      <c r="E10" s="3" t="s">
        <v>397</v>
      </c>
      <c r="F10" t="s">
        <v>23</v>
      </c>
    </row>
    <row r="11" spans="1:7">
      <c r="A11" s="2">
        <v>46024</v>
      </c>
      <c r="B11" s="3" t="s">
        <v>404</v>
      </c>
      <c r="C11" s="6" t="s">
        <v>411</v>
      </c>
      <c r="D11" s="5">
        <v>797</v>
      </c>
      <c r="E11" s="3" t="s">
        <v>397</v>
      </c>
      <c r="F11" t="s">
        <v>23</v>
      </c>
    </row>
    <row r="12" spans="1:7">
      <c r="A12" s="2">
        <v>46027</v>
      </c>
      <c r="B12" s="3" t="s">
        <v>412</v>
      </c>
      <c r="C12" s="6" t="s">
        <v>413</v>
      </c>
      <c r="D12" s="5">
        <v>373.25</v>
      </c>
      <c r="E12" s="3" t="s">
        <v>397</v>
      </c>
      <c r="F12" t="s">
        <v>23</v>
      </c>
    </row>
    <row r="13" spans="1:7">
      <c r="A13" s="2">
        <v>46027</v>
      </c>
      <c r="B13" s="3" t="s">
        <v>414</v>
      </c>
      <c r="C13" s="6" t="s">
        <v>415</v>
      </c>
      <c r="D13" s="5">
        <v>853.9</v>
      </c>
      <c r="E13" s="3" t="s">
        <v>397</v>
      </c>
      <c r="F13" t="s">
        <v>23</v>
      </c>
    </row>
    <row r="14" spans="1:7">
      <c r="A14" s="2">
        <v>46027</v>
      </c>
      <c r="B14" s="3" t="s">
        <v>416</v>
      </c>
      <c r="C14" s="6" t="s">
        <v>417</v>
      </c>
      <c r="D14" s="5">
        <v>769.25</v>
      </c>
      <c r="E14" s="3" t="s">
        <v>397</v>
      </c>
      <c r="F14" t="s">
        <v>23</v>
      </c>
    </row>
    <row r="15" spans="1:7">
      <c r="A15" s="2">
        <v>46027</v>
      </c>
      <c r="B15" s="3" t="s">
        <v>418</v>
      </c>
      <c r="C15" s="6" t="s">
        <v>419</v>
      </c>
      <c r="D15" s="5">
        <v>550.46</v>
      </c>
      <c r="E15" s="3" t="s">
        <v>397</v>
      </c>
      <c r="F15" t="s">
        <v>23</v>
      </c>
    </row>
    <row r="16" spans="1:7">
      <c r="A16" s="2">
        <v>46027</v>
      </c>
      <c r="B16" s="3" t="s">
        <v>420</v>
      </c>
      <c r="C16" s="6" t="s">
        <v>421</v>
      </c>
      <c r="D16" s="5">
        <v>780</v>
      </c>
      <c r="E16" s="3" t="s">
        <v>397</v>
      </c>
      <c r="F16" t="s">
        <v>23</v>
      </c>
    </row>
    <row r="17" spans="1:6">
      <c r="A17" s="2">
        <v>46027</v>
      </c>
      <c r="B17" s="3" t="s">
        <v>422</v>
      </c>
      <c r="C17" s="6" t="s">
        <v>423</v>
      </c>
      <c r="D17" s="5">
        <v>1540</v>
      </c>
      <c r="E17" s="3" t="s">
        <v>397</v>
      </c>
      <c r="F17" t="s">
        <v>23</v>
      </c>
    </row>
    <row r="18" spans="1:6">
      <c r="A18" s="2">
        <v>46027</v>
      </c>
      <c r="B18" s="3" t="s">
        <v>424</v>
      </c>
      <c r="C18" s="6" t="s">
        <v>425</v>
      </c>
      <c r="D18" s="5">
        <v>680.48</v>
      </c>
      <c r="E18" s="3" t="s">
        <v>397</v>
      </c>
      <c r="F18" t="s">
        <v>23</v>
      </c>
    </row>
    <row r="19" spans="1:6">
      <c r="A19" s="2">
        <v>46027</v>
      </c>
      <c r="B19" s="3" t="s">
        <v>426</v>
      </c>
      <c r="C19" s="6" t="s">
        <v>427</v>
      </c>
      <c r="D19" s="5">
        <v>396.26</v>
      </c>
      <c r="E19" s="3" t="s">
        <v>397</v>
      </c>
      <c r="F19" t="s">
        <v>23</v>
      </c>
    </row>
    <row r="20" spans="1:6">
      <c r="A20" s="2">
        <v>46027</v>
      </c>
      <c r="B20" s="3" t="s">
        <v>428</v>
      </c>
      <c r="C20" s="6" t="s">
        <v>429</v>
      </c>
      <c r="D20" s="5">
        <v>325</v>
      </c>
      <c r="E20" s="3" t="s">
        <v>397</v>
      </c>
      <c r="F20" t="s">
        <v>23</v>
      </c>
    </row>
    <row r="21" spans="1:6">
      <c r="A21" s="2">
        <v>46027</v>
      </c>
      <c r="B21" s="3" t="s">
        <v>430</v>
      </c>
      <c r="C21" s="6" t="s">
        <v>431</v>
      </c>
      <c r="D21" s="5">
        <v>557.1</v>
      </c>
      <c r="E21" s="3" t="s">
        <v>397</v>
      </c>
      <c r="F21" t="s">
        <v>23</v>
      </c>
    </row>
    <row r="22" spans="1:6">
      <c r="A22" s="2">
        <v>46027</v>
      </c>
      <c r="B22" s="3" t="s">
        <v>432</v>
      </c>
      <c r="C22" s="6" t="s">
        <v>433</v>
      </c>
      <c r="D22" s="5">
        <v>777.3</v>
      </c>
      <c r="E22" s="3" t="s">
        <v>397</v>
      </c>
      <c r="F22" t="s">
        <v>23</v>
      </c>
    </row>
    <row r="23" spans="1:6">
      <c r="A23" s="2">
        <v>46027</v>
      </c>
      <c r="B23" s="3" t="s">
        <v>434</v>
      </c>
      <c r="C23" s="6" t="s">
        <v>435</v>
      </c>
      <c r="D23" s="5">
        <v>423.84</v>
      </c>
      <c r="E23" s="3" t="s">
        <v>397</v>
      </c>
      <c r="F23" t="s">
        <v>23</v>
      </c>
    </row>
    <row r="24" spans="1:6">
      <c r="A24" s="2">
        <v>46027</v>
      </c>
      <c r="B24" s="3" t="s">
        <v>404</v>
      </c>
      <c r="C24" s="6" t="s">
        <v>436</v>
      </c>
      <c r="D24" s="5">
        <v>476.66</v>
      </c>
      <c r="E24" s="3" t="s">
        <v>397</v>
      </c>
      <c r="F24" t="s">
        <v>23</v>
      </c>
    </row>
    <row r="25" spans="1:6">
      <c r="A25" s="2">
        <v>46027</v>
      </c>
      <c r="B25" s="3" t="s">
        <v>418</v>
      </c>
      <c r="C25" s="6" t="s">
        <v>437</v>
      </c>
      <c r="D25" s="5">
        <v>1144.1199999999999</v>
      </c>
      <c r="E25" s="3" t="s">
        <v>397</v>
      </c>
      <c r="F25" t="s">
        <v>23</v>
      </c>
    </row>
    <row r="26" spans="1:6">
      <c r="A26" s="2">
        <v>46028</v>
      </c>
      <c r="B26" s="3" t="s">
        <v>438</v>
      </c>
      <c r="C26" s="6" t="s">
        <v>439</v>
      </c>
      <c r="D26" s="5">
        <v>726.23</v>
      </c>
      <c r="E26" s="3" t="s">
        <v>397</v>
      </c>
      <c r="F26" t="s">
        <v>23</v>
      </c>
    </row>
    <row r="27" spans="1:6">
      <c r="A27" s="2">
        <v>46028</v>
      </c>
      <c r="B27" s="3" t="s">
        <v>440</v>
      </c>
      <c r="C27" s="6" t="s">
        <v>441</v>
      </c>
      <c r="D27" s="5">
        <v>1320.14</v>
      </c>
      <c r="E27" s="3" t="s">
        <v>397</v>
      </c>
      <c r="F27" t="s">
        <v>23</v>
      </c>
    </row>
    <row r="28" spans="1:6">
      <c r="A28" s="2">
        <v>46028</v>
      </c>
      <c r="B28" s="3" t="s">
        <v>438</v>
      </c>
      <c r="C28" s="6" t="s">
        <v>442</v>
      </c>
      <c r="D28" s="5">
        <v>767.14</v>
      </c>
      <c r="E28" s="3" t="s">
        <v>397</v>
      </c>
      <c r="F28" t="s">
        <v>23</v>
      </c>
    </row>
    <row r="29" spans="1:6">
      <c r="A29" s="2">
        <v>46028</v>
      </c>
      <c r="B29" s="3" t="s">
        <v>438</v>
      </c>
      <c r="C29" s="6" t="s">
        <v>443</v>
      </c>
      <c r="D29" s="5">
        <v>750.35</v>
      </c>
      <c r="E29" s="3" t="s">
        <v>397</v>
      </c>
      <c r="F29" t="s">
        <v>23</v>
      </c>
    </row>
    <row r="30" spans="1:6">
      <c r="A30" s="2">
        <v>46028</v>
      </c>
      <c r="B30" s="3" t="s">
        <v>444</v>
      </c>
      <c r="C30" s="6" t="s">
        <v>445</v>
      </c>
      <c r="D30" s="5">
        <v>867.2</v>
      </c>
      <c r="E30" s="3" t="s">
        <v>397</v>
      </c>
      <c r="F30" t="s">
        <v>23</v>
      </c>
    </row>
    <row r="31" spans="1:6">
      <c r="A31" s="2">
        <v>46028</v>
      </c>
      <c r="B31" s="3" t="s">
        <v>398</v>
      </c>
      <c r="C31" s="6" t="s">
        <v>446</v>
      </c>
      <c r="D31" s="5">
        <v>745</v>
      </c>
      <c r="E31" s="3" t="s">
        <v>397</v>
      </c>
      <c r="F31" t="s">
        <v>23</v>
      </c>
    </row>
    <row r="32" spans="1:6">
      <c r="A32" s="2">
        <v>46028</v>
      </c>
      <c r="B32" s="3" t="s">
        <v>447</v>
      </c>
      <c r="C32" s="6" t="s">
        <v>182</v>
      </c>
      <c r="D32" s="5">
        <v>35</v>
      </c>
      <c r="E32" s="3" t="s">
        <v>397</v>
      </c>
      <c r="F32" t="s">
        <v>23</v>
      </c>
    </row>
    <row r="33" spans="1:6">
      <c r="A33" s="2">
        <v>46029</v>
      </c>
      <c r="B33" s="3" t="s">
        <v>448</v>
      </c>
      <c r="C33" s="6">
        <v>11813</v>
      </c>
      <c r="D33" s="5">
        <v>23.76</v>
      </c>
      <c r="E33" s="3" t="s">
        <v>397</v>
      </c>
      <c r="F33" t="s">
        <v>23</v>
      </c>
    </row>
    <row r="34" spans="1:6">
      <c r="A34" s="2">
        <v>46029</v>
      </c>
      <c r="B34" s="3" t="s">
        <v>449</v>
      </c>
      <c r="C34" s="6" t="s">
        <v>450</v>
      </c>
      <c r="D34" s="5">
        <v>160</v>
      </c>
      <c r="E34" s="3" t="s">
        <v>397</v>
      </c>
      <c r="F34" t="s">
        <v>23</v>
      </c>
    </row>
    <row r="35" spans="1:6">
      <c r="A35" s="2">
        <v>46029</v>
      </c>
      <c r="B35" s="3" t="s">
        <v>451</v>
      </c>
      <c r="C35" s="6">
        <v>11885</v>
      </c>
      <c r="D35" s="5">
        <v>316</v>
      </c>
      <c r="E35" s="3" t="s">
        <v>397</v>
      </c>
      <c r="F35" t="s">
        <v>23</v>
      </c>
    </row>
    <row r="36" spans="1:6">
      <c r="A36" s="2">
        <v>46029</v>
      </c>
      <c r="B36" s="3" t="s">
        <v>398</v>
      </c>
      <c r="C36" s="6" t="s">
        <v>452</v>
      </c>
      <c r="D36" s="5">
        <v>2396.4</v>
      </c>
      <c r="E36" s="3" t="s">
        <v>397</v>
      </c>
      <c r="F36" t="s">
        <v>23</v>
      </c>
    </row>
    <row r="37" spans="1:6">
      <c r="A37" s="2">
        <v>46029</v>
      </c>
      <c r="B37" s="3" t="s">
        <v>453</v>
      </c>
      <c r="C37" s="6" t="s">
        <v>454</v>
      </c>
      <c r="D37" s="5">
        <v>376.67</v>
      </c>
      <c r="E37" s="3" t="s">
        <v>397</v>
      </c>
      <c r="F37" t="s">
        <v>23</v>
      </c>
    </row>
    <row r="38" spans="1:6">
      <c r="A38" s="2">
        <v>46029</v>
      </c>
      <c r="B38" s="3" t="s">
        <v>409</v>
      </c>
      <c r="C38" s="6" t="s">
        <v>455</v>
      </c>
      <c r="D38" s="5">
        <v>589</v>
      </c>
      <c r="E38" s="3" t="s">
        <v>397</v>
      </c>
      <c r="F38" t="s">
        <v>23</v>
      </c>
    </row>
    <row r="39" spans="1:6">
      <c r="A39" s="2">
        <v>46029</v>
      </c>
      <c r="B39" s="3" t="s">
        <v>398</v>
      </c>
      <c r="C39" s="6" t="s">
        <v>456</v>
      </c>
      <c r="D39" s="5">
        <v>2142.0700000000002</v>
      </c>
      <c r="E39" s="3" t="s">
        <v>397</v>
      </c>
      <c r="F39" t="s">
        <v>23</v>
      </c>
    </row>
    <row r="40" spans="1:6">
      <c r="A40" s="2">
        <v>46029</v>
      </c>
      <c r="B40" s="3" t="s">
        <v>407</v>
      </c>
      <c r="C40" s="6" t="s">
        <v>457</v>
      </c>
      <c r="D40" s="5">
        <v>659.52</v>
      </c>
      <c r="E40" s="3" t="s">
        <v>397</v>
      </c>
      <c r="F40" t="s">
        <v>23</v>
      </c>
    </row>
    <row r="41" spans="1:6">
      <c r="A41" s="2">
        <v>46030</v>
      </c>
      <c r="B41" s="3" t="s">
        <v>458</v>
      </c>
      <c r="C41" s="6">
        <v>11919</v>
      </c>
      <c r="D41" s="5">
        <v>232</v>
      </c>
      <c r="E41" s="3" t="s">
        <v>397</v>
      </c>
      <c r="F41" t="s">
        <v>23</v>
      </c>
    </row>
    <row r="42" spans="1:6">
      <c r="A42" s="2">
        <v>46030</v>
      </c>
      <c r="B42" s="3" t="s">
        <v>418</v>
      </c>
      <c r="C42" s="6" t="s">
        <v>459</v>
      </c>
      <c r="D42" s="5">
        <v>532.77</v>
      </c>
      <c r="E42" s="3" t="s">
        <v>397</v>
      </c>
      <c r="F42" t="s">
        <v>23</v>
      </c>
    </row>
    <row r="43" spans="1:6">
      <c r="A43" s="2">
        <v>46030</v>
      </c>
      <c r="B43" s="3" t="s">
        <v>460</v>
      </c>
      <c r="C43" s="6" t="s">
        <v>461</v>
      </c>
      <c r="D43" s="5">
        <v>250</v>
      </c>
      <c r="E43" s="3" t="s">
        <v>397</v>
      </c>
      <c r="F43" t="s">
        <v>23</v>
      </c>
    </row>
    <row r="44" spans="1:6">
      <c r="A44" s="2">
        <v>46030</v>
      </c>
      <c r="B44" s="3" t="s">
        <v>398</v>
      </c>
      <c r="C44" s="6" t="s">
        <v>462</v>
      </c>
      <c r="D44" s="5">
        <v>594.35</v>
      </c>
      <c r="E44" s="3" t="s">
        <v>397</v>
      </c>
      <c r="F44" t="s">
        <v>23</v>
      </c>
    </row>
    <row r="45" spans="1:6">
      <c r="A45" s="2">
        <v>46030</v>
      </c>
      <c r="B45" s="3" t="s">
        <v>409</v>
      </c>
      <c r="C45" s="6" t="s">
        <v>463</v>
      </c>
      <c r="D45" s="5">
        <v>843.67</v>
      </c>
      <c r="E45" s="3" t="s">
        <v>397</v>
      </c>
      <c r="F45" t="s">
        <v>23</v>
      </c>
    </row>
    <row r="46" spans="1:6">
      <c r="A46" s="2">
        <v>46030</v>
      </c>
      <c r="B46" s="3" t="s">
        <v>464</v>
      </c>
      <c r="C46" s="6" t="s">
        <v>465</v>
      </c>
      <c r="D46" s="5">
        <v>723.23</v>
      </c>
      <c r="E46" s="3" t="s">
        <v>397</v>
      </c>
      <c r="F46" t="s">
        <v>23</v>
      </c>
    </row>
    <row r="47" spans="1:6">
      <c r="A47" s="2">
        <v>46030</v>
      </c>
      <c r="B47" s="3" t="s">
        <v>430</v>
      </c>
      <c r="C47" s="6" t="s">
        <v>466</v>
      </c>
      <c r="D47" s="5">
        <v>481.94</v>
      </c>
      <c r="E47" s="3" t="s">
        <v>397</v>
      </c>
      <c r="F47" t="s">
        <v>23</v>
      </c>
    </row>
    <row r="48" spans="1:6">
      <c r="A48" s="2">
        <v>46031</v>
      </c>
      <c r="B48" s="3" t="s">
        <v>467</v>
      </c>
      <c r="C48" s="6" t="s">
        <v>468</v>
      </c>
      <c r="D48" s="5">
        <v>270</v>
      </c>
      <c r="E48" s="3" t="s">
        <v>397</v>
      </c>
      <c r="F48" t="s">
        <v>23</v>
      </c>
    </row>
    <row r="49" spans="1:6">
      <c r="A49" s="2">
        <v>46031</v>
      </c>
      <c r="B49" s="3" t="s">
        <v>469</v>
      </c>
      <c r="C49" s="6" t="s">
        <v>470</v>
      </c>
      <c r="D49" s="5">
        <v>252</v>
      </c>
      <c r="E49" s="3" t="s">
        <v>397</v>
      </c>
      <c r="F49" t="s">
        <v>23</v>
      </c>
    </row>
    <row r="50" spans="1:6">
      <c r="A50" s="2">
        <v>46031</v>
      </c>
      <c r="B50" s="3" t="s">
        <v>471</v>
      </c>
      <c r="C50" s="6" t="s">
        <v>472</v>
      </c>
      <c r="D50" s="5">
        <v>340.84</v>
      </c>
      <c r="E50" s="3" t="s">
        <v>397</v>
      </c>
      <c r="F50" t="s">
        <v>23</v>
      </c>
    </row>
    <row r="51" spans="1:6">
      <c r="A51" s="2">
        <v>46031</v>
      </c>
      <c r="B51" s="3" t="s">
        <v>404</v>
      </c>
      <c r="C51" s="6" t="s">
        <v>473</v>
      </c>
      <c r="D51" s="5">
        <v>1331.67</v>
      </c>
      <c r="E51" s="3" t="s">
        <v>397</v>
      </c>
      <c r="F51" t="s">
        <v>23</v>
      </c>
    </row>
    <row r="52" spans="1:6">
      <c r="A52" s="2">
        <v>46031</v>
      </c>
      <c r="B52" s="3" t="s">
        <v>404</v>
      </c>
      <c r="C52" s="6" t="s">
        <v>474</v>
      </c>
      <c r="D52" s="5">
        <v>797</v>
      </c>
      <c r="E52" s="3" t="s">
        <v>397</v>
      </c>
      <c r="F52" t="s">
        <v>23</v>
      </c>
    </row>
    <row r="53" spans="1:6">
      <c r="A53" s="2">
        <v>46031</v>
      </c>
      <c r="B53" s="3" t="s">
        <v>475</v>
      </c>
      <c r="C53" s="6" t="s">
        <v>476</v>
      </c>
      <c r="D53" s="5">
        <v>1943.46</v>
      </c>
      <c r="E53" s="3" t="s">
        <v>397</v>
      </c>
      <c r="F53" t="s">
        <v>23</v>
      </c>
    </row>
    <row r="54" spans="1:6">
      <c r="A54" s="2">
        <v>46031</v>
      </c>
      <c r="B54" s="3" t="s">
        <v>475</v>
      </c>
      <c r="C54" s="6" t="s">
        <v>477</v>
      </c>
      <c r="D54" s="5">
        <v>35.270000000000003</v>
      </c>
      <c r="E54" s="3" t="s">
        <v>397</v>
      </c>
      <c r="F54" t="s">
        <v>23</v>
      </c>
    </row>
    <row r="55" spans="1:6">
      <c r="A55" s="2">
        <v>46031</v>
      </c>
      <c r="B55" s="3" t="s">
        <v>475</v>
      </c>
      <c r="C55" s="6" t="s">
        <v>478</v>
      </c>
      <c r="D55" s="5">
        <v>963.16</v>
      </c>
      <c r="E55" s="3" t="s">
        <v>397</v>
      </c>
      <c r="F55" t="s">
        <v>23</v>
      </c>
    </row>
    <row r="56" spans="1:6">
      <c r="A56" s="2">
        <v>46031</v>
      </c>
      <c r="B56" s="3" t="s">
        <v>479</v>
      </c>
      <c r="C56" s="6" t="s">
        <v>480</v>
      </c>
      <c r="D56" s="5">
        <v>558.75</v>
      </c>
      <c r="E56" s="3" t="s">
        <v>397</v>
      </c>
      <c r="F56" t="s">
        <v>23</v>
      </c>
    </row>
    <row r="57" spans="1:6">
      <c r="A57" s="2">
        <v>46031</v>
      </c>
      <c r="B57" s="3" t="s">
        <v>481</v>
      </c>
      <c r="C57" s="6" t="s">
        <v>482</v>
      </c>
      <c r="D57" s="5">
        <v>811.2</v>
      </c>
      <c r="E57" s="3" t="s">
        <v>397</v>
      </c>
      <c r="F57" t="s">
        <v>23</v>
      </c>
    </row>
    <row r="58" spans="1:6">
      <c r="A58" s="2">
        <v>46034</v>
      </c>
      <c r="B58" s="7" t="s">
        <v>483</v>
      </c>
      <c r="C58" s="8" t="s">
        <v>484</v>
      </c>
      <c r="D58" s="5">
        <v>7299.76</v>
      </c>
      <c r="E58" s="3" t="s">
        <v>397</v>
      </c>
      <c r="F58" t="s">
        <v>23</v>
      </c>
    </row>
    <row r="59" spans="1:6">
      <c r="A59" s="2">
        <v>46034</v>
      </c>
      <c r="B59" s="9" t="s">
        <v>481</v>
      </c>
      <c r="C59" s="10" t="s">
        <v>485</v>
      </c>
      <c r="D59" s="5">
        <v>794.1</v>
      </c>
      <c r="E59" s="3" t="s">
        <v>397</v>
      </c>
      <c r="F59" t="s">
        <v>23</v>
      </c>
    </row>
    <row r="60" spans="1:6">
      <c r="A60" s="2">
        <v>46034</v>
      </c>
      <c r="B60" s="7" t="s">
        <v>424</v>
      </c>
      <c r="C60" s="8" t="s">
        <v>486</v>
      </c>
      <c r="D60" s="5">
        <v>765.87</v>
      </c>
      <c r="E60" s="3" t="s">
        <v>397</v>
      </c>
      <c r="F60" t="s">
        <v>23</v>
      </c>
    </row>
    <row r="61" spans="1:6">
      <c r="A61" s="2">
        <v>46034</v>
      </c>
      <c r="B61" s="9" t="s">
        <v>418</v>
      </c>
      <c r="C61" s="10" t="s">
        <v>487</v>
      </c>
      <c r="D61" s="5">
        <v>306.14</v>
      </c>
      <c r="E61" s="3" t="s">
        <v>397</v>
      </c>
      <c r="F61" t="s">
        <v>23</v>
      </c>
    </row>
    <row r="62" spans="1:6">
      <c r="A62" s="2">
        <v>46034</v>
      </c>
      <c r="B62" s="7" t="s">
        <v>488</v>
      </c>
      <c r="C62" s="8" t="s">
        <v>489</v>
      </c>
      <c r="D62" s="5">
        <v>718.26</v>
      </c>
      <c r="E62" s="3" t="s">
        <v>397</v>
      </c>
      <c r="F62" t="s">
        <v>23</v>
      </c>
    </row>
    <row r="63" spans="1:6">
      <c r="A63" s="2">
        <v>46034</v>
      </c>
      <c r="B63" s="9" t="s">
        <v>422</v>
      </c>
      <c r="C63" s="10" t="s">
        <v>490</v>
      </c>
      <c r="D63" s="5">
        <v>2076</v>
      </c>
      <c r="E63" s="3" t="s">
        <v>397</v>
      </c>
      <c r="F63" t="s">
        <v>23</v>
      </c>
    </row>
    <row r="64" spans="1:6">
      <c r="A64" s="2">
        <v>46034</v>
      </c>
      <c r="B64" s="7" t="s">
        <v>491</v>
      </c>
      <c r="C64" s="8" t="s">
        <v>492</v>
      </c>
      <c r="D64" s="5">
        <v>900.72</v>
      </c>
      <c r="E64" s="3" t="s">
        <v>397</v>
      </c>
      <c r="F64" t="s">
        <v>23</v>
      </c>
    </row>
    <row r="65" spans="1:6">
      <c r="A65" s="11">
        <v>46035</v>
      </c>
      <c r="B65" s="12" t="s">
        <v>493</v>
      </c>
      <c r="C65" s="13" t="s">
        <v>494</v>
      </c>
      <c r="D65" s="5">
        <v>1305.3699999999999</v>
      </c>
      <c r="E65" s="3" t="s">
        <v>397</v>
      </c>
      <c r="F65" t="s">
        <v>23</v>
      </c>
    </row>
    <row r="66" spans="1:6">
      <c r="A66" s="11">
        <v>46035</v>
      </c>
      <c r="B66" s="3" t="s">
        <v>449</v>
      </c>
      <c r="C66" s="4" t="s">
        <v>450</v>
      </c>
      <c r="D66" s="5">
        <v>160</v>
      </c>
      <c r="E66" s="3" t="s">
        <v>397</v>
      </c>
      <c r="F66" t="s">
        <v>23</v>
      </c>
    </row>
    <row r="67" spans="1:6">
      <c r="A67" s="11">
        <v>46035</v>
      </c>
      <c r="B67" s="7" t="s">
        <v>495</v>
      </c>
      <c r="C67" s="8">
        <v>11973</v>
      </c>
      <c r="D67" s="5">
        <v>4029</v>
      </c>
      <c r="E67" s="3" t="s">
        <v>397</v>
      </c>
      <c r="F67" t="s">
        <v>23</v>
      </c>
    </row>
    <row r="68" spans="1:6">
      <c r="A68" s="11">
        <v>46036</v>
      </c>
      <c r="B68" s="3" t="s">
        <v>496</v>
      </c>
      <c r="C68" s="4">
        <v>11959</v>
      </c>
      <c r="D68" s="5">
        <v>253.2</v>
      </c>
      <c r="E68" s="3" t="s">
        <v>397</v>
      </c>
      <c r="F68" t="s">
        <v>23</v>
      </c>
    </row>
    <row r="69" spans="1:6">
      <c r="A69" s="11">
        <v>46036</v>
      </c>
      <c r="B69" s="7" t="s">
        <v>497</v>
      </c>
      <c r="C69" s="8" t="s">
        <v>498</v>
      </c>
      <c r="D69" s="5">
        <v>1359.74</v>
      </c>
      <c r="E69" s="3" t="s">
        <v>397</v>
      </c>
      <c r="F69" t="s">
        <v>23</v>
      </c>
    </row>
    <row r="70" spans="1:6">
      <c r="A70" s="11">
        <v>46036</v>
      </c>
      <c r="B70" s="9" t="s">
        <v>497</v>
      </c>
      <c r="C70" s="10" t="s">
        <v>499</v>
      </c>
      <c r="D70" s="5">
        <v>1300.95</v>
      </c>
      <c r="E70" s="3" t="s">
        <v>397</v>
      </c>
      <c r="F70" t="s">
        <v>23</v>
      </c>
    </row>
    <row r="71" spans="1:6">
      <c r="A71" s="11">
        <v>46036</v>
      </c>
      <c r="B71" s="7" t="s">
        <v>497</v>
      </c>
      <c r="C71" s="8" t="s">
        <v>500</v>
      </c>
      <c r="D71" s="5">
        <v>1242.1500000000001</v>
      </c>
      <c r="E71" s="3" t="s">
        <v>397</v>
      </c>
      <c r="F71" t="s">
        <v>23</v>
      </c>
    </row>
    <row r="72" spans="1:6">
      <c r="A72" s="2">
        <v>46036</v>
      </c>
      <c r="B72" s="9" t="s">
        <v>398</v>
      </c>
      <c r="C72" s="10" t="s">
        <v>501</v>
      </c>
      <c r="D72" s="5">
        <v>2396.4</v>
      </c>
      <c r="E72" s="3" t="s">
        <v>397</v>
      </c>
      <c r="F72" t="s">
        <v>23</v>
      </c>
    </row>
    <row r="73" spans="1:6">
      <c r="A73" s="2">
        <v>46036</v>
      </c>
      <c r="B73" s="7" t="s">
        <v>502</v>
      </c>
      <c r="C73" s="8" t="s">
        <v>503</v>
      </c>
      <c r="D73" s="5">
        <v>1153.8</v>
      </c>
      <c r="E73" s="3" t="s">
        <v>397</v>
      </c>
      <c r="F73" t="s">
        <v>23</v>
      </c>
    </row>
    <row r="74" spans="1:6">
      <c r="A74" s="2">
        <v>46037</v>
      </c>
      <c r="B74" s="3" t="s">
        <v>449</v>
      </c>
      <c r="C74" s="4" t="s">
        <v>450</v>
      </c>
      <c r="D74" s="5">
        <v>489.5</v>
      </c>
      <c r="E74" s="3" t="s">
        <v>397</v>
      </c>
      <c r="F74" t="s">
        <v>23</v>
      </c>
    </row>
    <row r="75" spans="1:6">
      <c r="A75" s="2">
        <v>46037</v>
      </c>
      <c r="B75" s="3" t="s">
        <v>504</v>
      </c>
      <c r="C75" s="4">
        <v>11968</v>
      </c>
      <c r="D75" s="5">
        <v>93.2</v>
      </c>
      <c r="E75" s="3" t="s">
        <v>397</v>
      </c>
      <c r="F75" t="s">
        <v>23</v>
      </c>
    </row>
    <row r="76" spans="1:6">
      <c r="A76" s="2">
        <v>46038</v>
      </c>
      <c r="B76" s="14" t="s">
        <v>424</v>
      </c>
      <c r="C76" s="15" t="s">
        <v>505</v>
      </c>
      <c r="D76" s="5">
        <v>811.07</v>
      </c>
      <c r="E76" s="3" t="s">
        <v>397</v>
      </c>
      <c r="F76" t="s">
        <v>23</v>
      </c>
    </row>
    <row r="77" spans="1:6">
      <c r="A77" s="2">
        <v>46038</v>
      </c>
      <c r="B77" s="12" t="s">
        <v>506</v>
      </c>
      <c r="C77" s="13" t="s">
        <v>507</v>
      </c>
      <c r="D77" s="5">
        <v>1012.38</v>
      </c>
      <c r="E77" s="3" t="s">
        <v>397</v>
      </c>
      <c r="F77" t="s">
        <v>23</v>
      </c>
    </row>
    <row r="78" spans="1:6">
      <c r="A78" s="2">
        <v>46038</v>
      </c>
      <c r="B78" s="14" t="s">
        <v>260</v>
      </c>
      <c r="C78" s="15" t="s">
        <v>508</v>
      </c>
      <c r="D78" s="5">
        <v>485</v>
      </c>
      <c r="E78" s="3" t="s">
        <v>397</v>
      </c>
      <c r="F78" t="s">
        <v>23</v>
      </c>
    </row>
    <row r="79" spans="1:6">
      <c r="A79" s="2">
        <v>46038</v>
      </c>
      <c r="B79" s="12" t="s">
        <v>402</v>
      </c>
      <c r="C79" s="13" t="s">
        <v>509</v>
      </c>
      <c r="D79" s="5">
        <v>1016.83</v>
      </c>
      <c r="E79" s="3" t="s">
        <v>397</v>
      </c>
      <c r="F79" t="s">
        <v>23</v>
      </c>
    </row>
    <row r="80" spans="1:6">
      <c r="A80" s="2">
        <v>46038</v>
      </c>
      <c r="B80" s="14" t="s">
        <v>510</v>
      </c>
      <c r="C80" s="15" t="s">
        <v>511</v>
      </c>
      <c r="D80" s="5">
        <v>880</v>
      </c>
      <c r="E80" s="3" t="s">
        <v>397</v>
      </c>
      <c r="F80" t="s">
        <v>23</v>
      </c>
    </row>
    <row r="81" spans="1:6">
      <c r="A81" s="2">
        <v>46038</v>
      </c>
      <c r="B81" s="12" t="s">
        <v>448</v>
      </c>
      <c r="C81" s="4">
        <v>11945</v>
      </c>
      <c r="D81" s="5">
        <v>56</v>
      </c>
      <c r="E81" s="3" t="s">
        <v>397</v>
      </c>
      <c r="F81" t="s">
        <v>23</v>
      </c>
    </row>
    <row r="82" spans="1:6">
      <c r="A82" s="2">
        <v>46041</v>
      </c>
      <c r="B82" s="14" t="s">
        <v>422</v>
      </c>
      <c r="C82" s="4">
        <v>11849</v>
      </c>
      <c r="D82" s="5">
        <v>1540</v>
      </c>
      <c r="E82" s="3" t="s">
        <v>397</v>
      </c>
      <c r="F82" t="s">
        <v>23</v>
      </c>
    </row>
    <row r="83" spans="1:6">
      <c r="A83" s="2">
        <v>46041</v>
      </c>
      <c r="B83" s="12" t="s">
        <v>404</v>
      </c>
      <c r="C83" s="4">
        <v>11854</v>
      </c>
      <c r="D83" s="5">
        <v>476.67</v>
      </c>
      <c r="E83" s="3" t="s">
        <v>397</v>
      </c>
      <c r="F83" t="s">
        <v>23</v>
      </c>
    </row>
    <row r="84" spans="1:6">
      <c r="A84" s="2">
        <v>46041</v>
      </c>
      <c r="B84" s="14" t="s">
        <v>256</v>
      </c>
      <c r="C84" s="4">
        <v>11913</v>
      </c>
      <c r="D84" s="5">
        <v>481</v>
      </c>
      <c r="E84" s="3" t="s">
        <v>397</v>
      </c>
      <c r="F84" t="s">
        <v>23</v>
      </c>
    </row>
    <row r="85" spans="1:6">
      <c r="A85" s="2">
        <v>46041</v>
      </c>
      <c r="B85" s="12" t="s">
        <v>502</v>
      </c>
      <c r="C85" s="4">
        <v>11925</v>
      </c>
      <c r="D85" s="5">
        <v>1153.81</v>
      </c>
      <c r="E85" s="3" t="s">
        <v>397</v>
      </c>
      <c r="F85" t="s">
        <v>23</v>
      </c>
    </row>
    <row r="86" spans="1:6">
      <c r="A86" s="2">
        <v>46042</v>
      </c>
      <c r="B86" s="14" t="s">
        <v>512</v>
      </c>
      <c r="C86" s="4">
        <v>11712</v>
      </c>
      <c r="D86" s="5">
        <v>1150</v>
      </c>
      <c r="E86" s="3" t="s">
        <v>397</v>
      </c>
      <c r="F86" t="s">
        <v>23</v>
      </c>
    </row>
    <row r="87" spans="1:6">
      <c r="A87" s="2">
        <v>46043</v>
      </c>
      <c r="B87" s="12" t="s">
        <v>266</v>
      </c>
      <c r="C87" s="4">
        <v>11650</v>
      </c>
      <c r="D87" s="5">
        <v>785.77</v>
      </c>
      <c r="E87" s="3" t="s">
        <v>397</v>
      </c>
      <c r="F87" t="s">
        <v>23</v>
      </c>
    </row>
    <row r="88" spans="1:6">
      <c r="A88" s="2">
        <v>46043</v>
      </c>
      <c r="B88" s="14" t="s">
        <v>398</v>
      </c>
      <c r="C88" s="4">
        <v>11886</v>
      </c>
      <c r="D88" s="5">
        <v>2396.4</v>
      </c>
      <c r="E88" s="3" t="s">
        <v>397</v>
      </c>
      <c r="F88" t="s">
        <v>23</v>
      </c>
    </row>
    <row r="89" spans="1:6">
      <c r="A89" s="2">
        <v>46043</v>
      </c>
      <c r="B89" s="12" t="s">
        <v>513</v>
      </c>
      <c r="C89" s="4">
        <v>11995</v>
      </c>
      <c r="D89" s="5">
        <v>1500</v>
      </c>
      <c r="E89" s="3" t="s">
        <v>397</v>
      </c>
      <c r="F89" t="s">
        <v>23</v>
      </c>
    </row>
    <row r="90" spans="1:6">
      <c r="A90" s="2">
        <v>46044</v>
      </c>
      <c r="B90" s="12" t="s">
        <v>513</v>
      </c>
      <c r="C90" s="4">
        <v>12013</v>
      </c>
      <c r="D90" s="5">
        <v>5039.6000000000004</v>
      </c>
      <c r="E90" s="3" t="s">
        <v>397</v>
      </c>
      <c r="F90" t="s">
        <v>23</v>
      </c>
    </row>
    <row r="91" spans="1:6">
      <c r="A91" s="2">
        <v>46044</v>
      </c>
      <c r="B91" s="12" t="s">
        <v>418</v>
      </c>
      <c r="C91" s="4">
        <v>11920</v>
      </c>
      <c r="D91" s="5">
        <v>333.36</v>
      </c>
      <c r="E91" s="3" t="s">
        <v>397</v>
      </c>
      <c r="F91" t="s">
        <v>23</v>
      </c>
    </row>
    <row r="92" spans="1:6">
      <c r="A92" s="2">
        <v>46044</v>
      </c>
      <c r="B92" s="12" t="s">
        <v>514</v>
      </c>
      <c r="C92" s="4">
        <v>45</v>
      </c>
      <c r="D92" s="5">
        <v>160</v>
      </c>
      <c r="E92" s="3" t="s">
        <v>397</v>
      </c>
      <c r="F92" t="s">
        <v>23</v>
      </c>
    </row>
    <row r="93" spans="1:6">
      <c r="A93" s="2">
        <v>46045</v>
      </c>
      <c r="B93" s="12" t="s">
        <v>515</v>
      </c>
      <c r="C93" s="4">
        <v>11796</v>
      </c>
      <c r="D93" s="5">
        <v>538.33000000000004</v>
      </c>
      <c r="E93" s="3" t="s">
        <v>397</v>
      </c>
      <c r="F93" t="s">
        <v>23</v>
      </c>
    </row>
    <row r="94" spans="1:6">
      <c r="A94" s="2">
        <v>46048</v>
      </c>
      <c r="B94" s="12" t="s">
        <v>292</v>
      </c>
      <c r="C94" s="4">
        <v>11847</v>
      </c>
      <c r="D94" s="5">
        <v>145</v>
      </c>
      <c r="E94" s="3" t="s">
        <v>397</v>
      </c>
      <c r="F94" t="s">
        <v>23</v>
      </c>
    </row>
    <row r="95" spans="1:6">
      <c r="A95" s="2">
        <v>46048</v>
      </c>
      <c r="B95" s="12" t="s">
        <v>248</v>
      </c>
      <c r="C95" s="4">
        <v>11804</v>
      </c>
      <c r="D95" s="5">
        <v>3608.71</v>
      </c>
      <c r="E95" s="3" t="s">
        <v>397</v>
      </c>
      <c r="F95" t="s">
        <v>23</v>
      </c>
    </row>
    <row r="96" spans="1:6">
      <c r="A96" s="2">
        <v>46048</v>
      </c>
      <c r="B96" s="12" t="s">
        <v>479</v>
      </c>
      <c r="C96" s="4">
        <v>11797</v>
      </c>
      <c r="D96" s="5">
        <v>558.75</v>
      </c>
      <c r="E96" s="3" t="s">
        <v>397</v>
      </c>
      <c r="F96" t="s">
        <v>23</v>
      </c>
    </row>
    <row r="97" spans="1:6">
      <c r="A97" s="2">
        <v>46048</v>
      </c>
      <c r="B97" s="12" t="s">
        <v>483</v>
      </c>
      <c r="C97" s="4">
        <v>11803</v>
      </c>
      <c r="D97" s="5">
        <v>7299.76</v>
      </c>
      <c r="E97" s="3" t="s">
        <v>397</v>
      </c>
      <c r="F97" t="s">
        <v>23</v>
      </c>
    </row>
    <row r="98" spans="1:6">
      <c r="A98" s="2">
        <v>46048</v>
      </c>
      <c r="B98" s="12" t="s">
        <v>488</v>
      </c>
      <c r="C98" s="4">
        <v>11897</v>
      </c>
      <c r="D98" s="5">
        <v>718.27</v>
      </c>
      <c r="E98" s="3" t="s">
        <v>397</v>
      </c>
      <c r="F98" t="s">
        <v>23</v>
      </c>
    </row>
    <row r="99" spans="1:6">
      <c r="A99" s="2">
        <v>46048</v>
      </c>
      <c r="B99" s="12" t="s">
        <v>422</v>
      </c>
      <c r="C99" s="4">
        <v>11903</v>
      </c>
      <c r="D99" s="5">
        <v>2076</v>
      </c>
      <c r="E99" s="3" t="s">
        <v>397</v>
      </c>
      <c r="F99" t="s">
        <v>23</v>
      </c>
    </row>
    <row r="100" spans="1:6">
      <c r="A100" s="2">
        <v>46049</v>
      </c>
      <c r="B100" s="12" t="s">
        <v>448</v>
      </c>
      <c r="C100" s="4">
        <v>12012</v>
      </c>
      <c r="D100" s="5">
        <v>76</v>
      </c>
      <c r="E100" s="3" t="s">
        <v>397</v>
      </c>
      <c r="F100" t="s">
        <v>23</v>
      </c>
    </row>
    <row r="101" spans="1:6">
      <c r="A101" s="2">
        <v>46049</v>
      </c>
      <c r="B101" s="12" t="s">
        <v>516</v>
      </c>
      <c r="C101" s="4">
        <v>11934</v>
      </c>
      <c r="D101" s="5">
        <v>109.68</v>
      </c>
      <c r="E101" s="3" t="s">
        <v>397</v>
      </c>
      <c r="F101" t="s">
        <v>23</v>
      </c>
    </row>
    <row r="102" spans="1:6">
      <c r="A102" s="2">
        <v>46049</v>
      </c>
      <c r="B102" s="12" t="s">
        <v>248</v>
      </c>
      <c r="C102" s="4">
        <v>11668</v>
      </c>
      <c r="D102" s="5">
        <v>4977.29</v>
      </c>
      <c r="E102" s="3" t="s">
        <v>397</v>
      </c>
      <c r="F102" t="s">
        <v>23</v>
      </c>
    </row>
    <row r="103" spans="1:6">
      <c r="A103" s="2">
        <v>46051</v>
      </c>
      <c r="B103" s="12" t="s">
        <v>506</v>
      </c>
      <c r="C103" s="4">
        <v>12040</v>
      </c>
      <c r="D103" s="5">
        <v>163.5</v>
      </c>
      <c r="E103" s="3" t="s">
        <v>397</v>
      </c>
      <c r="F103" t="s">
        <v>23</v>
      </c>
    </row>
    <row r="104" spans="1:6">
      <c r="A104" s="2">
        <v>46051</v>
      </c>
      <c r="B104" s="12" t="s">
        <v>517</v>
      </c>
      <c r="C104" s="4" t="s">
        <v>518</v>
      </c>
      <c r="D104" s="5">
        <v>319.5</v>
      </c>
      <c r="E104" s="3" t="s">
        <v>397</v>
      </c>
      <c r="F104" t="s">
        <v>23</v>
      </c>
    </row>
    <row r="105" spans="1:6">
      <c r="A105" s="2">
        <v>46051</v>
      </c>
      <c r="B105" s="12" t="s">
        <v>519</v>
      </c>
      <c r="C105" s="4">
        <v>11757</v>
      </c>
      <c r="D105" s="5">
        <v>32</v>
      </c>
      <c r="E105" s="3" t="s">
        <v>397</v>
      </c>
      <c r="F105" t="s">
        <v>23</v>
      </c>
    </row>
    <row r="106" spans="1:6">
      <c r="A106" s="2">
        <v>46051</v>
      </c>
      <c r="B106" s="12" t="s">
        <v>520</v>
      </c>
      <c r="C106" s="4">
        <v>11814</v>
      </c>
      <c r="D106" s="5">
        <v>120</v>
      </c>
      <c r="E106" s="3" t="s">
        <v>397</v>
      </c>
      <c r="F106" t="s">
        <v>23</v>
      </c>
    </row>
    <row r="107" spans="1:6">
      <c r="A107" s="2">
        <v>46051</v>
      </c>
      <c r="B107" s="12" t="s">
        <v>458</v>
      </c>
      <c r="C107" s="4">
        <v>12038</v>
      </c>
      <c r="D107" s="5">
        <v>301</v>
      </c>
      <c r="E107" s="3" t="s">
        <v>397</v>
      </c>
      <c r="F107" t="s">
        <v>23</v>
      </c>
    </row>
    <row r="108" spans="1:6">
      <c r="A108" s="2">
        <v>46051</v>
      </c>
      <c r="B108" s="12" t="s">
        <v>453</v>
      </c>
      <c r="C108" s="4">
        <v>11910</v>
      </c>
      <c r="D108" s="5">
        <v>2040</v>
      </c>
      <c r="E108" s="3" t="s">
        <v>397</v>
      </c>
      <c r="F108" t="s">
        <v>23</v>
      </c>
    </row>
    <row r="109" spans="1:6">
      <c r="A109" s="2">
        <v>46052</v>
      </c>
      <c r="B109" s="12" t="s">
        <v>521</v>
      </c>
      <c r="C109" s="4">
        <v>11836</v>
      </c>
      <c r="D109" s="5">
        <v>1016.83</v>
      </c>
      <c r="E109" s="3" t="s">
        <v>397</v>
      </c>
      <c r="F109" t="s">
        <v>23</v>
      </c>
    </row>
    <row r="110" spans="1:6">
      <c r="A110" s="2">
        <v>46052</v>
      </c>
      <c r="B110" s="12" t="s">
        <v>402</v>
      </c>
      <c r="C110" s="4">
        <v>11830</v>
      </c>
      <c r="D110" s="5">
        <v>2566.6799999999998</v>
      </c>
      <c r="E110" s="3" t="s">
        <v>397</v>
      </c>
      <c r="F110" t="s">
        <v>23</v>
      </c>
    </row>
    <row r="111" spans="1:6">
      <c r="A111" s="2">
        <v>46024</v>
      </c>
      <c r="B111" s="6" t="s">
        <v>522</v>
      </c>
      <c r="C111" s="16">
        <v>11834</v>
      </c>
      <c r="D111" s="17">
        <v>3850</v>
      </c>
      <c r="E111" s="3" t="s">
        <v>523</v>
      </c>
      <c r="F111" t="s">
        <v>23</v>
      </c>
    </row>
    <row r="112" spans="1:6">
      <c r="A112" s="2">
        <v>46038</v>
      </c>
      <c r="B112" s="18" t="s">
        <v>524</v>
      </c>
      <c r="C112" s="19">
        <v>37</v>
      </c>
      <c r="D112" s="20">
        <v>380.34</v>
      </c>
      <c r="E112" s="3" t="s">
        <v>523</v>
      </c>
      <c r="F112" t="s">
        <v>23</v>
      </c>
    </row>
    <row r="113" spans="1:7">
      <c r="A113" s="21">
        <v>46041</v>
      </c>
      <c r="B113" s="22" t="s">
        <v>525</v>
      </c>
      <c r="C113" s="23" t="s">
        <v>203</v>
      </c>
      <c r="D113" s="24">
        <v>10000</v>
      </c>
      <c r="E113" s="3" t="s">
        <v>523</v>
      </c>
      <c r="F113" t="s">
        <v>23</v>
      </c>
    </row>
    <row r="114" spans="1:7">
      <c r="A114" s="21">
        <v>46043</v>
      </c>
      <c r="B114" s="18" t="s">
        <v>524</v>
      </c>
      <c r="C114" s="19">
        <v>37</v>
      </c>
      <c r="D114" s="20">
        <v>380.33</v>
      </c>
      <c r="E114" s="3" t="s">
        <v>523</v>
      </c>
      <c r="F114" t="s">
        <v>23</v>
      </c>
    </row>
    <row r="115" spans="1:7">
      <c r="A115" s="21">
        <v>46050</v>
      </c>
      <c r="B115" s="18" t="s">
        <v>524</v>
      </c>
      <c r="C115" s="19">
        <v>37</v>
      </c>
      <c r="D115" s="20">
        <v>380.33</v>
      </c>
      <c r="E115" s="3" t="s">
        <v>523</v>
      </c>
      <c r="F115" t="s">
        <v>23</v>
      </c>
    </row>
    <row r="116" spans="1:7">
      <c r="A116" s="126">
        <v>46055</v>
      </c>
      <c r="B116" s="128" t="s">
        <v>526</v>
      </c>
      <c r="C116" s="133">
        <v>11777</v>
      </c>
      <c r="D116" s="134">
        <v>1012.38</v>
      </c>
      <c r="E116" s="130" t="s">
        <v>397</v>
      </c>
      <c r="F116" s="124" t="s">
        <v>24</v>
      </c>
      <c r="G116" s="297">
        <f>SUM(D116:D236)</f>
        <v>126679.25000000001</v>
      </c>
    </row>
    <row r="117" spans="1:7">
      <c r="A117" s="126">
        <v>46055</v>
      </c>
      <c r="B117" s="128" t="s">
        <v>527</v>
      </c>
      <c r="C117" s="133">
        <v>11849</v>
      </c>
      <c r="D117" s="134">
        <v>1540</v>
      </c>
      <c r="E117" s="130" t="s">
        <v>397</v>
      </c>
      <c r="F117" s="124" t="s">
        <v>24</v>
      </c>
    </row>
    <row r="118" spans="1:7">
      <c r="A118" s="126">
        <v>46055</v>
      </c>
      <c r="B118" s="128" t="s">
        <v>256</v>
      </c>
      <c r="C118" s="133">
        <v>11913</v>
      </c>
      <c r="D118" s="134">
        <v>481</v>
      </c>
      <c r="E118" s="130" t="s">
        <v>397</v>
      </c>
      <c r="F118" s="124" t="s">
        <v>24</v>
      </c>
    </row>
    <row r="119" spans="1:7">
      <c r="A119" s="126">
        <v>46056</v>
      </c>
      <c r="B119" s="128" t="s">
        <v>528</v>
      </c>
      <c r="C119" s="133">
        <v>11854</v>
      </c>
      <c r="D119" s="134">
        <v>476.67</v>
      </c>
      <c r="E119" s="130" t="s">
        <v>397</v>
      </c>
      <c r="F119" s="124" t="s">
        <v>24</v>
      </c>
    </row>
    <row r="120" spans="1:7">
      <c r="A120" s="126">
        <v>46056</v>
      </c>
      <c r="B120" s="128" t="s">
        <v>529</v>
      </c>
      <c r="C120" s="133">
        <v>11916</v>
      </c>
      <c r="D120" s="134">
        <v>2550</v>
      </c>
      <c r="E120" s="130" t="s">
        <v>397</v>
      </c>
      <c r="F120" s="124" t="s">
        <v>24</v>
      </c>
    </row>
    <row r="121" spans="1:7">
      <c r="A121" s="126">
        <v>46056</v>
      </c>
      <c r="B121" s="128" t="s">
        <v>530</v>
      </c>
      <c r="C121" s="133">
        <v>12052</v>
      </c>
      <c r="D121" s="134">
        <v>265.5</v>
      </c>
      <c r="E121" s="130" t="s">
        <v>397</v>
      </c>
      <c r="F121" s="124" t="s">
        <v>24</v>
      </c>
    </row>
    <row r="122" spans="1:7">
      <c r="A122" s="126">
        <v>46057</v>
      </c>
      <c r="B122" s="128" t="s">
        <v>384</v>
      </c>
      <c r="C122" s="133">
        <v>797</v>
      </c>
      <c r="D122" s="134">
        <v>1000</v>
      </c>
      <c r="E122" s="130" t="s">
        <v>397</v>
      </c>
      <c r="F122" s="124" t="s">
        <v>24</v>
      </c>
    </row>
    <row r="123" spans="1:7">
      <c r="A123" s="126">
        <v>46057</v>
      </c>
      <c r="B123" s="128" t="s">
        <v>531</v>
      </c>
      <c r="C123" s="133">
        <v>11917</v>
      </c>
      <c r="D123" s="134">
        <v>1087.6099999999999</v>
      </c>
      <c r="E123" s="130" t="s">
        <v>397</v>
      </c>
      <c r="F123" s="124" t="s">
        <v>24</v>
      </c>
    </row>
    <row r="124" spans="1:7">
      <c r="A124" s="126">
        <v>46058</v>
      </c>
      <c r="B124" s="128" t="s">
        <v>253</v>
      </c>
      <c r="C124" s="133">
        <v>11811</v>
      </c>
      <c r="D124" s="134">
        <v>1925.37</v>
      </c>
      <c r="E124" s="130" t="s">
        <v>397</v>
      </c>
      <c r="F124" s="124" t="s">
        <v>24</v>
      </c>
    </row>
    <row r="125" spans="1:7">
      <c r="A125" s="126">
        <v>46058</v>
      </c>
      <c r="B125" s="128" t="s">
        <v>287</v>
      </c>
      <c r="C125" s="133">
        <v>11918</v>
      </c>
      <c r="D125" s="134">
        <v>5385.97</v>
      </c>
      <c r="E125" s="130" t="s">
        <v>397</v>
      </c>
      <c r="F125" s="124" t="s">
        <v>24</v>
      </c>
    </row>
    <row r="126" spans="1:7">
      <c r="A126" s="126">
        <v>46058</v>
      </c>
      <c r="B126" s="128" t="s">
        <v>532</v>
      </c>
      <c r="C126" s="133">
        <v>11921</v>
      </c>
      <c r="D126" s="134">
        <v>476.7</v>
      </c>
      <c r="E126" s="130" t="s">
        <v>397</v>
      </c>
      <c r="F126" s="124" t="s">
        <v>24</v>
      </c>
    </row>
    <row r="127" spans="1:7">
      <c r="A127" s="126">
        <v>46058</v>
      </c>
      <c r="B127" s="128" t="s">
        <v>243</v>
      </c>
      <c r="C127" s="133">
        <v>11922</v>
      </c>
      <c r="D127" s="134">
        <v>542</v>
      </c>
      <c r="E127" s="130" t="s">
        <v>397</v>
      </c>
      <c r="F127" s="124" t="s">
        <v>24</v>
      </c>
    </row>
    <row r="128" spans="1:7">
      <c r="A128" s="126">
        <v>46058</v>
      </c>
      <c r="B128" s="128" t="s">
        <v>533</v>
      </c>
      <c r="C128" s="133">
        <v>11923</v>
      </c>
      <c r="D128" s="134">
        <v>407</v>
      </c>
      <c r="E128" s="130" t="s">
        <v>397</v>
      </c>
      <c r="F128" s="124" t="s">
        <v>24</v>
      </c>
    </row>
    <row r="129" spans="1:6">
      <c r="A129" s="126">
        <v>46058</v>
      </c>
      <c r="B129" s="128" t="s">
        <v>246</v>
      </c>
      <c r="C129" s="133" t="s">
        <v>534</v>
      </c>
      <c r="D129" s="134">
        <v>1067.6600000000001</v>
      </c>
      <c r="E129" s="130" t="s">
        <v>397</v>
      </c>
      <c r="F129" s="124" t="s">
        <v>24</v>
      </c>
    </row>
    <row r="130" spans="1:6">
      <c r="A130" s="126">
        <v>46059</v>
      </c>
      <c r="B130" s="128" t="s">
        <v>514</v>
      </c>
      <c r="C130" s="133" t="s">
        <v>535</v>
      </c>
      <c r="D130" s="134">
        <v>393.5</v>
      </c>
      <c r="E130" s="130" t="s">
        <v>397</v>
      </c>
      <c r="F130" s="124" t="s">
        <v>24</v>
      </c>
    </row>
    <row r="131" spans="1:6">
      <c r="A131" s="126">
        <v>46059</v>
      </c>
      <c r="B131" s="168" t="s">
        <v>536</v>
      </c>
      <c r="C131" s="169" t="s">
        <v>537</v>
      </c>
      <c r="D131" s="134">
        <v>409.32</v>
      </c>
      <c r="E131" s="130" t="s">
        <v>397</v>
      </c>
      <c r="F131" s="124" t="s">
        <v>24</v>
      </c>
    </row>
    <row r="132" spans="1:6">
      <c r="A132" s="126">
        <v>46059</v>
      </c>
      <c r="B132" s="170" t="s">
        <v>428</v>
      </c>
      <c r="C132" s="171" t="s">
        <v>538</v>
      </c>
      <c r="D132" s="134">
        <v>325</v>
      </c>
      <c r="E132" s="130" t="s">
        <v>397</v>
      </c>
      <c r="F132" s="124" t="s">
        <v>24</v>
      </c>
    </row>
    <row r="133" spans="1:6">
      <c r="A133" s="126">
        <v>46059</v>
      </c>
      <c r="B133" s="168" t="s">
        <v>428</v>
      </c>
      <c r="C133" s="169" t="s">
        <v>539</v>
      </c>
      <c r="D133" s="134">
        <v>650</v>
      </c>
      <c r="E133" s="130" t="s">
        <v>397</v>
      </c>
      <c r="F133" s="124" t="s">
        <v>24</v>
      </c>
    </row>
    <row r="134" spans="1:6">
      <c r="A134" s="126">
        <v>46059</v>
      </c>
      <c r="B134" s="170" t="s">
        <v>491</v>
      </c>
      <c r="C134" s="171" t="s">
        <v>540</v>
      </c>
      <c r="D134" s="134">
        <v>834</v>
      </c>
      <c r="E134" s="130" t="s">
        <v>397</v>
      </c>
      <c r="F134" s="124" t="s">
        <v>24</v>
      </c>
    </row>
    <row r="135" spans="1:6">
      <c r="A135" s="126">
        <v>46059</v>
      </c>
      <c r="B135" s="168" t="s">
        <v>398</v>
      </c>
      <c r="C135" s="169" t="s">
        <v>541</v>
      </c>
      <c r="D135" s="134">
        <v>986.1</v>
      </c>
      <c r="E135" s="130" t="s">
        <v>397</v>
      </c>
      <c r="F135" s="124" t="s">
        <v>24</v>
      </c>
    </row>
    <row r="136" spans="1:6">
      <c r="A136" s="126">
        <v>46059</v>
      </c>
      <c r="B136" s="170" t="s">
        <v>275</v>
      </c>
      <c r="C136" s="171" t="s">
        <v>542</v>
      </c>
      <c r="D136" s="134">
        <v>442</v>
      </c>
      <c r="E136" s="130" t="s">
        <v>397</v>
      </c>
      <c r="F136" s="124" t="s">
        <v>24</v>
      </c>
    </row>
    <row r="137" spans="1:6">
      <c r="A137" s="126">
        <v>46059</v>
      </c>
      <c r="B137" s="168" t="s">
        <v>264</v>
      </c>
      <c r="C137" s="169" t="s">
        <v>543</v>
      </c>
      <c r="D137" s="134">
        <v>552</v>
      </c>
      <c r="E137" s="130" t="s">
        <v>397</v>
      </c>
      <c r="F137" s="124" t="s">
        <v>24</v>
      </c>
    </row>
    <row r="138" spans="1:6">
      <c r="A138" s="126">
        <v>46059</v>
      </c>
      <c r="B138" s="128" t="s">
        <v>544</v>
      </c>
      <c r="C138" s="133">
        <v>12108</v>
      </c>
      <c r="D138" s="134">
        <v>175</v>
      </c>
      <c r="E138" s="130" t="s">
        <v>397</v>
      </c>
      <c r="F138" s="124" t="s">
        <v>24</v>
      </c>
    </row>
    <row r="139" spans="1:6">
      <c r="A139" s="126">
        <v>46062</v>
      </c>
      <c r="B139" s="128" t="s">
        <v>448</v>
      </c>
      <c r="C139" s="133">
        <v>12063</v>
      </c>
      <c r="D139" s="134">
        <v>62</v>
      </c>
      <c r="E139" s="130" t="s">
        <v>397</v>
      </c>
      <c r="F139" s="124" t="s">
        <v>24</v>
      </c>
    </row>
    <row r="140" spans="1:6">
      <c r="A140" s="126">
        <v>46062</v>
      </c>
      <c r="B140" s="168" t="s">
        <v>418</v>
      </c>
      <c r="C140" s="169" t="s">
        <v>545</v>
      </c>
      <c r="D140" s="134">
        <v>306.14999999999998</v>
      </c>
      <c r="E140" s="130" t="s">
        <v>397</v>
      </c>
      <c r="F140" s="124" t="s">
        <v>24</v>
      </c>
    </row>
    <row r="141" spans="1:6">
      <c r="A141" s="126">
        <v>46062</v>
      </c>
      <c r="B141" s="170" t="s">
        <v>488</v>
      </c>
      <c r="C141" s="171" t="s">
        <v>546</v>
      </c>
      <c r="D141" s="134">
        <v>718.27</v>
      </c>
      <c r="E141" s="130" t="s">
        <v>397</v>
      </c>
      <c r="F141" s="124" t="s">
        <v>24</v>
      </c>
    </row>
    <row r="142" spans="1:6">
      <c r="A142" s="126">
        <v>46062</v>
      </c>
      <c r="B142" s="168" t="s">
        <v>479</v>
      </c>
      <c r="C142" s="169" t="s">
        <v>547</v>
      </c>
      <c r="D142" s="134">
        <v>548.9</v>
      </c>
      <c r="E142" s="130" t="s">
        <v>397</v>
      </c>
      <c r="F142" s="124" t="s">
        <v>24</v>
      </c>
    </row>
    <row r="143" spans="1:6">
      <c r="A143" s="126">
        <v>46062</v>
      </c>
      <c r="B143" s="170" t="s">
        <v>548</v>
      </c>
      <c r="C143" s="171" t="s">
        <v>549</v>
      </c>
      <c r="D143" s="134">
        <v>654.20000000000005</v>
      </c>
      <c r="E143" s="130" t="s">
        <v>397</v>
      </c>
      <c r="F143" s="124" t="s">
        <v>24</v>
      </c>
    </row>
    <row r="144" spans="1:6">
      <c r="A144" s="126">
        <v>46063</v>
      </c>
      <c r="B144" s="168" t="s">
        <v>422</v>
      </c>
      <c r="C144" s="169" t="s">
        <v>550</v>
      </c>
      <c r="D144" s="134">
        <v>2076</v>
      </c>
      <c r="E144" s="130" t="s">
        <v>397</v>
      </c>
      <c r="F144" s="124" t="s">
        <v>24</v>
      </c>
    </row>
    <row r="145" spans="1:6">
      <c r="A145" s="126">
        <v>46063</v>
      </c>
      <c r="B145" s="170" t="s">
        <v>551</v>
      </c>
      <c r="C145" s="171" t="s">
        <v>552</v>
      </c>
      <c r="D145" s="134">
        <v>2550</v>
      </c>
      <c r="E145" s="130" t="s">
        <v>397</v>
      </c>
      <c r="F145" s="124" t="s">
        <v>24</v>
      </c>
    </row>
    <row r="146" spans="1:6">
      <c r="A146" s="126">
        <v>46063</v>
      </c>
      <c r="B146" s="168" t="s">
        <v>553</v>
      </c>
      <c r="C146" s="169" t="s">
        <v>554</v>
      </c>
      <c r="D146" s="134">
        <v>567.79999999999995</v>
      </c>
      <c r="E146" s="130" t="s">
        <v>397</v>
      </c>
      <c r="F146" s="124" t="s">
        <v>24</v>
      </c>
    </row>
    <row r="147" spans="1:6">
      <c r="A147" s="126">
        <v>46063</v>
      </c>
      <c r="B147" s="170" t="s">
        <v>266</v>
      </c>
      <c r="C147" s="171" t="s">
        <v>555</v>
      </c>
      <c r="D147" s="134">
        <v>572</v>
      </c>
      <c r="E147" s="130" t="s">
        <v>397</v>
      </c>
      <c r="F147" s="124" t="s">
        <v>24</v>
      </c>
    </row>
    <row r="148" spans="1:6">
      <c r="A148" s="126">
        <v>46063</v>
      </c>
      <c r="B148" s="168" t="s">
        <v>409</v>
      </c>
      <c r="C148" s="169" t="s">
        <v>556</v>
      </c>
      <c r="D148" s="134">
        <v>338.5</v>
      </c>
      <c r="E148" s="130" t="s">
        <v>397</v>
      </c>
      <c r="F148" s="124" t="s">
        <v>24</v>
      </c>
    </row>
    <row r="149" spans="1:6">
      <c r="A149" s="126">
        <v>46063</v>
      </c>
      <c r="B149" s="170" t="s">
        <v>475</v>
      </c>
      <c r="C149" s="171" t="s">
        <v>557</v>
      </c>
      <c r="D149" s="134">
        <v>509.3</v>
      </c>
      <c r="E149" s="130" t="s">
        <v>397</v>
      </c>
      <c r="F149" s="124" t="s">
        <v>24</v>
      </c>
    </row>
    <row r="150" spans="1:6">
      <c r="A150" s="126">
        <v>46063</v>
      </c>
      <c r="B150" s="128" t="s">
        <v>504</v>
      </c>
      <c r="C150" s="133">
        <v>12077</v>
      </c>
      <c r="D150" s="134">
        <v>63</v>
      </c>
      <c r="E150" s="130" t="s">
        <v>397</v>
      </c>
      <c r="F150" s="124" t="s">
        <v>24</v>
      </c>
    </row>
    <row r="151" spans="1:6">
      <c r="A151" s="126">
        <v>46064</v>
      </c>
      <c r="B151" s="172" t="s">
        <v>558</v>
      </c>
      <c r="C151" s="173" t="s">
        <v>559</v>
      </c>
      <c r="D151" s="155">
        <v>570</v>
      </c>
      <c r="E151" s="130" t="s">
        <v>397</v>
      </c>
      <c r="F151" s="124" t="s">
        <v>24</v>
      </c>
    </row>
    <row r="152" spans="1:6">
      <c r="A152" s="126">
        <v>46064</v>
      </c>
      <c r="B152" s="174" t="s">
        <v>404</v>
      </c>
      <c r="C152" s="175" t="s">
        <v>560</v>
      </c>
      <c r="D152" s="155">
        <v>612</v>
      </c>
      <c r="E152" s="130" t="s">
        <v>397</v>
      </c>
      <c r="F152" s="124" t="s">
        <v>24</v>
      </c>
    </row>
    <row r="153" spans="1:6">
      <c r="A153" s="126">
        <v>46064</v>
      </c>
      <c r="B153" s="172" t="s">
        <v>430</v>
      </c>
      <c r="C153" s="173" t="s">
        <v>561</v>
      </c>
      <c r="D153" s="155">
        <v>265</v>
      </c>
      <c r="E153" s="130" t="s">
        <v>397</v>
      </c>
      <c r="F153" s="124" t="s">
        <v>24</v>
      </c>
    </row>
    <row r="154" spans="1:6">
      <c r="A154" s="126">
        <v>46064</v>
      </c>
      <c r="B154" s="174" t="s">
        <v>562</v>
      </c>
      <c r="C154" s="175" t="s">
        <v>563</v>
      </c>
      <c r="D154" s="155">
        <v>1858.5</v>
      </c>
      <c r="E154" s="130" t="s">
        <v>397</v>
      </c>
      <c r="F154" s="124" t="s">
        <v>24</v>
      </c>
    </row>
    <row r="155" spans="1:6">
      <c r="A155" s="126">
        <v>46064</v>
      </c>
      <c r="B155" s="172" t="s">
        <v>564</v>
      </c>
      <c r="C155" s="173" t="s">
        <v>565</v>
      </c>
      <c r="D155" s="155">
        <v>223.6</v>
      </c>
      <c r="E155" s="130" t="s">
        <v>397</v>
      </c>
      <c r="F155" s="124" t="s">
        <v>24</v>
      </c>
    </row>
    <row r="156" spans="1:6">
      <c r="A156" s="126">
        <v>46064</v>
      </c>
      <c r="B156" s="174" t="s">
        <v>483</v>
      </c>
      <c r="C156" s="175" t="s">
        <v>566</v>
      </c>
      <c r="D156" s="155">
        <v>4837.7700000000004</v>
      </c>
      <c r="E156" s="130" t="s">
        <v>397</v>
      </c>
      <c r="F156" s="124" t="s">
        <v>24</v>
      </c>
    </row>
    <row r="157" spans="1:6">
      <c r="A157" s="126">
        <v>46064</v>
      </c>
      <c r="B157" s="172" t="s">
        <v>414</v>
      </c>
      <c r="C157" s="173" t="s">
        <v>567</v>
      </c>
      <c r="D157" s="155">
        <v>1006.4</v>
      </c>
      <c r="E157" s="130" t="s">
        <v>397</v>
      </c>
      <c r="F157" s="124" t="s">
        <v>24</v>
      </c>
    </row>
    <row r="158" spans="1:6">
      <c r="A158" s="126">
        <v>46065</v>
      </c>
      <c r="B158" s="174" t="s">
        <v>464</v>
      </c>
      <c r="C158" s="175" t="s">
        <v>568</v>
      </c>
      <c r="D158" s="155">
        <v>673.05</v>
      </c>
      <c r="E158" s="130" t="s">
        <v>397</v>
      </c>
      <c r="F158" s="124" t="s">
        <v>24</v>
      </c>
    </row>
    <row r="159" spans="1:6">
      <c r="A159" s="126">
        <v>46065</v>
      </c>
      <c r="B159" s="172" t="s">
        <v>412</v>
      </c>
      <c r="C159" s="173" t="s">
        <v>569</v>
      </c>
      <c r="D159" s="155">
        <v>509.75</v>
      </c>
      <c r="E159" s="130" t="s">
        <v>397</v>
      </c>
      <c r="F159" s="124" t="s">
        <v>24</v>
      </c>
    </row>
    <row r="160" spans="1:6">
      <c r="A160" s="126">
        <v>46065</v>
      </c>
      <c r="B160" s="174" t="s">
        <v>422</v>
      </c>
      <c r="C160" s="175" t="s">
        <v>570</v>
      </c>
      <c r="D160" s="155">
        <v>4517</v>
      </c>
      <c r="E160" s="130" t="s">
        <v>397</v>
      </c>
      <c r="F160" s="124" t="s">
        <v>24</v>
      </c>
    </row>
    <row r="161" spans="1:6">
      <c r="A161" s="126">
        <v>46065</v>
      </c>
      <c r="B161" s="172" t="s">
        <v>268</v>
      </c>
      <c r="C161" s="173" t="s">
        <v>571</v>
      </c>
      <c r="D161" s="155">
        <v>1013.16</v>
      </c>
      <c r="E161" s="130" t="s">
        <v>397</v>
      </c>
      <c r="F161" s="124" t="s">
        <v>24</v>
      </c>
    </row>
    <row r="162" spans="1:6">
      <c r="A162" s="126">
        <v>46065</v>
      </c>
      <c r="B162" s="174" t="s">
        <v>481</v>
      </c>
      <c r="C162" s="175" t="s">
        <v>572</v>
      </c>
      <c r="D162" s="155">
        <v>753.2</v>
      </c>
      <c r="E162" s="130" t="s">
        <v>397</v>
      </c>
      <c r="F162" s="124" t="s">
        <v>24</v>
      </c>
    </row>
    <row r="163" spans="1:6">
      <c r="A163" s="126">
        <v>46065</v>
      </c>
      <c r="B163" s="172" t="s">
        <v>414</v>
      </c>
      <c r="C163" s="173" t="s">
        <v>573</v>
      </c>
      <c r="D163" s="155">
        <v>868.95</v>
      </c>
      <c r="E163" s="130" t="s">
        <v>397</v>
      </c>
      <c r="F163" s="124" t="s">
        <v>24</v>
      </c>
    </row>
    <row r="164" spans="1:6">
      <c r="A164" s="126">
        <v>46065</v>
      </c>
      <c r="B164" s="174" t="s">
        <v>266</v>
      </c>
      <c r="C164" s="175" t="s">
        <v>574</v>
      </c>
      <c r="D164" s="155">
        <v>569</v>
      </c>
      <c r="E164" s="130" t="s">
        <v>397</v>
      </c>
      <c r="F164" s="124" t="s">
        <v>24</v>
      </c>
    </row>
    <row r="165" spans="1:6">
      <c r="A165" s="126">
        <v>46065</v>
      </c>
      <c r="B165" s="172" t="s">
        <v>444</v>
      </c>
      <c r="C165" s="173" t="s">
        <v>575</v>
      </c>
      <c r="D165" s="155">
        <v>1096.5</v>
      </c>
      <c r="E165" s="130" t="s">
        <v>397</v>
      </c>
      <c r="F165" s="124" t="s">
        <v>24</v>
      </c>
    </row>
    <row r="166" spans="1:6">
      <c r="A166" s="126">
        <v>46065</v>
      </c>
      <c r="B166" s="174" t="s">
        <v>576</v>
      </c>
      <c r="C166" s="175" t="s">
        <v>577</v>
      </c>
      <c r="D166" s="155">
        <v>4432.1000000000004</v>
      </c>
      <c r="E166" s="130" t="s">
        <v>397</v>
      </c>
      <c r="F166" s="124" t="s">
        <v>24</v>
      </c>
    </row>
    <row r="167" spans="1:6" ht="15.75" thickBot="1">
      <c r="A167" s="126">
        <v>46065</v>
      </c>
      <c r="B167" s="176" t="s">
        <v>578</v>
      </c>
      <c r="C167" s="177" t="s">
        <v>579</v>
      </c>
      <c r="D167" s="155">
        <v>438</v>
      </c>
      <c r="E167" s="130" t="s">
        <v>397</v>
      </c>
      <c r="F167" s="124" t="s">
        <v>24</v>
      </c>
    </row>
    <row r="168" spans="1:6">
      <c r="A168" s="126">
        <v>46065</v>
      </c>
      <c r="B168" s="128" t="s">
        <v>580</v>
      </c>
      <c r="C168" s="133">
        <v>12058</v>
      </c>
      <c r="D168" s="155">
        <v>668</v>
      </c>
      <c r="E168" s="130" t="s">
        <v>397</v>
      </c>
      <c r="F168" s="124" t="s">
        <v>24</v>
      </c>
    </row>
    <row r="169" spans="1:6">
      <c r="A169" s="126">
        <v>46065</v>
      </c>
      <c r="B169" s="128" t="s">
        <v>581</v>
      </c>
      <c r="C169" s="133">
        <v>6616</v>
      </c>
      <c r="D169" s="134">
        <v>658.1</v>
      </c>
      <c r="E169" s="130" t="s">
        <v>397</v>
      </c>
      <c r="F169" s="124" t="s">
        <v>24</v>
      </c>
    </row>
    <row r="170" spans="1:6">
      <c r="A170" s="126">
        <v>46065</v>
      </c>
      <c r="B170" s="128" t="s">
        <v>581</v>
      </c>
      <c r="C170" s="133">
        <v>6617</v>
      </c>
      <c r="D170" s="134">
        <v>640.61</v>
      </c>
      <c r="E170" s="130" t="s">
        <v>397</v>
      </c>
      <c r="F170" s="124" t="s">
        <v>24</v>
      </c>
    </row>
    <row r="171" spans="1:6">
      <c r="A171" s="126">
        <v>46066</v>
      </c>
      <c r="B171" s="178" t="s">
        <v>582</v>
      </c>
      <c r="C171" s="179">
        <v>12024</v>
      </c>
      <c r="D171" s="134">
        <v>118</v>
      </c>
      <c r="E171" s="130" t="s">
        <v>397</v>
      </c>
      <c r="F171" s="124" t="s">
        <v>24</v>
      </c>
    </row>
    <row r="172" spans="1:6">
      <c r="A172" s="126">
        <v>46066</v>
      </c>
      <c r="B172" s="180" t="s">
        <v>583</v>
      </c>
      <c r="C172" s="181" t="s">
        <v>584</v>
      </c>
      <c r="D172" s="134">
        <v>1720.4</v>
      </c>
      <c r="E172" s="130" t="s">
        <v>397</v>
      </c>
      <c r="F172" s="124" t="s">
        <v>24</v>
      </c>
    </row>
    <row r="173" spans="1:6">
      <c r="A173" s="126">
        <v>46066</v>
      </c>
      <c r="B173" s="182" t="s">
        <v>260</v>
      </c>
      <c r="C173" s="183" t="s">
        <v>585</v>
      </c>
      <c r="D173" s="134">
        <v>485</v>
      </c>
      <c r="E173" s="130" t="s">
        <v>397</v>
      </c>
      <c r="F173" s="124" t="s">
        <v>24</v>
      </c>
    </row>
    <row r="174" spans="1:6">
      <c r="A174" s="126">
        <v>46066</v>
      </c>
      <c r="B174" s="184" t="s">
        <v>264</v>
      </c>
      <c r="C174" s="185" t="s">
        <v>586</v>
      </c>
      <c r="D174" s="134">
        <v>552</v>
      </c>
      <c r="E174" s="130" t="s">
        <v>397</v>
      </c>
      <c r="F174" s="124" t="s">
        <v>24</v>
      </c>
    </row>
    <row r="175" spans="1:6">
      <c r="A175" s="126">
        <v>46066</v>
      </c>
      <c r="B175" s="182" t="s">
        <v>402</v>
      </c>
      <c r="C175" s="183" t="s">
        <v>587</v>
      </c>
      <c r="D175" s="134">
        <v>1801.66</v>
      </c>
      <c r="E175" s="130" t="s">
        <v>397</v>
      </c>
      <c r="F175" s="124" t="s">
        <v>24</v>
      </c>
    </row>
    <row r="176" spans="1:6">
      <c r="A176" s="126">
        <v>46066</v>
      </c>
      <c r="B176" s="184" t="s">
        <v>404</v>
      </c>
      <c r="C176" s="185" t="s">
        <v>588</v>
      </c>
      <c r="D176" s="134">
        <v>670</v>
      </c>
      <c r="E176" s="130" t="s">
        <v>397</v>
      </c>
      <c r="F176" s="124" t="s">
        <v>24</v>
      </c>
    </row>
    <row r="177" spans="1:6">
      <c r="A177" s="126">
        <v>46066</v>
      </c>
      <c r="B177" s="182" t="s">
        <v>553</v>
      </c>
      <c r="C177" s="183" t="s">
        <v>589</v>
      </c>
      <c r="D177" s="134">
        <v>630</v>
      </c>
      <c r="E177" s="130" t="s">
        <v>397</v>
      </c>
      <c r="F177" s="124" t="s">
        <v>24</v>
      </c>
    </row>
    <row r="178" spans="1:6">
      <c r="A178" s="126">
        <v>46066</v>
      </c>
      <c r="B178" s="184" t="s">
        <v>412</v>
      </c>
      <c r="C178" s="185" t="s">
        <v>590</v>
      </c>
      <c r="D178" s="134">
        <v>420.75</v>
      </c>
      <c r="E178" s="130" t="s">
        <v>397</v>
      </c>
      <c r="F178" s="124" t="s">
        <v>24</v>
      </c>
    </row>
    <row r="179" spans="1:6">
      <c r="A179" s="126">
        <v>46066</v>
      </c>
      <c r="B179" s="182" t="s">
        <v>576</v>
      </c>
      <c r="C179" s="183" t="s">
        <v>591</v>
      </c>
      <c r="D179" s="134">
        <v>242.62</v>
      </c>
      <c r="E179" s="130" t="s">
        <v>397</v>
      </c>
      <c r="F179" s="124" t="s">
        <v>24</v>
      </c>
    </row>
    <row r="180" spans="1:6">
      <c r="A180" s="126">
        <v>46071</v>
      </c>
      <c r="B180" s="182" t="s">
        <v>449</v>
      </c>
      <c r="C180" s="183"/>
      <c r="D180" s="134">
        <v>170</v>
      </c>
      <c r="E180" s="130" t="s">
        <v>397</v>
      </c>
      <c r="F180" s="124" t="s">
        <v>24</v>
      </c>
    </row>
    <row r="181" spans="1:6">
      <c r="A181" s="126">
        <v>46071</v>
      </c>
      <c r="B181" s="184" t="s">
        <v>275</v>
      </c>
      <c r="C181" s="185" t="s">
        <v>592</v>
      </c>
      <c r="D181" s="134">
        <v>481</v>
      </c>
      <c r="E181" s="130" t="s">
        <v>397</v>
      </c>
      <c r="F181" s="124" t="s">
        <v>24</v>
      </c>
    </row>
    <row r="182" spans="1:6">
      <c r="A182" s="126">
        <v>46071</v>
      </c>
      <c r="B182" s="182" t="s">
        <v>266</v>
      </c>
      <c r="C182" s="183" t="s">
        <v>593</v>
      </c>
      <c r="D182" s="134">
        <v>572</v>
      </c>
      <c r="E182" s="130" t="s">
        <v>397</v>
      </c>
      <c r="F182" s="124" t="s">
        <v>24</v>
      </c>
    </row>
    <row r="183" spans="1:6">
      <c r="A183" s="126">
        <v>46071</v>
      </c>
      <c r="B183" s="184" t="s">
        <v>418</v>
      </c>
      <c r="C183" s="185" t="s">
        <v>594</v>
      </c>
      <c r="D183" s="134">
        <v>1444.06</v>
      </c>
      <c r="E183" s="130" t="s">
        <v>397</v>
      </c>
      <c r="F183" s="124" t="s">
        <v>24</v>
      </c>
    </row>
    <row r="184" spans="1:6">
      <c r="A184" s="126">
        <v>46071</v>
      </c>
      <c r="B184" s="182" t="s">
        <v>270</v>
      </c>
      <c r="C184" s="183" t="s">
        <v>595</v>
      </c>
      <c r="D184" s="134">
        <v>651</v>
      </c>
      <c r="E184" s="130" t="s">
        <v>397</v>
      </c>
      <c r="F184" s="124" t="s">
        <v>24</v>
      </c>
    </row>
    <row r="185" spans="1:6">
      <c r="A185" s="126">
        <v>46071</v>
      </c>
      <c r="B185" s="184" t="s">
        <v>483</v>
      </c>
      <c r="C185" s="185" t="s">
        <v>596</v>
      </c>
      <c r="D185" s="134">
        <v>4837.76</v>
      </c>
      <c r="E185" s="130" t="s">
        <v>397</v>
      </c>
      <c r="F185" s="124" t="s">
        <v>24</v>
      </c>
    </row>
    <row r="186" spans="1:6">
      <c r="A186" s="126">
        <v>46071</v>
      </c>
      <c r="B186" s="182" t="s">
        <v>268</v>
      </c>
      <c r="C186" s="183" t="s">
        <v>597</v>
      </c>
      <c r="D186" s="134">
        <v>2138.5</v>
      </c>
      <c r="E186" s="130" t="s">
        <v>397</v>
      </c>
      <c r="F186" s="124" t="s">
        <v>24</v>
      </c>
    </row>
    <row r="187" spans="1:6">
      <c r="A187" s="126">
        <v>46071</v>
      </c>
      <c r="B187" s="184" t="s">
        <v>598</v>
      </c>
      <c r="C187" s="185" t="s">
        <v>599</v>
      </c>
      <c r="D187" s="134">
        <v>288</v>
      </c>
      <c r="E187" s="130" t="s">
        <v>397</v>
      </c>
      <c r="F187" s="124" t="s">
        <v>24</v>
      </c>
    </row>
    <row r="188" spans="1:6">
      <c r="A188" s="126">
        <v>46072</v>
      </c>
      <c r="B188" s="184" t="s">
        <v>600</v>
      </c>
      <c r="C188" s="185" t="s">
        <v>450</v>
      </c>
      <c r="D188" s="134">
        <v>2971</v>
      </c>
      <c r="E188" s="130" t="s">
        <v>397</v>
      </c>
      <c r="F188" s="124" t="s">
        <v>24</v>
      </c>
    </row>
    <row r="189" spans="1:6">
      <c r="A189" s="126">
        <v>46072</v>
      </c>
      <c r="B189" s="184" t="s">
        <v>601</v>
      </c>
      <c r="C189" s="185">
        <v>12189</v>
      </c>
      <c r="D189" s="134">
        <v>599.75</v>
      </c>
      <c r="E189" s="130" t="s">
        <v>397</v>
      </c>
      <c r="F189" s="124" t="s">
        <v>24</v>
      </c>
    </row>
    <row r="190" spans="1:6">
      <c r="A190" s="126">
        <v>46072</v>
      </c>
      <c r="B190" s="182" t="s">
        <v>414</v>
      </c>
      <c r="C190" s="183" t="s">
        <v>602</v>
      </c>
      <c r="D190" s="134">
        <v>868.95</v>
      </c>
      <c r="E190" s="130" t="s">
        <v>397</v>
      </c>
      <c r="F190" s="124" t="s">
        <v>24</v>
      </c>
    </row>
    <row r="191" spans="1:6">
      <c r="A191" s="126">
        <v>46072</v>
      </c>
      <c r="B191" s="184" t="s">
        <v>444</v>
      </c>
      <c r="C191" s="185" t="s">
        <v>603</v>
      </c>
      <c r="D191" s="134">
        <v>1096.5</v>
      </c>
      <c r="E191" s="130" t="s">
        <v>397</v>
      </c>
      <c r="F191" s="124" t="s">
        <v>24</v>
      </c>
    </row>
    <row r="192" spans="1:6">
      <c r="A192" s="126">
        <v>46072</v>
      </c>
      <c r="B192" s="182" t="s">
        <v>491</v>
      </c>
      <c r="C192" s="183" t="s">
        <v>604</v>
      </c>
      <c r="D192" s="134">
        <v>600</v>
      </c>
      <c r="E192" s="130" t="s">
        <v>397</v>
      </c>
      <c r="F192" s="124" t="s">
        <v>24</v>
      </c>
    </row>
    <row r="193" spans="1:6">
      <c r="A193" s="126">
        <v>46072</v>
      </c>
      <c r="B193" s="184" t="s">
        <v>402</v>
      </c>
      <c r="C193" s="185" t="s">
        <v>605</v>
      </c>
      <c r="D193" s="134">
        <v>1423.91</v>
      </c>
      <c r="E193" s="130" t="s">
        <v>397</v>
      </c>
      <c r="F193" s="124" t="s">
        <v>24</v>
      </c>
    </row>
    <row r="194" spans="1:6">
      <c r="A194" s="126">
        <v>46073</v>
      </c>
      <c r="B194" s="184" t="s">
        <v>606</v>
      </c>
      <c r="C194" s="185">
        <v>12147</v>
      </c>
      <c r="D194" s="134">
        <v>535.5</v>
      </c>
      <c r="E194" s="130" t="s">
        <v>397</v>
      </c>
      <c r="F194" s="124" t="s">
        <v>24</v>
      </c>
    </row>
    <row r="195" spans="1:6">
      <c r="A195" s="126">
        <v>46073</v>
      </c>
      <c r="B195" s="182" t="s">
        <v>404</v>
      </c>
      <c r="C195" s="183" t="s">
        <v>607</v>
      </c>
      <c r="D195" s="134">
        <v>670</v>
      </c>
      <c r="E195" s="130" t="s">
        <v>397</v>
      </c>
      <c r="F195" s="124" t="s">
        <v>24</v>
      </c>
    </row>
    <row r="196" spans="1:6">
      <c r="A196" s="126">
        <v>46073</v>
      </c>
      <c r="B196" s="184" t="s">
        <v>553</v>
      </c>
      <c r="C196" s="185" t="s">
        <v>608</v>
      </c>
      <c r="D196" s="134">
        <v>630</v>
      </c>
      <c r="E196" s="130" t="s">
        <v>397</v>
      </c>
      <c r="F196" s="124" t="s">
        <v>24</v>
      </c>
    </row>
    <row r="197" spans="1:6">
      <c r="A197" s="126">
        <v>46073</v>
      </c>
      <c r="B197" s="182" t="s">
        <v>488</v>
      </c>
      <c r="C197" s="183" t="s">
        <v>609</v>
      </c>
      <c r="D197" s="134">
        <v>273.18</v>
      </c>
      <c r="E197" s="130" t="s">
        <v>397</v>
      </c>
      <c r="F197" s="124" t="s">
        <v>24</v>
      </c>
    </row>
    <row r="198" spans="1:6">
      <c r="A198" s="126">
        <v>46073</v>
      </c>
      <c r="B198" s="184" t="s">
        <v>398</v>
      </c>
      <c r="C198" s="185" t="s">
        <v>610</v>
      </c>
      <c r="D198" s="134">
        <v>1210.46</v>
      </c>
      <c r="E198" s="130" t="s">
        <v>397</v>
      </c>
      <c r="F198" s="124" t="s">
        <v>24</v>
      </c>
    </row>
    <row r="199" spans="1:6">
      <c r="A199" s="126">
        <v>46073</v>
      </c>
      <c r="B199" s="182" t="s">
        <v>611</v>
      </c>
      <c r="C199" s="183" t="s">
        <v>612</v>
      </c>
      <c r="D199" s="134">
        <v>742.34</v>
      </c>
      <c r="E199" s="130" t="s">
        <v>397</v>
      </c>
      <c r="F199" s="124" t="s">
        <v>24</v>
      </c>
    </row>
    <row r="200" spans="1:6">
      <c r="A200" s="126">
        <v>46073</v>
      </c>
      <c r="B200" s="184" t="s">
        <v>613</v>
      </c>
      <c r="C200" s="185" t="s">
        <v>614</v>
      </c>
      <c r="D200" s="134">
        <v>720.8</v>
      </c>
      <c r="E200" s="130" t="s">
        <v>397</v>
      </c>
      <c r="F200" s="124" t="s">
        <v>24</v>
      </c>
    </row>
    <row r="201" spans="1:6">
      <c r="A201" s="126">
        <v>46073</v>
      </c>
      <c r="B201" s="182" t="s">
        <v>615</v>
      </c>
      <c r="C201" s="183" t="s">
        <v>616</v>
      </c>
      <c r="D201" s="134">
        <v>623</v>
      </c>
      <c r="E201" s="130" t="s">
        <v>397</v>
      </c>
      <c r="F201" s="124" t="s">
        <v>24</v>
      </c>
    </row>
    <row r="202" spans="1:6">
      <c r="A202" s="126">
        <v>46076</v>
      </c>
      <c r="B202" s="184" t="s">
        <v>617</v>
      </c>
      <c r="C202" s="185" t="s">
        <v>618</v>
      </c>
      <c r="D202" s="134">
        <v>538.33000000000004</v>
      </c>
      <c r="E202" s="130" t="s">
        <v>397</v>
      </c>
      <c r="F202" s="124" t="s">
        <v>24</v>
      </c>
    </row>
    <row r="203" spans="1:6">
      <c r="A203" s="126">
        <v>46076</v>
      </c>
      <c r="B203" s="182" t="s">
        <v>491</v>
      </c>
      <c r="C203" s="183" t="s">
        <v>619</v>
      </c>
      <c r="D203" s="134">
        <v>390.5</v>
      </c>
      <c r="E203" s="130" t="s">
        <v>397</v>
      </c>
      <c r="F203" s="124" t="s">
        <v>24</v>
      </c>
    </row>
    <row r="204" spans="1:6">
      <c r="A204" s="126">
        <v>46076</v>
      </c>
      <c r="B204" s="184" t="s">
        <v>620</v>
      </c>
      <c r="C204" s="185" t="s">
        <v>621</v>
      </c>
      <c r="D204" s="134">
        <v>350</v>
      </c>
      <c r="E204" s="130" t="s">
        <v>397</v>
      </c>
      <c r="F204" s="124" t="s">
        <v>24</v>
      </c>
    </row>
    <row r="205" spans="1:6" ht="15.75" thickBot="1">
      <c r="A205" s="186">
        <v>46076</v>
      </c>
      <c r="B205" s="187" t="s">
        <v>430</v>
      </c>
      <c r="C205" s="188" t="s">
        <v>622</v>
      </c>
      <c r="D205" s="155">
        <v>725.1</v>
      </c>
      <c r="E205" s="130" t="s">
        <v>397</v>
      </c>
      <c r="F205" s="124" t="s">
        <v>24</v>
      </c>
    </row>
    <row r="206" spans="1:6">
      <c r="A206" s="186">
        <v>46076</v>
      </c>
      <c r="B206" s="170" t="s">
        <v>623</v>
      </c>
      <c r="C206" s="133" t="s">
        <v>624</v>
      </c>
      <c r="D206" s="134">
        <v>216</v>
      </c>
      <c r="E206" s="130" t="s">
        <v>397</v>
      </c>
      <c r="F206" s="124" t="s">
        <v>24</v>
      </c>
    </row>
    <row r="207" spans="1:6">
      <c r="A207" s="186">
        <v>46077</v>
      </c>
      <c r="B207" s="189" t="s">
        <v>562</v>
      </c>
      <c r="C207" s="190" t="s">
        <v>625</v>
      </c>
      <c r="D207" s="155">
        <v>3608.71</v>
      </c>
      <c r="E207" s="130" t="s">
        <v>397</v>
      </c>
      <c r="F207" s="124" t="s">
        <v>24</v>
      </c>
    </row>
    <row r="208" spans="1:6">
      <c r="A208" s="186">
        <v>46077</v>
      </c>
      <c r="B208" s="191" t="s">
        <v>266</v>
      </c>
      <c r="C208" s="192" t="s">
        <v>626</v>
      </c>
      <c r="D208" s="155">
        <v>572</v>
      </c>
      <c r="E208" s="130" t="s">
        <v>397</v>
      </c>
      <c r="F208" s="124" t="s">
        <v>24</v>
      </c>
    </row>
    <row r="209" spans="1:6">
      <c r="A209" s="186">
        <v>46077</v>
      </c>
      <c r="B209" s="189" t="s">
        <v>627</v>
      </c>
      <c r="C209" s="190" t="s">
        <v>628</v>
      </c>
      <c r="D209" s="155">
        <v>528.85</v>
      </c>
      <c r="E209" s="130" t="s">
        <v>397</v>
      </c>
      <c r="F209" s="124" t="s">
        <v>24</v>
      </c>
    </row>
    <row r="210" spans="1:6">
      <c r="A210" s="186">
        <v>46077</v>
      </c>
      <c r="B210" s="191" t="s">
        <v>418</v>
      </c>
      <c r="C210" s="192" t="s">
        <v>629</v>
      </c>
      <c r="D210" s="155">
        <v>360</v>
      </c>
      <c r="E210" s="130" t="s">
        <v>397</v>
      </c>
      <c r="F210" s="124" t="s">
        <v>24</v>
      </c>
    </row>
    <row r="211" spans="1:6">
      <c r="A211" s="186">
        <v>46077</v>
      </c>
      <c r="B211" s="189" t="s">
        <v>630</v>
      </c>
      <c r="C211" s="190" t="s">
        <v>631</v>
      </c>
      <c r="D211" s="155">
        <v>902</v>
      </c>
      <c r="E211" s="130" t="s">
        <v>397</v>
      </c>
      <c r="F211" s="124" t="s">
        <v>24</v>
      </c>
    </row>
    <row r="212" spans="1:6" ht="15.75" thickBot="1">
      <c r="A212" s="186">
        <v>46077</v>
      </c>
      <c r="B212" s="193" t="s">
        <v>562</v>
      </c>
      <c r="C212" s="194" t="s">
        <v>632</v>
      </c>
      <c r="D212" s="155">
        <v>4279</v>
      </c>
      <c r="E212" s="130" t="s">
        <v>397</v>
      </c>
      <c r="F212" s="124" t="s">
        <v>24</v>
      </c>
    </row>
    <row r="213" spans="1:6">
      <c r="A213" s="186">
        <v>46077</v>
      </c>
      <c r="B213" s="170" t="s">
        <v>633</v>
      </c>
      <c r="C213" s="133">
        <v>12161</v>
      </c>
      <c r="D213" s="134">
        <v>145.9</v>
      </c>
      <c r="E213" s="130" t="s">
        <v>397</v>
      </c>
      <c r="F213" s="124" t="s">
        <v>24</v>
      </c>
    </row>
    <row r="214" spans="1:6">
      <c r="A214" s="186">
        <v>46077</v>
      </c>
      <c r="B214" s="170" t="s">
        <v>634</v>
      </c>
      <c r="C214" s="133">
        <v>12159</v>
      </c>
      <c r="D214" s="134">
        <v>75.540000000000006</v>
      </c>
      <c r="E214" s="130" t="s">
        <v>397</v>
      </c>
      <c r="F214" s="124" t="s">
        <v>24</v>
      </c>
    </row>
    <row r="215" spans="1:6">
      <c r="A215" s="126">
        <v>46078</v>
      </c>
      <c r="B215" s="170" t="s">
        <v>246</v>
      </c>
      <c r="C215" s="133">
        <v>11935</v>
      </c>
      <c r="D215" s="134">
        <v>992.67</v>
      </c>
      <c r="E215" s="130" t="s">
        <v>397</v>
      </c>
      <c r="F215" s="124" t="s">
        <v>24</v>
      </c>
    </row>
    <row r="216" spans="1:6">
      <c r="A216" s="126">
        <v>46078</v>
      </c>
      <c r="B216" s="170" t="s">
        <v>483</v>
      </c>
      <c r="C216" s="133">
        <v>11960</v>
      </c>
      <c r="D216" s="134">
        <v>4837.76</v>
      </c>
      <c r="E216" s="130" t="s">
        <v>397</v>
      </c>
      <c r="F216" s="124" t="s">
        <v>24</v>
      </c>
    </row>
    <row r="217" spans="1:6">
      <c r="A217" s="126">
        <v>46078</v>
      </c>
      <c r="B217" s="170" t="s">
        <v>635</v>
      </c>
      <c r="C217" s="133">
        <v>12029</v>
      </c>
      <c r="D217" s="134">
        <v>624</v>
      </c>
      <c r="E217" s="130" t="s">
        <v>397</v>
      </c>
      <c r="F217" s="124" t="s">
        <v>24</v>
      </c>
    </row>
    <row r="218" spans="1:6">
      <c r="A218" s="126">
        <v>46078</v>
      </c>
      <c r="B218" s="170" t="s">
        <v>243</v>
      </c>
      <c r="C218" s="133">
        <v>12030</v>
      </c>
      <c r="D218" s="134">
        <v>546.4</v>
      </c>
      <c r="E218" s="130" t="s">
        <v>397</v>
      </c>
      <c r="F218" s="124" t="s">
        <v>24</v>
      </c>
    </row>
    <row r="219" spans="1:6">
      <c r="A219" s="126">
        <v>46079</v>
      </c>
      <c r="B219" s="170" t="s">
        <v>636</v>
      </c>
      <c r="C219" s="133">
        <v>12192</v>
      </c>
      <c r="D219" s="134">
        <v>3110.8</v>
      </c>
      <c r="E219" s="130" t="s">
        <v>397</v>
      </c>
      <c r="F219" s="124" t="s">
        <v>24</v>
      </c>
    </row>
    <row r="220" spans="1:6">
      <c r="A220" s="126">
        <v>46079</v>
      </c>
      <c r="B220" s="182" t="s">
        <v>404</v>
      </c>
      <c r="C220" s="183" t="s">
        <v>637</v>
      </c>
      <c r="D220" s="134">
        <v>612</v>
      </c>
      <c r="E220" s="130" t="s">
        <v>397</v>
      </c>
      <c r="F220" s="124" t="s">
        <v>24</v>
      </c>
    </row>
    <row r="221" spans="1:6">
      <c r="A221" s="126">
        <v>46079</v>
      </c>
      <c r="B221" s="184" t="s">
        <v>402</v>
      </c>
      <c r="C221" s="185" t="s">
        <v>638</v>
      </c>
      <c r="D221" s="134">
        <v>1423.91</v>
      </c>
      <c r="E221" s="130" t="s">
        <v>397</v>
      </c>
      <c r="F221" s="124" t="s">
        <v>24</v>
      </c>
    </row>
    <row r="222" spans="1:6">
      <c r="A222" s="126">
        <v>46079</v>
      </c>
      <c r="B222" s="182" t="s">
        <v>639</v>
      </c>
      <c r="C222" s="183" t="s">
        <v>640</v>
      </c>
      <c r="D222" s="134">
        <v>564.25</v>
      </c>
      <c r="E222" s="130" t="s">
        <v>397</v>
      </c>
      <c r="F222" s="124" t="s">
        <v>24</v>
      </c>
    </row>
    <row r="223" spans="1:6">
      <c r="A223" s="126">
        <v>46079</v>
      </c>
      <c r="B223" s="184" t="s">
        <v>418</v>
      </c>
      <c r="C223" s="185" t="s">
        <v>641</v>
      </c>
      <c r="D223" s="134">
        <v>328.55</v>
      </c>
      <c r="E223" s="130" t="s">
        <v>397</v>
      </c>
      <c r="F223" s="124" t="s">
        <v>24</v>
      </c>
    </row>
    <row r="224" spans="1:6">
      <c r="A224" s="126">
        <v>46080</v>
      </c>
      <c r="B224" s="182" t="s">
        <v>412</v>
      </c>
      <c r="C224" s="183" t="s">
        <v>642</v>
      </c>
      <c r="D224" s="134">
        <v>509.75</v>
      </c>
      <c r="E224" s="130" t="s">
        <v>397</v>
      </c>
      <c r="F224" s="124" t="s">
        <v>24</v>
      </c>
    </row>
    <row r="225" spans="1:7">
      <c r="A225" s="126">
        <v>46080</v>
      </c>
      <c r="B225" s="184" t="s">
        <v>422</v>
      </c>
      <c r="C225" s="185" t="s">
        <v>643</v>
      </c>
      <c r="D225" s="134">
        <v>4517</v>
      </c>
      <c r="E225" s="130" t="s">
        <v>397</v>
      </c>
      <c r="F225" s="124" t="s">
        <v>24</v>
      </c>
    </row>
    <row r="226" spans="1:7">
      <c r="A226" s="126">
        <v>46080</v>
      </c>
      <c r="B226" s="182" t="s">
        <v>268</v>
      </c>
      <c r="C226" s="183" t="s">
        <v>644</v>
      </c>
      <c r="D226" s="134">
        <v>1013.17</v>
      </c>
      <c r="E226" s="130" t="s">
        <v>397</v>
      </c>
      <c r="F226" s="124" t="s">
        <v>24</v>
      </c>
    </row>
    <row r="227" spans="1:7">
      <c r="A227" s="126">
        <v>46080</v>
      </c>
      <c r="B227" s="184" t="s">
        <v>627</v>
      </c>
      <c r="C227" s="185" t="s">
        <v>645</v>
      </c>
      <c r="D227" s="134">
        <v>720.8</v>
      </c>
      <c r="E227" s="130" t="s">
        <v>397</v>
      </c>
      <c r="F227" s="124" t="s">
        <v>24</v>
      </c>
    </row>
    <row r="228" spans="1:7">
      <c r="A228" s="126">
        <v>46080</v>
      </c>
      <c r="B228" s="182" t="s">
        <v>510</v>
      </c>
      <c r="C228" s="183" t="s">
        <v>646</v>
      </c>
      <c r="D228" s="134">
        <v>487.5</v>
      </c>
      <c r="E228" s="130" t="s">
        <v>397</v>
      </c>
      <c r="F228" s="124" t="s">
        <v>24</v>
      </c>
    </row>
    <row r="229" spans="1:7">
      <c r="A229" s="126">
        <v>46080</v>
      </c>
      <c r="B229" s="184" t="s">
        <v>647</v>
      </c>
      <c r="C229" s="185" t="s">
        <v>648</v>
      </c>
      <c r="D229" s="134">
        <v>516</v>
      </c>
      <c r="E229" s="130" t="s">
        <v>397</v>
      </c>
      <c r="F229" s="124" t="s">
        <v>24</v>
      </c>
    </row>
    <row r="230" spans="1:7">
      <c r="A230" s="126">
        <v>46080</v>
      </c>
      <c r="B230" s="182" t="s">
        <v>418</v>
      </c>
      <c r="C230" s="183" t="s">
        <v>649</v>
      </c>
      <c r="D230" s="134">
        <v>299</v>
      </c>
      <c r="E230" s="130" t="s">
        <v>397</v>
      </c>
      <c r="F230" s="124" t="s">
        <v>24</v>
      </c>
    </row>
    <row r="231" spans="1:7">
      <c r="A231" s="126">
        <v>46080</v>
      </c>
      <c r="B231" s="184" t="s">
        <v>414</v>
      </c>
      <c r="C231" s="185" t="s">
        <v>650</v>
      </c>
      <c r="D231" s="134">
        <v>593</v>
      </c>
      <c r="E231" s="130" t="s">
        <v>397</v>
      </c>
      <c r="F231" s="124" t="s">
        <v>24</v>
      </c>
    </row>
    <row r="232" spans="1:7">
      <c r="A232" s="126">
        <v>46080</v>
      </c>
      <c r="B232" s="182" t="s">
        <v>440</v>
      </c>
      <c r="C232" s="183" t="s">
        <v>651</v>
      </c>
      <c r="D232" s="134">
        <v>556.49</v>
      </c>
      <c r="E232" s="130" t="s">
        <v>397</v>
      </c>
      <c r="F232" s="124" t="s">
        <v>24</v>
      </c>
    </row>
    <row r="233" spans="1:7">
      <c r="A233" s="126">
        <v>46080</v>
      </c>
      <c r="B233" s="184" t="s">
        <v>398</v>
      </c>
      <c r="C233" s="185" t="s">
        <v>652</v>
      </c>
      <c r="D233" s="134">
        <v>2210</v>
      </c>
      <c r="E233" s="130" t="s">
        <v>397</v>
      </c>
      <c r="F233" s="124" t="s">
        <v>24</v>
      </c>
    </row>
    <row r="234" spans="1:7">
      <c r="A234" s="126">
        <v>46080</v>
      </c>
      <c r="B234" s="182" t="s">
        <v>398</v>
      </c>
      <c r="C234" s="183" t="s">
        <v>653</v>
      </c>
      <c r="D234" s="134">
        <v>861.54</v>
      </c>
      <c r="E234" s="130" t="s">
        <v>397</v>
      </c>
      <c r="F234" s="124" t="s">
        <v>24</v>
      </c>
    </row>
    <row r="235" spans="1:7">
      <c r="A235" s="126">
        <v>46080</v>
      </c>
      <c r="B235" s="184" t="s">
        <v>654</v>
      </c>
      <c r="C235" s="133">
        <v>12197</v>
      </c>
      <c r="D235" s="134">
        <v>35</v>
      </c>
      <c r="E235" s="130" t="s">
        <v>397</v>
      </c>
      <c r="F235" s="124" t="s">
        <v>24</v>
      </c>
    </row>
    <row r="236" spans="1:7">
      <c r="A236" s="126">
        <v>46080</v>
      </c>
      <c r="B236" s="128" t="s">
        <v>655</v>
      </c>
      <c r="C236" s="133" t="s">
        <v>182</v>
      </c>
      <c r="D236" s="134">
        <v>278</v>
      </c>
      <c r="E236" s="130" t="s">
        <v>397</v>
      </c>
      <c r="F236" s="124" t="s">
        <v>24</v>
      </c>
    </row>
    <row r="237" spans="1:7">
      <c r="A237" s="126">
        <v>46083</v>
      </c>
      <c r="B237" s="128" t="s">
        <v>656</v>
      </c>
      <c r="C237" s="195">
        <v>12051</v>
      </c>
      <c r="D237" s="134">
        <v>1865</v>
      </c>
      <c r="E237" s="130" t="s">
        <v>397</v>
      </c>
      <c r="F237" s="124" t="s">
        <v>25</v>
      </c>
      <c r="G237" s="297">
        <f>SUM(D237:D411)</f>
        <v>183424.12</v>
      </c>
    </row>
    <row r="238" spans="1:7">
      <c r="A238" s="126">
        <v>46083</v>
      </c>
      <c r="B238" s="128" t="s">
        <v>636</v>
      </c>
      <c r="C238" s="195">
        <v>12208</v>
      </c>
      <c r="D238" s="134">
        <v>12005</v>
      </c>
      <c r="E238" s="130" t="s">
        <v>397</v>
      </c>
      <c r="F238" s="124" t="s">
        <v>25</v>
      </c>
    </row>
    <row r="239" spans="1:7">
      <c r="A239" s="126">
        <v>46083</v>
      </c>
      <c r="B239" s="128" t="s">
        <v>521</v>
      </c>
      <c r="C239" s="195">
        <v>11831</v>
      </c>
      <c r="D239" s="134">
        <v>2566.6799999999998</v>
      </c>
      <c r="E239" s="130" t="s">
        <v>397</v>
      </c>
      <c r="F239" s="124" t="s">
        <v>25</v>
      </c>
    </row>
    <row r="240" spans="1:7">
      <c r="A240" s="126">
        <v>46083</v>
      </c>
      <c r="B240" s="128" t="s">
        <v>657</v>
      </c>
      <c r="C240" s="195">
        <v>11956</v>
      </c>
      <c r="D240" s="134">
        <v>1801.67</v>
      </c>
      <c r="E240" s="130" t="s">
        <v>397</v>
      </c>
      <c r="F240" s="124" t="s">
        <v>25</v>
      </c>
    </row>
    <row r="241" spans="1:6">
      <c r="A241" s="126">
        <v>46083</v>
      </c>
      <c r="B241" s="128" t="s">
        <v>544</v>
      </c>
      <c r="C241" s="195">
        <v>12037</v>
      </c>
      <c r="D241" s="134">
        <v>1429.3</v>
      </c>
      <c r="E241" s="130" t="s">
        <v>397</v>
      </c>
      <c r="F241" s="124" t="s">
        <v>25</v>
      </c>
    </row>
    <row r="242" spans="1:6">
      <c r="A242" s="126">
        <v>46083</v>
      </c>
      <c r="B242" s="128" t="s">
        <v>658</v>
      </c>
      <c r="C242" s="195">
        <v>12049</v>
      </c>
      <c r="D242" s="134">
        <v>438.5</v>
      </c>
      <c r="E242" s="130" t="s">
        <v>397</v>
      </c>
      <c r="F242" s="124" t="s">
        <v>25</v>
      </c>
    </row>
    <row r="243" spans="1:6">
      <c r="A243" s="126">
        <v>46084</v>
      </c>
      <c r="B243" s="128" t="s">
        <v>519</v>
      </c>
      <c r="C243" s="195">
        <v>12053</v>
      </c>
      <c r="D243" s="134">
        <v>673</v>
      </c>
      <c r="E243" s="130" t="s">
        <v>397</v>
      </c>
      <c r="F243" s="124" t="s">
        <v>25</v>
      </c>
    </row>
    <row r="244" spans="1:6">
      <c r="A244" s="126">
        <v>46084</v>
      </c>
      <c r="B244" s="128" t="s">
        <v>659</v>
      </c>
      <c r="C244" s="195">
        <v>12059</v>
      </c>
      <c r="D244" s="134">
        <v>276</v>
      </c>
      <c r="E244" s="130" t="s">
        <v>397</v>
      </c>
      <c r="F244" s="124" t="s">
        <v>25</v>
      </c>
    </row>
    <row r="245" spans="1:6">
      <c r="A245" s="126">
        <v>46084</v>
      </c>
      <c r="B245" s="128" t="s">
        <v>660</v>
      </c>
      <c r="C245" s="195">
        <v>12214</v>
      </c>
      <c r="D245" s="134">
        <v>1890</v>
      </c>
      <c r="E245" s="130" t="s">
        <v>397</v>
      </c>
      <c r="F245" s="124" t="s">
        <v>25</v>
      </c>
    </row>
    <row r="246" spans="1:6">
      <c r="A246" s="126">
        <v>46085</v>
      </c>
      <c r="B246" s="128" t="s">
        <v>243</v>
      </c>
      <c r="C246" s="195">
        <v>12030</v>
      </c>
      <c r="D246" s="134">
        <v>546.4</v>
      </c>
      <c r="E246" s="130" t="s">
        <v>397</v>
      </c>
      <c r="F246" s="124" t="s">
        <v>25</v>
      </c>
    </row>
    <row r="247" spans="1:6">
      <c r="A247" s="126">
        <v>46085</v>
      </c>
      <c r="B247" s="128" t="s">
        <v>299</v>
      </c>
      <c r="C247" s="195">
        <v>12045</v>
      </c>
      <c r="D247" s="134">
        <v>296.51</v>
      </c>
      <c r="E247" s="130" t="s">
        <v>397</v>
      </c>
      <c r="F247" s="124" t="s">
        <v>25</v>
      </c>
    </row>
    <row r="248" spans="1:6">
      <c r="A248" s="126">
        <v>46085</v>
      </c>
      <c r="B248" s="128" t="s">
        <v>661</v>
      </c>
      <c r="C248" s="195">
        <v>12056</v>
      </c>
      <c r="D248" s="134">
        <v>252</v>
      </c>
      <c r="E248" s="130" t="s">
        <v>397</v>
      </c>
      <c r="F248" s="124" t="s">
        <v>25</v>
      </c>
    </row>
    <row r="249" spans="1:6">
      <c r="A249" s="126">
        <v>46085</v>
      </c>
      <c r="B249" s="128" t="s">
        <v>662</v>
      </c>
      <c r="C249" s="195">
        <v>12057</v>
      </c>
      <c r="D249" s="134">
        <v>261.89999999999998</v>
      </c>
      <c r="E249" s="130" t="s">
        <v>397</v>
      </c>
      <c r="F249" s="124" t="s">
        <v>25</v>
      </c>
    </row>
    <row r="250" spans="1:6">
      <c r="A250" s="126">
        <v>46086</v>
      </c>
      <c r="B250" s="128" t="s">
        <v>663</v>
      </c>
      <c r="C250" s="195">
        <v>12160</v>
      </c>
      <c r="D250" s="134">
        <v>142.9</v>
      </c>
      <c r="E250" s="130" t="s">
        <v>397</v>
      </c>
      <c r="F250" s="124" t="s">
        <v>25</v>
      </c>
    </row>
    <row r="251" spans="1:6">
      <c r="A251" s="126">
        <v>46086</v>
      </c>
      <c r="B251" s="128" t="s">
        <v>243</v>
      </c>
      <c r="C251" s="195">
        <v>12064</v>
      </c>
      <c r="D251" s="134">
        <v>416.48</v>
      </c>
      <c r="E251" s="130" t="s">
        <v>397</v>
      </c>
      <c r="F251" s="124" t="s">
        <v>25</v>
      </c>
    </row>
    <row r="252" spans="1:6">
      <c r="A252" s="126">
        <v>46086</v>
      </c>
      <c r="B252" s="168" t="s">
        <v>664</v>
      </c>
      <c r="C252" s="196">
        <v>12069</v>
      </c>
      <c r="D252" s="134">
        <v>203</v>
      </c>
      <c r="E252" s="130" t="s">
        <v>397</v>
      </c>
      <c r="F252" s="124" t="s">
        <v>25</v>
      </c>
    </row>
    <row r="253" spans="1:6">
      <c r="A253" s="126">
        <v>46086</v>
      </c>
      <c r="B253" s="170" t="s">
        <v>665</v>
      </c>
      <c r="C253" s="197">
        <v>12060</v>
      </c>
      <c r="D253" s="134">
        <v>1733</v>
      </c>
      <c r="E253" s="130" t="s">
        <v>397</v>
      </c>
      <c r="F253" s="124" t="s">
        <v>25</v>
      </c>
    </row>
    <row r="254" spans="1:6">
      <c r="A254" s="126">
        <v>46087</v>
      </c>
      <c r="B254" s="168" t="s">
        <v>246</v>
      </c>
      <c r="C254" s="196">
        <v>12006</v>
      </c>
      <c r="D254" s="134">
        <v>480</v>
      </c>
      <c r="E254" s="130" t="s">
        <v>397</v>
      </c>
      <c r="F254" s="124" t="s">
        <v>25</v>
      </c>
    </row>
    <row r="255" spans="1:6">
      <c r="A255" s="126">
        <v>46087</v>
      </c>
      <c r="B255" s="170" t="s">
        <v>666</v>
      </c>
      <c r="C255" s="197">
        <v>12247</v>
      </c>
      <c r="D255" s="134">
        <v>545</v>
      </c>
      <c r="E255" s="130" t="s">
        <v>397</v>
      </c>
      <c r="F255" s="124" t="s">
        <v>25</v>
      </c>
    </row>
    <row r="256" spans="1:6">
      <c r="A256" s="126">
        <v>46087</v>
      </c>
      <c r="B256" s="198" t="s">
        <v>440</v>
      </c>
      <c r="C256" s="199" t="s">
        <v>667</v>
      </c>
      <c r="D256" s="134">
        <v>556.49</v>
      </c>
      <c r="E256" s="130" t="s">
        <v>397</v>
      </c>
      <c r="F256" s="124" t="s">
        <v>25</v>
      </c>
    </row>
    <row r="257" spans="1:6">
      <c r="A257" s="126">
        <v>46087</v>
      </c>
      <c r="B257" s="170" t="s">
        <v>398</v>
      </c>
      <c r="C257" s="197" t="s">
        <v>668</v>
      </c>
      <c r="D257" s="134">
        <v>2210</v>
      </c>
      <c r="E257" s="130" t="s">
        <v>397</v>
      </c>
      <c r="F257" s="124" t="s">
        <v>25</v>
      </c>
    </row>
    <row r="258" spans="1:6">
      <c r="A258" s="126">
        <v>46087</v>
      </c>
      <c r="B258" s="198" t="s">
        <v>398</v>
      </c>
      <c r="C258" s="199" t="s">
        <v>669</v>
      </c>
      <c r="D258" s="134">
        <v>861.53</v>
      </c>
      <c r="E258" s="130" t="s">
        <v>397</v>
      </c>
      <c r="F258" s="124" t="s">
        <v>25</v>
      </c>
    </row>
    <row r="259" spans="1:6">
      <c r="A259" s="126">
        <v>46087</v>
      </c>
      <c r="B259" s="170" t="s">
        <v>670</v>
      </c>
      <c r="C259" s="197" t="s">
        <v>671</v>
      </c>
      <c r="D259" s="134">
        <v>191</v>
      </c>
      <c r="E259" s="130" t="s">
        <v>397</v>
      </c>
      <c r="F259" s="124" t="s">
        <v>25</v>
      </c>
    </row>
    <row r="260" spans="1:6">
      <c r="A260" s="126">
        <v>46087</v>
      </c>
      <c r="B260" s="198" t="s">
        <v>672</v>
      </c>
      <c r="C260" s="199" t="s">
        <v>673</v>
      </c>
      <c r="D260" s="134">
        <v>383</v>
      </c>
      <c r="E260" s="130" t="s">
        <v>397</v>
      </c>
      <c r="F260" s="124" t="s">
        <v>25</v>
      </c>
    </row>
    <row r="261" spans="1:6">
      <c r="A261" s="126">
        <v>46090</v>
      </c>
      <c r="B261" s="198" t="s">
        <v>674</v>
      </c>
      <c r="C261" s="199">
        <v>12252</v>
      </c>
      <c r="D261" s="134">
        <v>114</v>
      </c>
      <c r="E261" s="130" t="s">
        <v>397</v>
      </c>
      <c r="F261" s="124" t="s">
        <v>25</v>
      </c>
    </row>
    <row r="262" spans="1:6">
      <c r="A262" s="126">
        <v>46090</v>
      </c>
      <c r="B262" s="198" t="s">
        <v>675</v>
      </c>
      <c r="C262" s="199" t="s">
        <v>450</v>
      </c>
      <c r="D262" s="134">
        <v>200</v>
      </c>
      <c r="E262" s="130" t="s">
        <v>397</v>
      </c>
      <c r="F262" s="124" t="s">
        <v>25</v>
      </c>
    </row>
    <row r="263" spans="1:6">
      <c r="A263" s="126">
        <v>46090</v>
      </c>
      <c r="B263" s="198" t="s">
        <v>562</v>
      </c>
      <c r="C263" s="199" t="s">
        <v>676</v>
      </c>
      <c r="D263" s="134">
        <v>5385.97</v>
      </c>
      <c r="E263" s="130" t="s">
        <v>397</v>
      </c>
      <c r="F263" s="124" t="s">
        <v>25</v>
      </c>
    </row>
    <row r="264" spans="1:6">
      <c r="A264" s="126">
        <v>46090</v>
      </c>
      <c r="B264" s="198" t="s">
        <v>398</v>
      </c>
      <c r="C264" s="199" t="s">
        <v>677</v>
      </c>
      <c r="D264" s="134">
        <v>1210.47</v>
      </c>
      <c r="E264" s="130" t="s">
        <v>397</v>
      </c>
      <c r="F264" s="124" t="s">
        <v>25</v>
      </c>
    </row>
    <row r="265" spans="1:6">
      <c r="A265" s="126">
        <v>46090</v>
      </c>
      <c r="B265" s="170" t="s">
        <v>471</v>
      </c>
      <c r="C265" s="197" t="s">
        <v>678</v>
      </c>
      <c r="D265" s="134">
        <v>667.4</v>
      </c>
      <c r="E265" s="130" t="s">
        <v>397</v>
      </c>
      <c r="F265" s="124" t="s">
        <v>25</v>
      </c>
    </row>
    <row r="266" spans="1:6">
      <c r="A266" s="126">
        <v>46090</v>
      </c>
      <c r="B266" s="198" t="s">
        <v>611</v>
      </c>
      <c r="C266" s="199" t="s">
        <v>679</v>
      </c>
      <c r="D266" s="134">
        <v>742.33</v>
      </c>
      <c r="E266" s="130" t="s">
        <v>397</v>
      </c>
      <c r="F266" s="124" t="s">
        <v>25</v>
      </c>
    </row>
    <row r="267" spans="1:6">
      <c r="A267" s="126">
        <v>46090</v>
      </c>
      <c r="B267" s="170" t="s">
        <v>680</v>
      </c>
      <c r="C267" s="197" t="s">
        <v>681</v>
      </c>
      <c r="D267" s="134">
        <v>816</v>
      </c>
      <c r="E267" s="130" t="s">
        <v>397</v>
      </c>
      <c r="F267" s="124" t="s">
        <v>25</v>
      </c>
    </row>
    <row r="268" spans="1:6">
      <c r="A268" s="126">
        <v>46090</v>
      </c>
      <c r="B268" s="198" t="s">
        <v>453</v>
      </c>
      <c r="C268" s="199" t="s">
        <v>682</v>
      </c>
      <c r="D268" s="134">
        <v>320</v>
      </c>
      <c r="E268" s="130" t="s">
        <v>397</v>
      </c>
      <c r="F268" s="124" t="s">
        <v>25</v>
      </c>
    </row>
    <row r="269" spans="1:6">
      <c r="A269" s="126">
        <v>46092</v>
      </c>
      <c r="B269" s="170" t="s">
        <v>683</v>
      </c>
      <c r="C269" s="195">
        <v>12288</v>
      </c>
      <c r="D269" s="134">
        <v>240.5</v>
      </c>
      <c r="E269" s="130" t="s">
        <v>397</v>
      </c>
      <c r="F269" s="124" t="s">
        <v>25</v>
      </c>
    </row>
    <row r="270" spans="1:6">
      <c r="A270" s="126">
        <v>46092</v>
      </c>
      <c r="B270" s="168" t="s">
        <v>475</v>
      </c>
      <c r="C270" s="196" t="s">
        <v>684</v>
      </c>
      <c r="D270" s="134">
        <v>1059.26</v>
      </c>
      <c r="E270" s="130" t="s">
        <v>397</v>
      </c>
      <c r="F270" s="124" t="s">
        <v>25</v>
      </c>
    </row>
    <row r="271" spans="1:6">
      <c r="A271" s="126">
        <v>46092</v>
      </c>
      <c r="B271" s="170" t="s">
        <v>418</v>
      </c>
      <c r="C271" s="197" t="s">
        <v>685</v>
      </c>
      <c r="D271" s="134">
        <v>306.14999999999998</v>
      </c>
      <c r="E271" s="130" t="s">
        <v>397</v>
      </c>
      <c r="F271" s="124" t="s">
        <v>25</v>
      </c>
    </row>
    <row r="272" spans="1:6">
      <c r="A272" s="126">
        <v>46092</v>
      </c>
      <c r="B272" s="198" t="s">
        <v>418</v>
      </c>
      <c r="C272" s="199" t="s">
        <v>686</v>
      </c>
      <c r="D272" s="134">
        <v>546.4</v>
      </c>
      <c r="E272" s="130" t="s">
        <v>397</v>
      </c>
      <c r="F272" s="124" t="s">
        <v>25</v>
      </c>
    </row>
    <row r="273" spans="1:6">
      <c r="A273" s="126">
        <v>46092</v>
      </c>
      <c r="B273" s="198" t="s">
        <v>398</v>
      </c>
      <c r="C273" s="199" t="s">
        <v>687</v>
      </c>
      <c r="D273" s="134">
        <v>1815.8</v>
      </c>
      <c r="E273" s="130" t="s">
        <v>397</v>
      </c>
      <c r="F273" s="124" t="s">
        <v>25</v>
      </c>
    </row>
    <row r="274" spans="1:6">
      <c r="A274" s="126">
        <v>46092</v>
      </c>
      <c r="B274" s="170" t="s">
        <v>438</v>
      </c>
      <c r="C274" s="197" t="s">
        <v>688</v>
      </c>
      <c r="D274" s="134">
        <v>403.28</v>
      </c>
      <c r="E274" s="130" t="s">
        <v>397</v>
      </c>
      <c r="F274" s="124" t="s">
        <v>25</v>
      </c>
    </row>
    <row r="275" spans="1:6">
      <c r="A275" s="126">
        <v>46092</v>
      </c>
      <c r="B275" s="198" t="s">
        <v>689</v>
      </c>
      <c r="C275" s="199" t="s">
        <v>690</v>
      </c>
      <c r="D275" s="134">
        <v>373</v>
      </c>
      <c r="E275" s="130" t="s">
        <v>397</v>
      </c>
      <c r="F275" s="124" t="s">
        <v>25</v>
      </c>
    </row>
    <row r="276" spans="1:6">
      <c r="A276" s="126">
        <v>46092</v>
      </c>
      <c r="B276" s="170" t="s">
        <v>510</v>
      </c>
      <c r="C276" s="197" t="s">
        <v>691</v>
      </c>
      <c r="D276" s="134">
        <v>550</v>
      </c>
      <c r="E276" s="130" t="s">
        <v>397</v>
      </c>
      <c r="F276" s="124" t="s">
        <v>25</v>
      </c>
    </row>
    <row r="277" spans="1:6">
      <c r="A277" s="126">
        <v>46092</v>
      </c>
      <c r="B277" s="170" t="s">
        <v>576</v>
      </c>
      <c r="C277" s="197" t="s">
        <v>692</v>
      </c>
      <c r="D277" s="134">
        <v>662.15</v>
      </c>
      <c r="E277" s="130" t="s">
        <v>397</v>
      </c>
      <c r="F277" s="124" t="s">
        <v>25</v>
      </c>
    </row>
    <row r="278" spans="1:6">
      <c r="A278" s="126">
        <v>46093</v>
      </c>
      <c r="B278" s="198" t="s">
        <v>693</v>
      </c>
      <c r="C278" s="199" t="s">
        <v>694</v>
      </c>
      <c r="D278" s="134">
        <v>1733</v>
      </c>
      <c r="E278" s="130" t="s">
        <v>397</v>
      </c>
      <c r="F278" s="124" t="s">
        <v>25</v>
      </c>
    </row>
    <row r="279" spans="1:6">
      <c r="A279" s="126">
        <v>46093</v>
      </c>
      <c r="B279" s="170" t="s">
        <v>418</v>
      </c>
      <c r="C279" s="197" t="s">
        <v>695</v>
      </c>
      <c r="D279" s="134">
        <v>416.49</v>
      </c>
      <c r="E279" s="130" t="s">
        <v>397</v>
      </c>
      <c r="F279" s="124" t="s">
        <v>25</v>
      </c>
    </row>
    <row r="280" spans="1:6">
      <c r="A280" s="126">
        <v>46093</v>
      </c>
      <c r="B280" s="170" t="s">
        <v>416</v>
      </c>
      <c r="C280" s="197" t="s">
        <v>696</v>
      </c>
      <c r="D280" s="134">
        <v>1023</v>
      </c>
      <c r="E280" s="130" t="s">
        <v>397</v>
      </c>
      <c r="F280" s="124" t="s">
        <v>25</v>
      </c>
    </row>
    <row r="281" spans="1:6">
      <c r="A281" s="126">
        <v>46093</v>
      </c>
      <c r="B281" s="170" t="s">
        <v>502</v>
      </c>
      <c r="C281" s="197" t="s">
        <v>697</v>
      </c>
      <c r="D281" s="134">
        <v>675.16</v>
      </c>
      <c r="E281" s="130" t="s">
        <v>397</v>
      </c>
      <c r="F281" s="124" t="s">
        <v>25</v>
      </c>
    </row>
    <row r="282" spans="1:6">
      <c r="A282" s="126">
        <v>46093</v>
      </c>
      <c r="B282" s="168" t="s">
        <v>475</v>
      </c>
      <c r="C282" s="196" t="s">
        <v>698</v>
      </c>
      <c r="D282" s="134">
        <v>1955.52</v>
      </c>
      <c r="E282" s="130" t="s">
        <v>397</v>
      </c>
      <c r="F282" s="124" t="s">
        <v>25</v>
      </c>
    </row>
    <row r="283" spans="1:6">
      <c r="A283" s="126">
        <v>46093</v>
      </c>
      <c r="B283" s="170" t="s">
        <v>475</v>
      </c>
      <c r="C283" s="197" t="s">
        <v>699</v>
      </c>
      <c r="D283" s="134">
        <v>1720.12</v>
      </c>
      <c r="E283" s="130" t="s">
        <v>397</v>
      </c>
      <c r="F283" s="124" t="s">
        <v>25</v>
      </c>
    </row>
    <row r="284" spans="1:6">
      <c r="A284" s="126">
        <v>46093</v>
      </c>
      <c r="B284" s="170" t="s">
        <v>675</v>
      </c>
      <c r="C284" s="197" t="s">
        <v>450</v>
      </c>
      <c r="D284" s="134">
        <v>221</v>
      </c>
      <c r="E284" s="130" t="s">
        <v>397</v>
      </c>
      <c r="F284" s="124" t="s">
        <v>25</v>
      </c>
    </row>
    <row r="285" spans="1:6">
      <c r="A285" s="126">
        <v>46093</v>
      </c>
      <c r="B285" s="170" t="s">
        <v>580</v>
      </c>
      <c r="C285" s="197" t="s">
        <v>450</v>
      </c>
      <c r="D285" s="134">
        <v>420</v>
      </c>
      <c r="E285" s="130" t="s">
        <v>397</v>
      </c>
      <c r="F285" s="124" t="s">
        <v>25</v>
      </c>
    </row>
    <row r="286" spans="1:6">
      <c r="A286" s="126">
        <v>46094</v>
      </c>
      <c r="B286" s="170" t="s">
        <v>639</v>
      </c>
      <c r="C286" s="197" t="s">
        <v>700</v>
      </c>
      <c r="D286" s="134">
        <v>564.25</v>
      </c>
      <c r="E286" s="130" t="s">
        <v>397</v>
      </c>
      <c r="F286" s="124" t="s">
        <v>25</v>
      </c>
    </row>
    <row r="287" spans="1:6">
      <c r="A287" s="126">
        <v>46094</v>
      </c>
      <c r="B287" s="198" t="s">
        <v>440</v>
      </c>
      <c r="C287" s="199" t="s">
        <v>701</v>
      </c>
      <c r="D287" s="134">
        <v>556.49</v>
      </c>
      <c r="E287" s="130" t="s">
        <v>397</v>
      </c>
      <c r="F287" s="124" t="s">
        <v>25</v>
      </c>
    </row>
    <row r="288" spans="1:6">
      <c r="A288" s="126">
        <v>46094</v>
      </c>
      <c r="B288" s="170" t="s">
        <v>398</v>
      </c>
      <c r="C288" s="197" t="s">
        <v>702</v>
      </c>
      <c r="D288" s="134">
        <v>2210</v>
      </c>
      <c r="E288" s="130" t="s">
        <v>397</v>
      </c>
      <c r="F288" s="124" t="s">
        <v>25</v>
      </c>
    </row>
    <row r="289" spans="1:6">
      <c r="A289" s="126">
        <v>46094</v>
      </c>
      <c r="B289" s="198" t="s">
        <v>398</v>
      </c>
      <c r="C289" s="199" t="s">
        <v>703</v>
      </c>
      <c r="D289" s="134">
        <v>861.53</v>
      </c>
      <c r="E289" s="130" t="s">
        <v>397</v>
      </c>
      <c r="F289" s="124" t="s">
        <v>25</v>
      </c>
    </row>
    <row r="290" spans="1:6">
      <c r="A290" s="126">
        <v>46094</v>
      </c>
      <c r="B290" s="170" t="s">
        <v>672</v>
      </c>
      <c r="C290" s="197" t="s">
        <v>704</v>
      </c>
      <c r="D290" s="134">
        <v>383</v>
      </c>
      <c r="E290" s="130" t="s">
        <v>397</v>
      </c>
      <c r="F290" s="124" t="s">
        <v>25</v>
      </c>
    </row>
    <row r="291" spans="1:6">
      <c r="A291" s="126">
        <v>46094</v>
      </c>
      <c r="B291" s="198" t="s">
        <v>412</v>
      </c>
      <c r="C291" s="199" t="s">
        <v>705</v>
      </c>
      <c r="D291" s="134">
        <v>893.25</v>
      </c>
      <c r="E291" s="130" t="s">
        <v>397</v>
      </c>
      <c r="F291" s="124" t="s">
        <v>25</v>
      </c>
    </row>
    <row r="292" spans="1:6">
      <c r="A292" s="126">
        <v>46094</v>
      </c>
      <c r="B292" s="168" t="s">
        <v>493</v>
      </c>
      <c r="C292" s="196" t="s">
        <v>706</v>
      </c>
      <c r="D292" s="134">
        <v>978.87</v>
      </c>
      <c r="E292" s="130" t="s">
        <v>397</v>
      </c>
      <c r="F292" s="124" t="s">
        <v>25</v>
      </c>
    </row>
    <row r="293" spans="1:6">
      <c r="A293" s="126">
        <v>46094</v>
      </c>
      <c r="B293" s="168" t="s">
        <v>707</v>
      </c>
      <c r="C293" s="196" t="s">
        <v>708</v>
      </c>
      <c r="D293" s="134">
        <v>484.3</v>
      </c>
      <c r="E293" s="130" t="s">
        <v>397</v>
      </c>
      <c r="F293" s="124" t="s">
        <v>25</v>
      </c>
    </row>
    <row r="294" spans="1:6">
      <c r="A294" s="126">
        <v>46094</v>
      </c>
      <c r="B294" s="198" t="s">
        <v>630</v>
      </c>
      <c r="C294" s="199" t="s">
        <v>709</v>
      </c>
      <c r="D294" s="134">
        <v>1235.0999999999999</v>
      </c>
      <c r="E294" s="130" t="s">
        <v>397</v>
      </c>
      <c r="F294" s="124" t="s">
        <v>25</v>
      </c>
    </row>
    <row r="295" spans="1:6">
      <c r="A295" s="126">
        <v>46094</v>
      </c>
      <c r="B295" s="170" t="s">
        <v>268</v>
      </c>
      <c r="C295" s="197" t="s">
        <v>710</v>
      </c>
      <c r="D295" s="134">
        <v>759.28</v>
      </c>
      <c r="E295" s="130" t="s">
        <v>397</v>
      </c>
      <c r="F295" s="124" t="s">
        <v>25</v>
      </c>
    </row>
    <row r="296" spans="1:6">
      <c r="A296" s="126">
        <v>46094</v>
      </c>
      <c r="B296" s="198" t="s">
        <v>711</v>
      </c>
      <c r="C296" s="199" t="s">
        <v>712</v>
      </c>
      <c r="D296" s="134">
        <v>199</v>
      </c>
      <c r="E296" s="130" t="s">
        <v>397</v>
      </c>
      <c r="F296" s="124" t="s">
        <v>25</v>
      </c>
    </row>
    <row r="297" spans="1:6">
      <c r="A297" s="126">
        <v>46094</v>
      </c>
      <c r="B297" s="170" t="s">
        <v>268</v>
      </c>
      <c r="C297" s="197" t="s">
        <v>713</v>
      </c>
      <c r="D297" s="134">
        <v>180</v>
      </c>
      <c r="E297" s="130" t="s">
        <v>397</v>
      </c>
      <c r="F297" s="124" t="s">
        <v>25</v>
      </c>
    </row>
    <row r="298" spans="1:6">
      <c r="A298" s="126">
        <v>46094</v>
      </c>
      <c r="B298" s="168" t="s">
        <v>502</v>
      </c>
      <c r="C298" s="196" t="s">
        <v>714</v>
      </c>
      <c r="D298" s="134">
        <v>675.16</v>
      </c>
      <c r="E298" s="130" t="s">
        <v>397</v>
      </c>
      <c r="F298" s="124" t="s">
        <v>25</v>
      </c>
    </row>
    <row r="299" spans="1:6">
      <c r="A299" s="126">
        <v>46094</v>
      </c>
      <c r="B299" s="128" t="s">
        <v>246</v>
      </c>
      <c r="C299" s="195">
        <v>11935</v>
      </c>
      <c r="D299" s="134">
        <v>992.67</v>
      </c>
      <c r="E299" s="130" t="s">
        <v>397</v>
      </c>
      <c r="F299" s="124" t="s">
        <v>25</v>
      </c>
    </row>
    <row r="300" spans="1:6">
      <c r="A300" s="126">
        <v>46097</v>
      </c>
      <c r="B300" s="200" t="s">
        <v>412</v>
      </c>
      <c r="C300" s="201" t="s">
        <v>715</v>
      </c>
      <c r="D300" s="155">
        <v>509.75</v>
      </c>
      <c r="E300" s="130" t="s">
        <v>397</v>
      </c>
      <c r="F300" s="124" t="s">
        <v>25</v>
      </c>
    </row>
    <row r="301" spans="1:6">
      <c r="A301" s="126">
        <v>46097</v>
      </c>
      <c r="B301" s="174" t="s">
        <v>422</v>
      </c>
      <c r="C301" s="202" t="s">
        <v>716</v>
      </c>
      <c r="D301" s="155">
        <v>4517</v>
      </c>
      <c r="E301" s="130" t="s">
        <v>397</v>
      </c>
      <c r="F301" s="124" t="s">
        <v>25</v>
      </c>
    </row>
    <row r="302" spans="1:6">
      <c r="A302" s="126">
        <v>46097</v>
      </c>
      <c r="B302" s="200" t="s">
        <v>268</v>
      </c>
      <c r="C302" s="201" t="s">
        <v>717</v>
      </c>
      <c r="D302" s="155">
        <v>1013.17</v>
      </c>
      <c r="E302" s="130" t="s">
        <v>397</v>
      </c>
      <c r="F302" s="124" t="s">
        <v>25</v>
      </c>
    </row>
    <row r="303" spans="1:6">
      <c r="A303" s="126">
        <v>46097</v>
      </c>
      <c r="B303" s="174" t="s">
        <v>402</v>
      </c>
      <c r="C303" s="202" t="s">
        <v>718</v>
      </c>
      <c r="D303" s="155">
        <v>1801.67</v>
      </c>
      <c r="E303" s="130" t="s">
        <v>397</v>
      </c>
      <c r="F303" s="124" t="s">
        <v>25</v>
      </c>
    </row>
    <row r="304" spans="1:6">
      <c r="A304" s="126">
        <v>46097</v>
      </c>
      <c r="B304" s="200" t="s">
        <v>418</v>
      </c>
      <c r="C304" s="201" t="s">
        <v>719</v>
      </c>
      <c r="D304" s="155">
        <v>1444.07</v>
      </c>
      <c r="E304" s="130" t="s">
        <v>397</v>
      </c>
      <c r="F304" s="124" t="s">
        <v>25</v>
      </c>
    </row>
    <row r="305" spans="1:6">
      <c r="A305" s="126">
        <v>46097</v>
      </c>
      <c r="B305" s="174" t="s">
        <v>510</v>
      </c>
      <c r="C305" s="202" t="s">
        <v>720</v>
      </c>
      <c r="D305" s="155">
        <v>487.5</v>
      </c>
      <c r="E305" s="130" t="s">
        <v>397</v>
      </c>
      <c r="F305" s="124" t="s">
        <v>25</v>
      </c>
    </row>
    <row r="306" spans="1:6">
      <c r="A306" s="126">
        <v>46097</v>
      </c>
      <c r="B306" s="200" t="s">
        <v>647</v>
      </c>
      <c r="C306" s="201" t="s">
        <v>721</v>
      </c>
      <c r="D306" s="155">
        <v>516</v>
      </c>
      <c r="E306" s="130" t="s">
        <v>397</v>
      </c>
      <c r="F306" s="124" t="s">
        <v>25</v>
      </c>
    </row>
    <row r="307" spans="1:6">
      <c r="A307" s="139">
        <v>46097</v>
      </c>
      <c r="B307" s="174" t="s">
        <v>722</v>
      </c>
      <c r="C307" s="202" t="s">
        <v>723</v>
      </c>
      <c r="D307" s="155">
        <v>1429.3</v>
      </c>
      <c r="E307" s="130" t="s">
        <v>397</v>
      </c>
      <c r="F307" s="124" t="s">
        <v>25</v>
      </c>
    </row>
    <row r="308" spans="1:6">
      <c r="A308" s="126">
        <v>46098</v>
      </c>
      <c r="B308" s="168" t="s">
        <v>658</v>
      </c>
      <c r="C308" s="196">
        <v>12104</v>
      </c>
      <c r="D308" s="134">
        <v>89</v>
      </c>
      <c r="E308" s="130" t="s">
        <v>397</v>
      </c>
      <c r="F308" s="124" t="s">
        <v>25</v>
      </c>
    </row>
    <row r="309" spans="1:6">
      <c r="A309" s="126">
        <v>46098</v>
      </c>
      <c r="B309" s="168" t="s">
        <v>675</v>
      </c>
      <c r="C309" s="196" t="s">
        <v>450</v>
      </c>
      <c r="D309" s="134">
        <v>168</v>
      </c>
      <c r="E309" s="130" t="s">
        <v>397</v>
      </c>
      <c r="F309" s="124" t="s">
        <v>25</v>
      </c>
    </row>
    <row r="310" spans="1:6">
      <c r="A310" s="126">
        <v>46098</v>
      </c>
      <c r="B310" s="170" t="s">
        <v>636</v>
      </c>
      <c r="C310" s="197">
        <v>12347</v>
      </c>
      <c r="D310" s="134">
        <v>1988</v>
      </c>
      <c r="E310" s="130" t="s">
        <v>397</v>
      </c>
      <c r="F310" s="124" t="s">
        <v>25</v>
      </c>
    </row>
    <row r="311" spans="1:6">
      <c r="A311" s="126">
        <v>46098</v>
      </c>
      <c r="B311" s="168" t="s">
        <v>424</v>
      </c>
      <c r="C311" s="196" t="s">
        <v>724</v>
      </c>
      <c r="D311" s="134">
        <v>1227.7</v>
      </c>
      <c r="E311" s="130" t="s">
        <v>397</v>
      </c>
      <c r="F311" s="124" t="s">
        <v>25</v>
      </c>
    </row>
    <row r="312" spans="1:6">
      <c r="A312" s="126">
        <v>46098</v>
      </c>
      <c r="B312" s="170" t="s">
        <v>689</v>
      </c>
      <c r="C312" s="197" t="s">
        <v>725</v>
      </c>
      <c r="D312" s="134">
        <v>373</v>
      </c>
      <c r="E312" s="130" t="s">
        <v>397</v>
      </c>
      <c r="F312" s="124" t="s">
        <v>25</v>
      </c>
    </row>
    <row r="313" spans="1:6">
      <c r="A313" s="126">
        <v>46098</v>
      </c>
      <c r="B313" s="168" t="s">
        <v>576</v>
      </c>
      <c r="C313" s="196" t="s">
        <v>726</v>
      </c>
      <c r="D313" s="134">
        <v>662.15</v>
      </c>
      <c r="E313" s="130" t="s">
        <v>397</v>
      </c>
      <c r="F313" s="124" t="s">
        <v>25</v>
      </c>
    </row>
    <row r="314" spans="1:6">
      <c r="A314" s="126">
        <v>46098</v>
      </c>
      <c r="B314" s="170" t="s">
        <v>491</v>
      </c>
      <c r="C314" s="197" t="s">
        <v>727</v>
      </c>
      <c r="D314" s="134">
        <v>827</v>
      </c>
      <c r="E314" s="130" t="s">
        <v>397</v>
      </c>
      <c r="F314" s="124" t="s">
        <v>25</v>
      </c>
    </row>
    <row r="315" spans="1:6">
      <c r="A315" s="126">
        <v>46099</v>
      </c>
      <c r="B315" s="170" t="s">
        <v>728</v>
      </c>
      <c r="C315" s="197">
        <v>12118</v>
      </c>
      <c r="D315" s="134">
        <v>510.5</v>
      </c>
      <c r="E315" s="130" t="s">
        <v>397</v>
      </c>
      <c r="F315" s="124" t="s">
        <v>25</v>
      </c>
    </row>
    <row r="316" spans="1:6">
      <c r="A316" s="126">
        <v>46099</v>
      </c>
      <c r="B316" s="170" t="s">
        <v>729</v>
      </c>
      <c r="C316" s="197">
        <v>12340</v>
      </c>
      <c r="D316" s="134">
        <v>349.7</v>
      </c>
      <c r="E316" s="130" t="s">
        <v>397</v>
      </c>
      <c r="F316" s="124" t="s">
        <v>25</v>
      </c>
    </row>
    <row r="317" spans="1:6">
      <c r="A317" s="126">
        <v>46099</v>
      </c>
      <c r="B317" s="168" t="s">
        <v>475</v>
      </c>
      <c r="C317" s="196" t="s">
        <v>730</v>
      </c>
      <c r="D317" s="134">
        <v>1597.96</v>
      </c>
      <c r="E317" s="130" t="s">
        <v>397</v>
      </c>
      <c r="F317" s="124" t="s">
        <v>25</v>
      </c>
    </row>
    <row r="318" spans="1:6">
      <c r="A318" s="126">
        <v>46099</v>
      </c>
      <c r="B318" s="170" t="s">
        <v>418</v>
      </c>
      <c r="C318" s="197" t="s">
        <v>731</v>
      </c>
      <c r="D318" s="134">
        <v>546.4</v>
      </c>
      <c r="E318" s="130" t="s">
        <v>397</v>
      </c>
      <c r="F318" s="124" t="s">
        <v>25</v>
      </c>
    </row>
    <row r="319" spans="1:6">
      <c r="A319" s="126">
        <v>46099</v>
      </c>
      <c r="B319" s="168" t="s">
        <v>398</v>
      </c>
      <c r="C319" s="196" t="s">
        <v>732</v>
      </c>
      <c r="D319" s="134">
        <v>1815.8</v>
      </c>
      <c r="E319" s="130" t="s">
        <v>397</v>
      </c>
      <c r="F319" s="124" t="s">
        <v>25</v>
      </c>
    </row>
    <row r="320" spans="1:6">
      <c r="A320" s="126">
        <v>46099</v>
      </c>
      <c r="B320" s="170" t="s">
        <v>475</v>
      </c>
      <c r="C320" s="197" t="s">
        <v>733</v>
      </c>
      <c r="D320" s="134">
        <v>1405.34</v>
      </c>
      <c r="E320" s="130" t="s">
        <v>397</v>
      </c>
      <c r="F320" s="124" t="s">
        <v>25</v>
      </c>
    </row>
    <row r="321" spans="1:6">
      <c r="A321" s="126">
        <v>46099</v>
      </c>
      <c r="B321" s="168" t="s">
        <v>428</v>
      </c>
      <c r="C321" s="196" t="s">
        <v>734</v>
      </c>
      <c r="D321" s="134">
        <v>100</v>
      </c>
      <c r="E321" s="130" t="s">
        <v>397</v>
      </c>
      <c r="F321" s="124" t="s">
        <v>25</v>
      </c>
    </row>
    <row r="322" spans="1:6">
      <c r="A322" s="126">
        <v>46099</v>
      </c>
      <c r="B322" s="170" t="s">
        <v>418</v>
      </c>
      <c r="C322" s="197" t="s">
        <v>735</v>
      </c>
      <c r="D322" s="134">
        <v>625.85</v>
      </c>
      <c r="E322" s="130" t="s">
        <v>397</v>
      </c>
      <c r="F322" s="124" t="s">
        <v>25</v>
      </c>
    </row>
    <row r="323" spans="1:6">
      <c r="A323" s="126">
        <v>46099</v>
      </c>
      <c r="B323" s="168" t="s">
        <v>736</v>
      </c>
      <c r="C323" s="196" t="s">
        <v>737</v>
      </c>
      <c r="D323" s="134">
        <v>544.70000000000005</v>
      </c>
      <c r="E323" s="130" t="s">
        <v>397</v>
      </c>
      <c r="F323" s="124" t="s">
        <v>25</v>
      </c>
    </row>
    <row r="324" spans="1:6">
      <c r="A324" s="126">
        <v>46099</v>
      </c>
      <c r="B324" s="170" t="s">
        <v>502</v>
      </c>
      <c r="C324" s="197" t="s">
        <v>738</v>
      </c>
      <c r="D324" s="134">
        <v>694.75</v>
      </c>
      <c r="E324" s="130" t="s">
        <v>397</v>
      </c>
      <c r="F324" s="124" t="s">
        <v>25</v>
      </c>
    </row>
    <row r="325" spans="1:6">
      <c r="A325" s="126">
        <v>46100</v>
      </c>
      <c r="B325" s="168" t="s">
        <v>693</v>
      </c>
      <c r="C325" s="196" t="s">
        <v>739</v>
      </c>
      <c r="D325" s="134">
        <v>1733</v>
      </c>
      <c r="E325" s="130" t="s">
        <v>397</v>
      </c>
      <c r="F325" s="124" t="s">
        <v>25</v>
      </c>
    </row>
    <row r="326" spans="1:6">
      <c r="A326" s="126">
        <v>46100</v>
      </c>
      <c r="B326" s="170" t="s">
        <v>418</v>
      </c>
      <c r="C326" s="197" t="s">
        <v>740</v>
      </c>
      <c r="D326" s="134">
        <v>416.49</v>
      </c>
      <c r="E326" s="130" t="s">
        <v>397</v>
      </c>
      <c r="F326" s="124" t="s">
        <v>25</v>
      </c>
    </row>
    <row r="327" spans="1:6">
      <c r="A327" s="126">
        <v>46100</v>
      </c>
      <c r="B327" s="168" t="s">
        <v>741</v>
      </c>
      <c r="C327" s="196" t="s">
        <v>742</v>
      </c>
      <c r="D327" s="134">
        <v>288</v>
      </c>
      <c r="E327" s="130" t="s">
        <v>397</v>
      </c>
      <c r="F327" s="124" t="s">
        <v>25</v>
      </c>
    </row>
    <row r="328" spans="1:6">
      <c r="A328" s="126">
        <v>46100</v>
      </c>
      <c r="B328" s="170" t="s">
        <v>743</v>
      </c>
      <c r="C328" s="197" t="s">
        <v>744</v>
      </c>
      <c r="D328" s="134">
        <v>706</v>
      </c>
      <c r="E328" s="130" t="s">
        <v>397</v>
      </c>
      <c r="F328" s="124" t="s">
        <v>25</v>
      </c>
    </row>
    <row r="329" spans="1:6">
      <c r="A329" s="126">
        <v>46100</v>
      </c>
      <c r="B329" s="170" t="s">
        <v>745</v>
      </c>
      <c r="C329" s="197">
        <v>12050</v>
      </c>
      <c r="D329" s="134">
        <v>840.5</v>
      </c>
      <c r="E329" s="130" t="s">
        <v>397</v>
      </c>
      <c r="F329" s="124" t="s">
        <v>25</v>
      </c>
    </row>
    <row r="330" spans="1:6">
      <c r="A330" s="126">
        <v>46100</v>
      </c>
      <c r="B330" s="168" t="s">
        <v>675</v>
      </c>
      <c r="C330" s="196" t="s">
        <v>746</v>
      </c>
      <c r="D330" s="134">
        <v>60</v>
      </c>
      <c r="E330" s="130" t="s">
        <v>397</v>
      </c>
      <c r="F330" s="124" t="s">
        <v>25</v>
      </c>
    </row>
    <row r="331" spans="1:6">
      <c r="A331" s="126">
        <v>46100</v>
      </c>
      <c r="B331" s="170" t="s">
        <v>707</v>
      </c>
      <c r="C331" s="197">
        <v>12351</v>
      </c>
      <c r="D331" s="134">
        <v>121.9</v>
      </c>
      <c r="E331" s="130" t="s">
        <v>397</v>
      </c>
      <c r="F331" s="124" t="s">
        <v>25</v>
      </c>
    </row>
    <row r="332" spans="1:6">
      <c r="A332" s="126">
        <v>46100</v>
      </c>
      <c r="B332" s="168" t="s">
        <v>747</v>
      </c>
      <c r="C332" s="196">
        <v>12352</v>
      </c>
      <c r="D332" s="134">
        <v>120.7</v>
      </c>
      <c r="E332" s="130" t="s">
        <v>397</v>
      </c>
      <c r="F332" s="124" t="s">
        <v>25</v>
      </c>
    </row>
    <row r="333" spans="1:6">
      <c r="A333" s="126">
        <v>46101</v>
      </c>
      <c r="B333" s="170" t="s">
        <v>475</v>
      </c>
      <c r="C333" s="197">
        <v>12357</v>
      </c>
      <c r="D333" s="134">
        <v>2408.25</v>
      </c>
      <c r="E333" s="130" t="s">
        <v>397</v>
      </c>
      <c r="F333" s="124" t="s">
        <v>25</v>
      </c>
    </row>
    <row r="334" spans="1:6">
      <c r="A334" s="126">
        <v>46101</v>
      </c>
      <c r="B334" s="198" t="s">
        <v>471</v>
      </c>
      <c r="C334" s="199" t="s">
        <v>748</v>
      </c>
      <c r="D334" s="134">
        <v>667.4</v>
      </c>
      <c r="E334" s="130" t="s">
        <v>397</v>
      </c>
      <c r="F334" s="124" t="s">
        <v>25</v>
      </c>
    </row>
    <row r="335" spans="1:6">
      <c r="A335" s="126">
        <v>46101</v>
      </c>
      <c r="B335" s="170" t="s">
        <v>672</v>
      </c>
      <c r="C335" s="197" t="s">
        <v>749</v>
      </c>
      <c r="D335" s="134">
        <v>383</v>
      </c>
      <c r="E335" s="130" t="s">
        <v>397</v>
      </c>
      <c r="F335" s="124" t="s">
        <v>25</v>
      </c>
    </row>
    <row r="336" spans="1:6">
      <c r="A336" s="126">
        <v>46101</v>
      </c>
      <c r="B336" s="198" t="s">
        <v>268</v>
      </c>
      <c r="C336" s="199" t="s">
        <v>750</v>
      </c>
      <c r="D336" s="134">
        <v>759.28</v>
      </c>
      <c r="E336" s="130" t="s">
        <v>397</v>
      </c>
      <c r="F336" s="124" t="s">
        <v>25</v>
      </c>
    </row>
    <row r="337" spans="1:6">
      <c r="A337" s="126">
        <v>46101</v>
      </c>
      <c r="B337" s="170" t="s">
        <v>407</v>
      </c>
      <c r="C337" s="197" t="s">
        <v>751</v>
      </c>
      <c r="D337" s="134">
        <v>2217.1999999999998</v>
      </c>
      <c r="E337" s="130" t="s">
        <v>397</v>
      </c>
      <c r="F337" s="124" t="s">
        <v>25</v>
      </c>
    </row>
    <row r="338" spans="1:6">
      <c r="A338" s="126">
        <v>46101</v>
      </c>
      <c r="B338" s="198" t="s">
        <v>418</v>
      </c>
      <c r="C338" s="199" t="s">
        <v>752</v>
      </c>
      <c r="D338" s="134">
        <v>592.5</v>
      </c>
      <c r="E338" s="130" t="s">
        <v>397</v>
      </c>
      <c r="F338" s="124" t="s">
        <v>25</v>
      </c>
    </row>
    <row r="339" spans="1:6">
      <c r="A339" s="126">
        <v>46101</v>
      </c>
      <c r="B339" s="170" t="s">
        <v>418</v>
      </c>
      <c r="C339" s="197" t="s">
        <v>753</v>
      </c>
      <c r="D339" s="134">
        <v>1095.0999999999999</v>
      </c>
      <c r="E339" s="130" t="s">
        <v>397</v>
      </c>
      <c r="F339" s="124" t="s">
        <v>25</v>
      </c>
    </row>
    <row r="340" spans="1:6">
      <c r="A340" s="126">
        <v>46101</v>
      </c>
      <c r="B340" s="198" t="s">
        <v>471</v>
      </c>
      <c r="C340" s="199" t="s">
        <v>754</v>
      </c>
      <c r="D340" s="134">
        <v>1034.5</v>
      </c>
      <c r="E340" s="130" t="s">
        <v>397</v>
      </c>
      <c r="F340" s="124" t="s">
        <v>25</v>
      </c>
    </row>
    <row r="341" spans="1:6">
      <c r="A341" s="126">
        <v>46104</v>
      </c>
      <c r="B341" s="131" t="s">
        <v>529</v>
      </c>
      <c r="C341" s="197">
        <v>10512</v>
      </c>
      <c r="D341" s="134">
        <v>48</v>
      </c>
      <c r="E341" s="130" t="s">
        <v>397</v>
      </c>
      <c r="F341" s="124" t="s">
        <v>25</v>
      </c>
    </row>
    <row r="342" spans="1:6">
      <c r="A342" s="126">
        <v>46104</v>
      </c>
      <c r="B342" s="127" t="s">
        <v>755</v>
      </c>
      <c r="C342" s="199">
        <v>12368</v>
      </c>
      <c r="D342" s="134">
        <v>129.5</v>
      </c>
      <c r="E342" s="130" t="s">
        <v>397</v>
      </c>
      <c r="F342" s="124" t="s">
        <v>25</v>
      </c>
    </row>
    <row r="343" spans="1:6">
      <c r="A343" s="126">
        <v>46104</v>
      </c>
      <c r="B343" s="168" t="s">
        <v>398</v>
      </c>
      <c r="C343" s="196" t="s">
        <v>756</v>
      </c>
      <c r="D343" s="134">
        <v>1210.47</v>
      </c>
      <c r="E343" s="130" t="s">
        <v>397</v>
      </c>
      <c r="F343" s="124" t="s">
        <v>25</v>
      </c>
    </row>
    <row r="344" spans="1:6">
      <c r="A344" s="126">
        <v>46104</v>
      </c>
      <c r="B344" s="170" t="s">
        <v>611</v>
      </c>
      <c r="C344" s="197" t="s">
        <v>757</v>
      </c>
      <c r="D344" s="134">
        <v>742.33</v>
      </c>
      <c r="E344" s="130" t="s">
        <v>397</v>
      </c>
      <c r="F344" s="124" t="s">
        <v>25</v>
      </c>
    </row>
    <row r="345" spans="1:6">
      <c r="A345" s="126">
        <v>46104</v>
      </c>
      <c r="B345" s="168" t="s">
        <v>440</v>
      </c>
      <c r="C345" s="196" t="s">
        <v>758</v>
      </c>
      <c r="D345" s="134">
        <v>573.13</v>
      </c>
      <c r="E345" s="130" t="s">
        <v>397</v>
      </c>
      <c r="F345" s="124" t="s">
        <v>25</v>
      </c>
    </row>
    <row r="346" spans="1:6">
      <c r="A346" s="126">
        <v>46104</v>
      </c>
      <c r="B346" s="170" t="s">
        <v>759</v>
      </c>
      <c r="C346" s="197" t="s">
        <v>760</v>
      </c>
      <c r="D346" s="134">
        <v>653.41999999999996</v>
      </c>
      <c r="E346" s="130" t="s">
        <v>397</v>
      </c>
      <c r="F346" s="124" t="s">
        <v>25</v>
      </c>
    </row>
    <row r="347" spans="1:6">
      <c r="A347" s="126">
        <v>46104</v>
      </c>
      <c r="B347" s="168" t="s">
        <v>761</v>
      </c>
      <c r="C347" s="196" t="s">
        <v>762</v>
      </c>
      <c r="D347" s="134">
        <v>510</v>
      </c>
      <c r="E347" s="130" t="s">
        <v>397</v>
      </c>
      <c r="F347" s="124" t="s">
        <v>25</v>
      </c>
    </row>
    <row r="348" spans="1:6">
      <c r="A348" s="126">
        <v>46104</v>
      </c>
      <c r="B348" s="170" t="s">
        <v>506</v>
      </c>
      <c r="C348" s="197" t="s">
        <v>763</v>
      </c>
      <c r="D348" s="134">
        <v>208</v>
      </c>
      <c r="E348" s="130" t="s">
        <v>397</v>
      </c>
      <c r="F348" s="124" t="s">
        <v>25</v>
      </c>
    </row>
    <row r="349" spans="1:6">
      <c r="A349" s="126">
        <v>46104</v>
      </c>
      <c r="B349" s="168" t="s">
        <v>398</v>
      </c>
      <c r="C349" s="196" t="s">
        <v>764</v>
      </c>
      <c r="D349" s="134">
        <v>166</v>
      </c>
      <c r="E349" s="130" t="s">
        <v>397</v>
      </c>
      <c r="F349" s="124" t="s">
        <v>25</v>
      </c>
    </row>
    <row r="350" spans="1:6">
      <c r="A350" s="126">
        <v>46104</v>
      </c>
      <c r="B350" s="170" t="s">
        <v>416</v>
      </c>
      <c r="C350" s="197" t="s">
        <v>765</v>
      </c>
      <c r="D350" s="134">
        <v>629</v>
      </c>
      <c r="E350" s="130" t="s">
        <v>397</v>
      </c>
      <c r="F350" s="124" t="s">
        <v>25</v>
      </c>
    </row>
    <row r="351" spans="1:6">
      <c r="A351" s="126">
        <v>46104</v>
      </c>
      <c r="B351" s="168" t="s">
        <v>728</v>
      </c>
      <c r="C351" s="196" t="s">
        <v>766</v>
      </c>
      <c r="D351" s="134">
        <v>308.04000000000002</v>
      </c>
      <c r="E351" s="130" t="s">
        <v>397</v>
      </c>
      <c r="F351" s="124" t="s">
        <v>25</v>
      </c>
    </row>
    <row r="352" spans="1:6">
      <c r="A352" s="126">
        <v>46104</v>
      </c>
      <c r="B352" s="170" t="s">
        <v>728</v>
      </c>
      <c r="C352" s="197" t="s">
        <v>767</v>
      </c>
      <c r="D352" s="134">
        <v>215</v>
      </c>
      <c r="E352" s="130" t="s">
        <v>397</v>
      </c>
      <c r="F352" s="124" t="s">
        <v>25</v>
      </c>
    </row>
    <row r="353" spans="1:6">
      <c r="A353" s="126">
        <v>46104</v>
      </c>
      <c r="B353" s="168" t="s">
        <v>502</v>
      </c>
      <c r="C353" s="196" t="s">
        <v>768</v>
      </c>
      <c r="D353" s="134">
        <v>932.75</v>
      </c>
      <c r="E353" s="130" t="s">
        <v>397</v>
      </c>
      <c r="F353" s="124" t="s">
        <v>25</v>
      </c>
    </row>
    <row r="354" spans="1:6">
      <c r="A354" s="126">
        <v>46105</v>
      </c>
      <c r="B354" s="170" t="s">
        <v>299</v>
      </c>
      <c r="C354" s="197">
        <v>12229</v>
      </c>
      <c r="D354" s="134">
        <v>155.5</v>
      </c>
      <c r="E354" s="130" t="s">
        <v>397</v>
      </c>
      <c r="F354" s="124" t="s">
        <v>25</v>
      </c>
    </row>
    <row r="355" spans="1:6">
      <c r="A355" s="126">
        <v>46105</v>
      </c>
      <c r="B355" s="168" t="s">
        <v>769</v>
      </c>
      <c r="C355" s="196" t="s">
        <v>770</v>
      </c>
      <c r="D355" s="134">
        <v>296</v>
      </c>
      <c r="E355" s="130" t="s">
        <v>397</v>
      </c>
      <c r="F355" s="124" t="s">
        <v>25</v>
      </c>
    </row>
    <row r="356" spans="1:6" ht="30">
      <c r="A356" s="126">
        <v>46105</v>
      </c>
      <c r="B356" s="170" t="s">
        <v>475</v>
      </c>
      <c r="C356" s="197" t="s">
        <v>771</v>
      </c>
      <c r="D356" s="134">
        <v>3300</v>
      </c>
      <c r="E356" s="130" t="s">
        <v>397</v>
      </c>
      <c r="F356" s="124" t="s">
        <v>25</v>
      </c>
    </row>
    <row r="357" spans="1:6">
      <c r="A357" s="126">
        <v>46105</v>
      </c>
      <c r="B357" s="168" t="s">
        <v>772</v>
      </c>
      <c r="C357" s="196">
        <v>12408</v>
      </c>
      <c r="D357" s="134">
        <v>3411</v>
      </c>
      <c r="E357" s="130" t="s">
        <v>397</v>
      </c>
      <c r="F357" s="124" t="s">
        <v>25</v>
      </c>
    </row>
    <row r="358" spans="1:6">
      <c r="A358" s="126">
        <v>46105</v>
      </c>
      <c r="B358" s="170" t="s">
        <v>773</v>
      </c>
      <c r="C358" s="197">
        <v>12384</v>
      </c>
      <c r="D358" s="134">
        <v>483</v>
      </c>
      <c r="E358" s="130" t="s">
        <v>397</v>
      </c>
      <c r="F358" s="124" t="s">
        <v>25</v>
      </c>
    </row>
    <row r="359" spans="1:6">
      <c r="A359" s="126">
        <v>46105</v>
      </c>
      <c r="B359" s="198" t="s">
        <v>774</v>
      </c>
      <c r="C359" s="199" t="s">
        <v>775</v>
      </c>
      <c r="D359" s="134">
        <v>1037.3399999999999</v>
      </c>
      <c r="E359" s="130" t="s">
        <v>397</v>
      </c>
      <c r="F359" s="124" t="s">
        <v>25</v>
      </c>
    </row>
    <row r="360" spans="1:6">
      <c r="A360" s="126">
        <v>46105</v>
      </c>
      <c r="B360" s="170" t="s">
        <v>774</v>
      </c>
      <c r="C360" s="197" t="s">
        <v>776</v>
      </c>
      <c r="D360" s="134">
        <v>1014.67</v>
      </c>
      <c r="E360" s="130" t="s">
        <v>397</v>
      </c>
      <c r="F360" s="124" t="s">
        <v>25</v>
      </c>
    </row>
    <row r="361" spans="1:6">
      <c r="A361" s="126">
        <v>46105</v>
      </c>
      <c r="B361" s="198" t="s">
        <v>774</v>
      </c>
      <c r="C361" s="199" t="s">
        <v>777</v>
      </c>
      <c r="D361" s="134">
        <v>982.07</v>
      </c>
      <c r="E361" s="130" t="s">
        <v>397</v>
      </c>
      <c r="F361" s="124" t="s">
        <v>25</v>
      </c>
    </row>
    <row r="362" spans="1:6">
      <c r="A362" s="126">
        <v>46105</v>
      </c>
      <c r="B362" s="170" t="s">
        <v>464</v>
      </c>
      <c r="C362" s="197" t="s">
        <v>778</v>
      </c>
      <c r="D362" s="134">
        <v>156.9</v>
      </c>
      <c r="E362" s="130" t="s">
        <v>397</v>
      </c>
      <c r="F362" s="124" t="s">
        <v>25</v>
      </c>
    </row>
    <row r="363" spans="1:6">
      <c r="A363" s="126">
        <v>46106</v>
      </c>
      <c r="B363" s="168" t="s">
        <v>398</v>
      </c>
      <c r="C363" s="196" t="s">
        <v>779</v>
      </c>
      <c r="D363" s="134">
        <v>1815.8</v>
      </c>
      <c r="E363" s="130" t="s">
        <v>397</v>
      </c>
      <c r="F363" s="124" t="s">
        <v>25</v>
      </c>
    </row>
    <row r="364" spans="1:6">
      <c r="A364" s="126">
        <v>46106</v>
      </c>
      <c r="B364" s="170" t="s">
        <v>689</v>
      </c>
      <c r="C364" s="197" t="s">
        <v>780</v>
      </c>
      <c r="D364" s="134">
        <v>373</v>
      </c>
      <c r="E364" s="130" t="s">
        <v>397</v>
      </c>
      <c r="F364" s="124" t="s">
        <v>25</v>
      </c>
    </row>
    <row r="365" spans="1:6">
      <c r="A365" s="126">
        <v>46106</v>
      </c>
      <c r="B365" s="168" t="s">
        <v>781</v>
      </c>
      <c r="C365" s="196" t="s">
        <v>782</v>
      </c>
      <c r="D365" s="134">
        <v>7700</v>
      </c>
      <c r="E365" s="130" t="s">
        <v>397</v>
      </c>
      <c r="F365" s="124" t="s">
        <v>25</v>
      </c>
    </row>
    <row r="366" spans="1:6">
      <c r="A366" s="126">
        <v>46106</v>
      </c>
      <c r="B366" s="170" t="s">
        <v>422</v>
      </c>
      <c r="C366" s="197" t="s">
        <v>783</v>
      </c>
      <c r="D366" s="134">
        <v>2430</v>
      </c>
      <c r="E366" s="130" t="s">
        <v>397</v>
      </c>
      <c r="F366" s="124" t="s">
        <v>25</v>
      </c>
    </row>
    <row r="367" spans="1:6">
      <c r="A367" s="126">
        <v>46106</v>
      </c>
      <c r="B367" s="168" t="s">
        <v>402</v>
      </c>
      <c r="C367" s="196" t="s">
        <v>784</v>
      </c>
      <c r="D367" s="134">
        <v>300</v>
      </c>
      <c r="E367" s="130" t="s">
        <v>397</v>
      </c>
      <c r="F367" s="124" t="s">
        <v>25</v>
      </c>
    </row>
    <row r="368" spans="1:6">
      <c r="A368" s="126">
        <v>46106</v>
      </c>
      <c r="B368" s="170" t="s">
        <v>785</v>
      </c>
      <c r="C368" s="197" t="s">
        <v>786</v>
      </c>
      <c r="D368" s="134">
        <v>555.5</v>
      </c>
      <c r="E368" s="130" t="s">
        <v>397</v>
      </c>
      <c r="F368" s="124" t="s">
        <v>25</v>
      </c>
    </row>
    <row r="369" spans="1:6">
      <c r="A369" s="126">
        <v>46106</v>
      </c>
      <c r="B369" s="168" t="s">
        <v>576</v>
      </c>
      <c r="C369" s="196" t="s">
        <v>787</v>
      </c>
      <c r="D369" s="134">
        <v>369.9</v>
      </c>
      <c r="E369" s="130" t="s">
        <v>397</v>
      </c>
      <c r="F369" s="124" t="s">
        <v>25</v>
      </c>
    </row>
    <row r="370" spans="1:6">
      <c r="A370" s="126">
        <v>46106</v>
      </c>
      <c r="B370" s="128" t="s">
        <v>728</v>
      </c>
      <c r="C370" s="195">
        <v>12118</v>
      </c>
      <c r="D370" s="134">
        <v>510.5</v>
      </c>
      <c r="E370" s="130" t="s">
        <v>397</v>
      </c>
      <c r="F370" s="124" t="s">
        <v>25</v>
      </c>
    </row>
    <row r="371" spans="1:6">
      <c r="A371" s="126">
        <v>46107</v>
      </c>
      <c r="B371" s="128" t="s">
        <v>246</v>
      </c>
      <c r="C371" s="195">
        <v>12158</v>
      </c>
      <c r="D371" s="134">
        <v>1057.5</v>
      </c>
      <c r="E371" s="130" t="s">
        <v>397</v>
      </c>
      <c r="F371" s="124" t="s">
        <v>25</v>
      </c>
    </row>
    <row r="372" spans="1:6">
      <c r="A372" s="126">
        <v>46107</v>
      </c>
      <c r="B372" s="168" t="s">
        <v>493</v>
      </c>
      <c r="C372" s="196" t="s">
        <v>788</v>
      </c>
      <c r="D372" s="134">
        <v>1896.21</v>
      </c>
      <c r="E372" s="130" t="s">
        <v>397</v>
      </c>
      <c r="F372" s="124" t="s">
        <v>25</v>
      </c>
    </row>
    <row r="373" spans="1:6">
      <c r="A373" s="126">
        <v>46107</v>
      </c>
      <c r="B373" s="170" t="s">
        <v>493</v>
      </c>
      <c r="C373" s="197" t="s">
        <v>789</v>
      </c>
      <c r="D373" s="134">
        <v>1813.26</v>
      </c>
      <c r="E373" s="130" t="s">
        <v>397</v>
      </c>
      <c r="F373" s="124" t="s">
        <v>25</v>
      </c>
    </row>
    <row r="374" spans="1:6">
      <c r="A374" s="126">
        <v>46107</v>
      </c>
      <c r="B374" s="168" t="s">
        <v>493</v>
      </c>
      <c r="C374" s="196" t="s">
        <v>790</v>
      </c>
      <c r="D374" s="134">
        <v>1730.31</v>
      </c>
      <c r="E374" s="130" t="s">
        <v>397</v>
      </c>
      <c r="F374" s="124" t="s">
        <v>25</v>
      </c>
    </row>
    <row r="375" spans="1:6">
      <c r="A375" s="126">
        <v>46107</v>
      </c>
      <c r="B375" s="170" t="s">
        <v>693</v>
      </c>
      <c r="C375" s="197" t="s">
        <v>791</v>
      </c>
      <c r="D375" s="134">
        <v>1733</v>
      </c>
      <c r="E375" s="130" t="s">
        <v>397</v>
      </c>
      <c r="F375" s="124" t="s">
        <v>25</v>
      </c>
    </row>
    <row r="376" spans="1:6">
      <c r="A376" s="126">
        <v>46107</v>
      </c>
      <c r="B376" s="168" t="s">
        <v>493</v>
      </c>
      <c r="C376" s="196" t="s">
        <v>792</v>
      </c>
      <c r="D376" s="134">
        <v>997.77</v>
      </c>
      <c r="E376" s="130" t="s">
        <v>397</v>
      </c>
      <c r="F376" s="124" t="s">
        <v>25</v>
      </c>
    </row>
    <row r="377" spans="1:6">
      <c r="A377" s="126">
        <v>46107</v>
      </c>
      <c r="B377" s="170" t="s">
        <v>418</v>
      </c>
      <c r="C377" s="197" t="s">
        <v>793</v>
      </c>
      <c r="D377" s="134">
        <v>202</v>
      </c>
      <c r="E377" s="130" t="s">
        <v>397</v>
      </c>
      <c r="F377" s="124" t="s">
        <v>25</v>
      </c>
    </row>
    <row r="378" spans="1:6">
      <c r="A378" s="126">
        <v>46107</v>
      </c>
      <c r="B378" s="168" t="s">
        <v>418</v>
      </c>
      <c r="C378" s="196" t="s">
        <v>794</v>
      </c>
      <c r="D378" s="134">
        <v>650</v>
      </c>
      <c r="E378" s="130" t="s">
        <v>397</v>
      </c>
      <c r="F378" s="124" t="s">
        <v>25</v>
      </c>
    </row>
    <row r="379" spans="1:6">
      <c r="A379" s="126">
        <v>46107</v>
      </c>
      <c r="B379" s="170" t="s">
        <v>264</v>
      </c>
      <c r="C379" s="197" t="s">
        <v>795</v>
      </c>
      <c r="D379" s="134">
        <v>306</v>
      </c>
      <c r="E379" s="130" t="s">
        <v>397</v>
      </c>
      <c r="F379" s="124" t="s">
        <v>25</v>
      </c>
    </row>
    <row r="380" spans="1:6">
      <c r="A380" s="126">
        <v>46107</v>
      </c>
      <c r="B380" s="168" t="s">
        <v>627</v>
      </c>
      <c r="C380" s="196" t="s">
        <v>796</v>
      </c>
      <c r="D380" s="134">
        <v>748</v>
      </c>
      <c r="E380" s="130" t="s">
        <v>397</v>
      </c>
      <c r="F380" s="124" t="s">
        <v>25</v>
      </c>
    </row>
    <row r="381" spans="1:6">
      <c r="A381" s="126">
        <v>46107</v>
      </c>
      <c r="B381" s="170" t="s">
        <v>266</v>
      </c>
      <c r="C381" s="197" t="s">
        <v>797</v>
      </c>
      <c r="D381" s="134">
        <v>1188</v>
      </c>
      <c r="E381" s="130" t="s">
        <v>397</v>
      </c>
      <c r="F381" s="124" t="s">
        <v>25</v>
      </c>
    </row>
    <row r="382" spans="1:6">
      <c r="A382" s="126">
        <v>46108</v>
      </c>
      <c r="B382" s="168" t="s">
        <v>798</v>
      </c>
      <c r="C382" s="195">
        <v>12177</v>
      </c>
      <c r="D382" s="134">
        <v>1253.3399999999999</v>
      </c>
      <c r="E382" s="130" t="s">
        <v>397</v>
      </c>
      <c r="F382" s="124" t="s">
        <v>25</v>
      </c>
    </row>
    <row r="383" spans="1:6">
      <c r="A383" s="126">
        <v>46108</v>
      </c>
      <c r="B383" s="170" t="s">
        <v>422</v>
      </c>
      <c r="C383" s="195">
        <v>12269</v>
      </c>
      <c r="D383" s="134">
        <v>70</v>
      </c>
      <c r="E383" s="130" t="s">
        <v>397</v>
      </c>
      <c r="F383" s="124" t="s">
        <v>25</v>
      </c>
    </row>
    <row r="384" spans="1:6">
      <c r="A384" s="126">
        <v>46108</v>
      </c>
      <c r="B384" s="168" t="s">
        <v>799</v>
      </c>
      <c r="C384" s="195">
        <v>12393</v>
      </c>
      <c r="D384" s="134">
        <v>49.86</v>
      </c>
      <c r="E384" s="130" t="s">
        <v>397</v>
      </c>
      <c r="F384" s="124" t="s">
        <v>25</v>
      </c>
    </row>
    <row r="385" spans="1:6">
      <c r="A385" s="126">
        <v>46108</v>
      </c>
      <c r="B385" s="128" t="s">
        <v>530</v>
      </c>
      <c r="C385" s="195">
        <v>12389</v>
      </c>
      <c r="D385" s="134">
        <v>121.5</v>
      </c>
      <c r="E385" s="130" t="s">
        <v>397</v>
      </c>
      <c r="F385" s="124" t="s">
        <v>25</v>
      </c>
    </row>
    <row r="386" spans="1:6">
      <c r="A386" s="126">
        <v>46108</v>
      </c>
      <c r="B386" s="184" t="s">
        <v>407</v>
      </c>
      <c r="C386" s="203" t="s">
        <v>800</v>
      </c>
      <c r="D386" s="134">
        <v>2217.1999999999998</v>
      </c>
      <c r="E386" s="130" t="s">
        <v>397</v>
      </c>
      <c r="F386" s="124" t="s">
        <v>25</v>
      </c>
    </row>
    <row r="387" spans="1:6">
      <c r="A387" s="126">
        <v>46108</v>
      </c>
      <c r="B387" s="204" t="s">
        <v>418</v>
      </c>
      <c r="C387" s="205" t="s">
        <v>801</v>
      </c>
      <c r="D387" s="134">
        <v>1095.1099999999999</v>
      </c>
      <c r="E387" s="130" t="s">
        <v>397</v>
      </c>
      <c r="F387" s="124" t="s">
        <v>25</v>
      </c>
    </row>
    <row r="388" spans="1:6">
      <c r="A388" s="126">
        <v>46108</v>
      </c>
      <c r="B388" s="184" t="s">
        <v>398</v>
      </c>
      <c r="C388" s="203" t="s">
        <v>802</v>
      </c>
      <c r="D388" s="134">
        <v>4545.76</v>
      </c>
      <c r="E388" s="130" t="s">
        <v>397</v>
      </c>
      <c r="F388" s="124" t="s">
        <v>25</v>
      </c>
    </row>
    <row r="389" spans="1:6">
      <c r="A389" s="126">
        <v>46108</v>
      </c>
      <c r="B389" s="204" t="s">
        <v>785</v>
      </c>
      <c r="C389" s="205" t="s">
        <v>803</v>
      </c>
      <c r="D389" s="134">
        <v>531.5</v>
      </c>
      <c r="E389" s="130" t="s">
        <v>397</v>
      </c>
      <c r="F389" s="124" t="s">
        <v>25</v>
      </c>
    </row>
    <row r="390" spans="1:6">
      <c r="A390" s="126">
        <v>46108</v>
      </c>
      <c r="B390" s="184" t="s">
        <v>418</v>
      </c>
      <c r="C390" s="203" t="s">
        <v>804</v>
      </c>
      <c r="D390" s="134">
        <v>447.78</v>
      </c>
      <c r="E390" s="130" t="s">
        <v>397</v>
      </c>
      <c r="F390" s="124" t="s">
        <v>25</v>
      </c>
    </row>
    <row r="391" spans="1:6">
      <c r="A391" s="126">
        <v>46108</v>
      </c>
      <c r="B391" s="204" t="s">
        <v>414</v>
      </c>
      <c r="C391" s="205" t="s">
        <v>805</v>
      </c>
      <c r="D391" s="134">
        <v>674</v>
      </c>
      <c r="E391" s="130" t="s">
        <v>397</v>
      </c>
      <c r="F391" s="124" t="s">
        <v>25</v>
      </c>
    </row>
    <row r="392" spans="1:6">
      <c r="A392" s="126">
        <v>46108</v>
      </c>
      <c r="B392" s="184" t="s">
        <v>440</v>
      </c>
      <c r="C392" s="203" t="s">
        <v>806</v>
      </c>
      <c r="D392" s="134">
        <v>1649.84</v>
      </c>
      <c r="E392" s="130" t="s">
        <v>397</v>
      </c>
      <c r="F392" s="124" t="s">
        <v>25</v>
      </c>
    </row>
    <row r="393" spans="1:6">
      <c r="A393" s="126">
        <v>46111</v>
      </c>
      <c r="B393" s="182" t="s">
        <v>412</v>
      </c>
      <c r="C393" s="206" t="s">
        <v>807</v>
      </c>
      <c r="D393" s="134">
        <v>893.25</v>
      </c>
      <c r="E393" s="130" t="s">
        <v>397</v>
      </c>
      <c r="F393" s="124" t="s">
        <v>25</v>
      </c>
    </row>
    <row r="394" spans="1:6">
      <c r="A394" s="126">
        <v>46111</v>
      </c>
      <c r="B394" s="184" t="s">
        <v>475</v>
      </c>
      <c r="C394" s="203" t="s">
        <v>808</v>
      </c>
      <c r="D394" s="134">
        <v>1355.89</v>
      </c>
      <c r="E394" s="130" t="s">
        <v>397</v>
      </c>
      <c r="F394" s="124" t="s">
        <v>25</v>
      </c>
    </row>
    <row r="395" spans="1:6">
      <c r="A395" s="126">
        <v>46111</v>
      </c>
      <c r="B395" s="182" t="s">
        <v>630</v>
      </c>
      <c r="C395" s="206" t="s">
        <v>809</v>
      </c>
      <c r="D395" s="134">
        <v>1235.0999999999999</v>
      </c>
      <c r="E395" s="130" t="s">
        <v>397</v>
      </c>
      <c r="F395" s="124" t="s">
        <v>25</v>
      </c>
    </row>
    <row r="396" spans="1:6">
      <c r="A396" s="126">
        <v>46111</v>
      </c>
      <c r="B396" s="184" t="s">
        <v>810</v>
      </c>
      <c r="C396" s="203" t="s">
        <v>811</v>
      </c>
      <c r="D396" s="134">
        <v>462</v>
      </c>
      <c r="E396" s="130" t="s">
        <v>397</v>
      </c>
      <c r="F396" s="124" t="s">
        <v>25</v>
      </c>
    </row>
    <row r="397" spans="1:6">
      <c r="A397" s="126">
        <v>46111</v>
      </c>
      <c r="B397" s="182" t="s">
        <v>412</v>
      </c>
      <c r="C397" s="206" t="s">
        <v>812</v>
      </c>
      <c r="D397" s="134">
        <v>509.7</v>
      </c>
      <c r="E397" s="130" t="s">
        <v>397</v>
      </c>
      <c r="F397" s="124" t="s">
        <v>25</v>
      </c>
    </row>
    <row r="398" spans="1:6">
      <c r="A398" s="126">
        <v>46111</v>
      </c>
      <c r="B398" s="184" t="s">
        <v>562</v>
      </c>
      <c r="C398" s="203" t="s">
        <v>813</v>
      </c>
      <c r="D398" s="134">
        <v>4279.4399999999996</v>
      </c>
      <c r="E398" s="130" t="s">
        <v>397</v>
      </c>
      <c r="F398" s="124" t="s">
        <v>25</v>
      </c>
    </row>
    <row r="399" spans="1:6">
      <c r="A399" s="126">
        <v>46111</v>
      </c>
      <c r="B399" s="182" t="s">
        <v>564</v>
      </c>
      <c r="C399" s="206" t="s">
        <v>814</v>
      </c>
      <c r="D399" s="134">
        <v>543.6</v>
      </c>
      <c r="E399" s="130" t="s">
        <v>397</v>
      </c>
      <c r="F399" s="124" t="s">
        <v>25</v>
      </c>
    </row>
    <row r="400" spans="1:6">
      <c r="A400" s="126">
        <v>46111</v>
      </c>
      <c r="B400" s="184" t="s">
        <v>722</v>
      </c>
      <c r="C400" s="203" t="s">
        <v>815</v>
      </c>
      <c r="D400" s="134">
        <v>1429.3</v>
      </c>
      <c r="E400" s="130" t="s">
        <v>397</v>
      </c>
      <c r="F400" s="124" t="s">
        <v>25</v>
      </c>
    </row>
    <row r="401" spans="1:7">
      <c r="A401" s="126">
        <v>46111</v>
      </c>
      <c r="B401" s="182" t="s">
        <v>761</v>
      </c>
      <c r="C401" s="206" t="s">
        <v>816</v>
      </c>
      <c r="D401" s="134">
        <v>510</v>
      </c>
      <c r="E401" s="130" t="s">
        <v>397</v>
      </c>
      <c r="F401" s="124" t="s">
        <v>25</v>
      </c>
    </row>
    <row r="402" spans="1:7">
      <c r="A402" s="126">
        <v>46111</v>
      </c>
      <c r="B402" s="184" t="s">
        <v>422</v>
      </c>
      <c r="C402" s="203" t="s">
        <v>817</v>
      </c>
      <c r="D402" s="134">
        <v>150</v>
      </c>
      <c r="E402" s="130" t="s">
        <v>397</v>
      </c>
      <c r="F402" s="124" t="s">
        <v>25</v>
      </c>
    </row>
    <row r="403" spans="1:7">
      <c r="A403" s="126">
        <v>46112</v>
      </c>
      <c r="B403" s="182" t="s">
        <v>513</v>
      </c>
      <c r="C403" s="195">
        <v>12413</v>
      </c>
      <c r="D403" s="134">
        <v>440.4</v>
      </c>
      <c r="E403" s="130" t="s">
        <v>397</v>
      </c>
      <c r="F403" s="124" t="s">
        <v>25</v>
      </c>
    </row>
    <row r="404" spans="1:7">
      <c r="A404" s="126">
        <v>46112</v>
      </c>
      <c r="B404" s="184" t="s">
        <v>818</v>
      </c>
      <c r="C404" s="195" t="s">
        <v>450</v>
      </c>
      <c r="D404" s="134">
        <v>656</v>
      </c>
      <c r="E404" s="130" t="s">
        <v>397</v>
      </c>
      <c r="F404" s="124" t="s">
        <v>25</v>
      </c>
    </row>
    <row r="405" spans="1:7">
      <c r="A405" s="126">
        <v>46112</v>
      </c>
      <c r="B405" s="182" t="s">
        <v>819</v>
      </c>
      <c r="C405" s="195">
        <v>12058</v>
      </c>
      <c r="D405" s="134">
        <v>540</v>
      </c>
      <c r="E405" s="130" t="s">
        <v>397</v>
      </c>
      <c r="F405" s="124" t="s">
        <v>25</v>
      </c>
    </row>
    <row r="406" spans="1:7">
      <c r="A406" s="126">
        <v>46112</v>
      </c>
      <c r="B406" s="184" t="s">
        <v>414</v>
      </c>
      <c r="C406" s="195">
        <v>12220</v>
      </c>
      <c r="D406" s="134">
        <v>358.54</v>
      </c>
      <c r="E406" s="130" t="s">
        <v>397</v>
      </c>
      <c r="F406" s="124" t="s">
        <v>25</v>
      </c>
    </row>
    <row r="407" spans="1:7">
      <c r="A407" s="126">
        <v>46112</v>
      </c>
      <c r="B407" s="128" t="s">
        <v>471</v>
      </c>
      <c r="C407" s="195" t="s">
        <v>820</v>
      </c>
      <c r="D407" s="134">
        <v>429.05</v>
      </c>
      <c r="E407" s="130" t="s">
        <v>397</v>
      </c>
      <c r="F407" s="124" t="s">
        <v>25</v>
      </c>
    </row>
    <row r="408" spans="1:7">
      <c r="A408" s="126">
        <v>46112</v>
      </c>
      <c r="B408" s="128" t="s">
        <v>821</v>
      </c>
      <c r="C408" s="195">
        <v>12207</v>
      </c>
      <c r="D408" s="134">
        <v>174</v>
      </c>
      <c r="E408" s="130" t="s">
        <v>397</v>
      </c>
      <c r="F408" s="124" t="s">
        <v>25</v>
      </c>
    </row>
    <row r="409" spans="1:7">
      <c r="A409" s="126">
        <v>46112</v>
      </c>
      <c r="B409" s="128" t="s">
        <v>822</v>
      </c>
      <c r="C409" s="195">
        <v>12417</v>
      </c>
      <c r="D409" s="134">
        <v>986.1</v>
      </c>
      <c r="E409" s="130" t="s">
        <v>397</v>
      </c>
      <c r="F409" s="124" t="s">
        <v>25</v>
      </c>
    </row>
    <row r="410" spans="1:7">
      <c r="A410" s="186">
        <v>46084</v>
      </c>
      <c r="B410" s="207" t="s">
        <v>823</v>
      </c>
      <c r="C410" s="208">
        <v>12202</v>
      </c>
      <c r="D410" s="209">
        <v>14.6</v>
      </c>
      <c r="E410" s="130" t="s">
        <v>523</v>
      </c>
      <c r="F410" s="124" t="s">
        <v>25</v>
      </c>
    </row>
    <row r="411" spans="1:7">
      <c r="A411" s="126">
        <v>46097</v>
      </c>
      <c r="B411" s="133" t="s">
        <v>9</v>
      </c>
      <c r="C411" s="210" t="s">
        <v>203</v>
      </c>
      <c r="D411" s="211">
        <v>7000</v>
      </c>
      <c r="E411" s="130" t="s">
        <v>523</v>
      </c>
      <c r="F411" s="124" t="s">
        <v>25</v>
      </c>
    </row>
    <row r="412" spans="1:7">
      <c r="A412" s="258">
        <v>46113</v>
      </c>
      <c r="B412" s="242" t="s">
        <v>824</v>
      </c>
      <c r="C412" s="259">
        <v>12431</v>
      </c>
      <c r="D412" s="245">
        <v>3750</v>
      </c>
      <c r="E412" s="260" t="s">
        <v>397</v>
      </c>
      <c r="F412" t="s">
        <v>26</v>
      </c>
      <c r="G412" s="257">
        <f>SUM(D412:D584)</f>
        <v>214380.68000000005</v>
      </c>
    </row>
    <row r="413" spans="1:7">
      <c r="A413" s="258">
        <v>46113</v>
      </c>
      <c r="B413" s="242" t="s">
        <v>825</v>
      </c>
      <c r="C413" s="261">
        <v>12416</v>
      </c>
      <c r="D413" s="245">
        <v>129.6</v>
      </c>
      <c r="E413" s="260" t="s">
        <v>397</v>
      </c>
      <c r="F413" t="s">
        <v>26</v>
      </c>
    </row>
    <row r="414" spans="1:7">
      <c r="A414" s="258">
        <v>46113</v>
      </c>
      <c r="B414" s="242" t="s">
        <v>514</v>
      </c>
      <c r="C414" s="261" t="s">
        <v>826</v>
      </c>
      <c r="D414" s="245">
        <v>245</v>
      </c>
      <c r="E414" s="260" t="s">
        <v>397</v>
      </c>
      <c r="F414" t="s">
        <v>26</v>
      </c>
    </row>
    <row r="415" spans="1:7">
      <c r="A415" s="258">
        <v>46113</v>
      </c>
      <c r="B415" s="242" t="s">
        <v>785</v>
      </c>
      <c r="C415" s="262" t="s">
        <v>827</v>
      </c>
      <c r="D415" s="245">
        <v>555.5</v>
      </c>
      <c r="E415" s="260" t="s">
        <v>397</v>
      </c>
      <c r="F415" t="s">
        <v>26</v>
      </c>
    </row>
    <row r="416" spans="1:7">
      <c r="A416" s="258">
        <v>46113</v>
      </c>
      <c r="B416" s="263" t="s">
        <v>420</v>
      </c>
      <c r="C416" s="264" t="s">
        <v>828</v>
      </c>
      <c r="D416" s="245">
        <v>450</v>
      </c>
      <c r="E416" s="260" t="s">
        <v>397</v>
      </c>
      <c r="F416" t="s">
        <v>26</v>
      </c>
    </row>
    <row r="417" spans="1:6">
      <c r="A417" s="258">
        <v>46113</v>
      </c>
      <c r="B417" s="265" t="s">
        <v>829</v>
      </c>
      <c r="C417" s="262" t="s">
        <v>830</v>
      </c>
      <c r="D417" s="245">
        <v>680</v>
      </c>
      <c r="E417" s="260" t="s">
        <v>397</v>
      </c>
      <c r="F417" t="s">
        <v>26</v>
      </c>
    </row>
    <row r="418" spans="1:6">
      <c r="A418" s="258">
        <v>46113</v>
      </c>
      <c r="B418" s="263" t="s">
        <v>829</v>
      </c>
      <c r="C418" s="264" t="s">
        <v>831</v>
      </c>
      <c r="D418" s="245">
        <v>680</v>
      </c>
      <c r="E418" s="260" t="s">
        <v>397</v>
      </c>
      <c r="F418" t="s">
        <v>26</v>
      </c>
    </row>
    <row r="419" spans="1:6">
      <c r="A419" s="258">
        <v>46113</v>
      </c>
      <c r="B419" s="265" t="s">
        <v>630</v>
      </c>
      <c r="C419" s="262" t="s">
        <v>832</v>
      </c>
      <c r="D419" s="245">
        <v>763.25</v>
      </c>
      <c r="E419" s="260" t="s">
        <v>397</v>
      </c>
      <c r="F419" t="s">
        <v>26</v>
      </c>
    </row>
    <row r="420" spans="1:6">
      <c r="A420" s="258">
        <v>46113</v>
      </c>
      <c r="B420" s="263" t="s">
        <v>409</v>
      </c>
      <c r="C420" s="264" t="s">
        <v>833</v>
      </c>
      <c r="D420" s="245">
        <v>206</v>
      </c>
      <c r="E420" s="260" t="s">
        <v>397</v>
      </c>
      <c r="F420" t="s">
        <v>26</v>
      </c>
    </row>
    <row r="421" spans="1:6">
      <c r="A421" s="258">
        <v>46113</v>
      </c>
      <c r="B421" s="265" t="s">
        <v>428</v>
      </c>
      <c r="C421" s="262" t="s">
        <v>834</v>
      </c>
      <c r="D421" s="245">
        <v>325</v>
      </c>
      <c r="E421" s="260" t="s">
        <v>397</v>
      </c>
      <c r="F421" t="s">
        <v>26</v>
      </c>
    </row>
    <row r="422" spans="1:6">
      <c r="A422" s="258">
        <v>46114</v>
      </c>
      <c r="B422" s="242" t="s">
        <v>661</v>
      </c>
      <c r="C422" s="261">
        <v>12249</v>
      </c>
      <c r="D422" s="245">
        <v>45</v>
      </c>
      <c r="E422" s="260" t="s">
        <v>397</v>
      </c>
      <c r="F422" t="s">
        <v>26</v>
      </c>
    </row>
    <row r="423" spans="1:6">
      <c r="A423" s="258">
        <v>46114</v>
      </c>
      <c r="B423" s="242" t="s">
        <v>496</v>
      </c>
      <c r="C423" s="261">
        <v>12446</v>
      </c>
      <c r="D423" s="245">
        <v>933.98</v>
      </c>
      <c r="E423" s="260" t="s">
        <v>397</v>
      </c>
      <c r="F423" t="s">
        <v>26</v>
      </c>
    </row>
    <row r="424" spans="1:6">
      <c r="A424" s="258">
        <v>46114</v>
      </c>
      <c r="B424" s="242" t="s">
        <v>835</v>
      </c>
      <c r="C424" s="261">
        <v>48</v>
      </c>
      <c r="D424" s="245">
        <v>7000</v>
      </c>
      <c r="E424" s="260" t="s">
        <v>397</v>
      </c>
      <c r="F424" t="s">
        <v>26</v>
      </c>
    </row>
    <row r="425" spans="1:6">
      <c r="A425" s="258">
        <v>46114</v>
      </c>
      <c r="B425" s="198" t="s">
        <v>418</v>
      </c>
      <c r="C425" s="199" t="s">
        <v>836</v>
      </c>
      <c r="D425" s="245">
        <v>650.48</v>
      </c>
      <c r="E425" s="260" t="s">
        <v>397</v>
      </c>
      <c r="F425" t="s">
        <v>26</v>
      </c>
    </row>
    <row r="426" spans="1:6">
      <c r="A426" s="258">
        <v>46114</v>
      </c>
      <c r="B426" s="263" t="s">
        <v>837</v>
      </c>
      <c r="C426" s="264" t="s">
        <v>838</v>
      </c>
      <c r="D426" s="245">
        <v>1253.33</v>
      </c>
      <c r="E426" s="260" t="s">
        <v>397</v>
      </c>
      <c r="F426" t="s">
        <v>26</v>
      </c>
    </row>
    <row r="427" spans="1:6">
      <c r="A427" s="258">
        <v>46114</v>
      </c>
      <c r="B427" s="198" t="s">
        <v>627</v>
      </c>
      <c r="C427" s="199" t="s">
        <v>839</v>
      </c>
      <c r="D427" s="245">
        <v>748.5</v>
      </c>
      <c r="E427" s="260" t="s">
        <v>397</v>
      </c>
      <c r="F427" t="s">
        <v>26</v>
      </c>
    </row>
    <row r="428" spans="1:6">
      <c r="A428" s="258">
        <v>46114</v>
      </c>
      <c r="B428" s="263" t="s">
        <v>270</v>
      </c>
      <c r="C428" s="264" t="s">
        <v>840</v>
      </c>
      <c r="D428" s="245">
        <v>1444</v>
      </c>
      <c r="E428" s="260" t="s">
        <v>397</v>
      </c>
      <c r="F428" t="s">
        <v>26</v>
      </c>
    </row>
    <row r="429" spans="1:6">
      <c r="A429" s="258">
        <v>46114</v>
      </c>
      <c r="B429" s="198" t="s">
        <v>275</v>
      </c>
      <c r="C429" s="199" t="s">
        <v>841</v>
      </c>
      <c r="D429" s="245">
        <v>2353</v>
      </c>
      <c r="E429" s="260" t="s">
        <v>397</v>
      </c>
      <c r="F429" t="s">
        <v>26</v>
      </c>
    </row>
    <row r="430" spans="1:6">
      <c r="A430" s="258">
        <v>46114</v>
      </c>
      <c r="B430" s="263" t="s">
        <v>630</v>
      </c>
      <c r="C430" s="264" t="s">
        <v>842</v>
      </c>
      <c r="D430" s="245">
        <v>438.9</v>
      </c>
      <c r="E430" s="260" t="s">
        <v>397</v>
      </c>
      <c r="F430" t="s">
        <v>26</v>
      </c>
    </row>
    <row r="431" spans="1:6">
      <c r="A431" s="258">
        <v>46114</v>
      </c>
      <c r="B431" s="198" t="s">
        <v>843</v>
      </c>
      <c r="C431" s="199" t="s">
        <v>844</v>
      </c>
      <c r="D431" s="245">
        <v>305</v>
      </c>
      <c r="E431" s="260" t="s">
        <v>397</v>
      </c>
      <c r="F431" t="s">
        <v>26</v>
      </c>
    </row>
    <row r="432" spans="1:6">
      <c r="A432" s="258">
        <v>46114</v>
      </c>
      <c r="B432" s="263" t="s">
        <v>639</v>
      </c>
      <c r="C432" s="264" t="s">
        <v>845</v>
      </c>
      <c r="D432" s="245">
        <v>156</v>
      </c>
      <c r="E432" s="260" t="s">
        <v>397</v>
      </c>
      <c r="F432" t="s">
        <v>26</v>
      </c>
    </row>
    <row r="433" spans="1:6">
      <c r="A433" s="258">
        <v>46114</v>
      </c>
      <c r="B433" s="198" t="s">
        <v>418</v>
      </c>
      <c r="C433" s="199" t="s">
        <v>846</v>
      </c>
      <c r="D433" s="245">
        <v>428.75</v>
      </c>
      <c r="E433" s="260" t="s">
        <v>397</v>
      </c>
      <c r="F433" t="s">
        <v>26</v>
      </c>
    </row>
    <row r="434" spans="1:6">
      <c r="A434" s="258">
        <v>46114</v>
      </c>
      <c r="B434" s="263" t="s">
        <v>398</v>
      </c>
      <c r="C434" s="264" t="s">
        <v>847</v>
      </c>
      <c r="D434" s="245">
        <v>540.5</v>
      </c>
      <c r="E434" s="260" t="s">
        <v>397</v>
      </c>
      <c r="F434" t="s">
        <v>26</v>
      </c>
    </row>
    <row r="435" spans="1:6">
      <c r="A435" s="258">
        <v>46114</v>
      </c>
      <c r="B435" s="198" t="s">
        <v>848</v>
      </c>
      <c r="C435" s="199" t="s">
        <v>849</v>
      </c>
      <c r="D435" s="245">
        <v>923</v>
      </c>
      <c r="E435" s="260" t="s">
        <v>397</v>
      </c>
      <c r="F435" t="s">
        <v>26</v>
      </c>
    </row>
    <row r="436" spans="1:6">
      <c r="A436" s="258">
        <v>46118</v>
      </c>
      <c r="B436" s="265" t="s">
        <v>562</v>
      </c>
      <c r="C436" s="262" t="s">
        <v>850</v>
      </c>
      <c r="D436" s="245">
        <v>5385.97</v>
      </c>
      <c r="E436" s="260" t="s">
        <v>397</v>
      </c>
      <c r="F436" t="s">
        <v>26</v>
      </c>
    </row>
    <row r="437" spans="1:6">
      <c r="A437" s="258">
        <v>46118</v>
      </c>
      <c r="B437" s="263" t="s">
        <v>407</v>
      </c>
      <c r="C437" s="264" t="s">
        <v>851</v>
      </c>
      <c r="D437" s="245">
        <v>2217.1999999999998</v>
      </c>
      <c r="E437" s="260" t="s">
        <v>397</v>
      </c>
      <c r="F437" t="s">
        <v>26</v>
      </c>
    </row>
    <row r="438" spans="1:6">
      <c r="A438" s="258">
        <v>46118</v>
      </c>
      <c r="B438" s="265" t="s">
        <v>418</v>
      </c>
      <c r="C438" s="262" t="s">
        <v>852</v>
      </c>
      <c r="D438" s="245">
        <v>1095.1099999999999</v>
      </c>
      <c r="E438" s="260" t="s">
        <v>397</v>
      </c>
      <c r="F438" t="s">
        <v>26</v>
      </c>
    </row>
    <row r="439" spans="1:6">
      <c r="A439" s="258">
        <v>46118</v>
      </c>
      <c r="B439" s="263" t="s">
        <v>471</v>
      </c>
      <c r="C439" s="264" t="s">
        <v>853</v>
      </c>
      <c r="D439" s="245">
        <v>1034.5</v>
      </c>
      <c r="E439" s="260" t="s">
        <v>397</v>
      </c>
      <c r="F439" t="s">
        <v>26</v>
      </c>
    </row>
    <row r="440" spans="1:6">
      <c r="A440" s="258">
        <v>46118</v>
      </c>
      <c r="B440" s="265" t="s">
        <v>418</v>
      </c>
      <c r="C440" s="262" t="s">
        <v>854</v>
      </c>
      <c r="D440" s="245">
        <v>447.78</v>
      </c>
      <c r="E440" s="260" t="s">
        <v>397</v>
      </c>
      <c r="F440" t="s">
        <v>26</v>
      </c>
    </row>
    <row r="441" spans="1:6">
      <c r="A441" s="258">
        <v>46118</v>
      </c>
      <c r="B441" s="263" t="s">
        <v>440</v>
      </c>
      <c r="C441" s="264" t="s">
        <v>855</v>
      </c>
      <c r="D441" s="245">
        <v>1649.83</v>
      </c>
      <c r="E441" s="260" t="s">
        <v>397</v>
      </c>
      <c r="F441" t="s">
        <v>26</v>
      </c>
    </row>
    <row r="442" spans="1:6">
      <c r="A442" s="258">
        <v>46118</v>
      </c>
      <c r="B442" s="265" t="s">
        <v>829</v>
      </c>
      <c r="C442" s="262" t="s">
        <v>856</v>
      </c>
      <c r="D442" s="245">
        <v>680</v>
      </c>
      <c r="E442" s="260" t="s">
        <v>397</v>
      </c>
      <c r="F442" t="s">
        <v>26</v>
      </c>
    </row>
    <row r="443" spans="1:6">
      <c r="A443" s="258">
        <v>46118</v>
      </c>
      <c r="B443" s="263" t="s">
        <v>562</v>
      </c>
      <c r="C443" s="264" t="s">
        <v>857</v>
      </c>
      <c r="D443" s="245">
        <v>2428.6</v>
      </c>
      <c r="E443" s="260" t="s">
        <v>397</v>
      </c>
      <c r="F443" t="s">
        <v>26</v>
      </c>
    </row>
    <row r="444" spans="1:6">
      <c r="A444" s="258">
        <v>46118</v>
      </c>
      <c r="B444" s="265" t="s">
        <v>424</v>
      </c>
      <c r="C444" s="262" t="s">
        <v>858</v>
      </c>
      <c r="D444" s="245">
        <v>573.41999999999996</v>
      </c>
      <c r="E444" s="260" t="s">
        <v>397</v>
      </c>
      <c r="F444" t="s">
        <v>26</v>
      </c>
    </row>
    <row r="445" spans="1:6">
      <c r="A445" s="258">
        <v>46118</v>
      </c>
      <c r="B445" s="263" t="s">
        <v>859</v>
      </c>
      <c r="C445" s="264" t="s">
        <v>860</v>
      </c>
      <c r="D445" s="245">
        <v>285</v>
      </c>
      <c r="E445" s="260" t="s">
        <v>397</v>
      </c>
      <c r="F445" t="s">
        <v>26</v>
      </c>
    </row>
    <row r="446" spans="1:6">
      <c r="A446" s="258">
        <v>46118</v>
      </c>
      <c r="B446" s="265" t="s">
        <v>412</v>
      </c>
      <c r="C446" s="262" t="s">
        <v>861</v>
      </c>
      <c r="D446" s="245">
        <v>677.5</v>
      </c>
      <c r="E446" s="260" t="s">
        <v>397</v>
      </c>
      <c r="F446" t="s">
        <v>26</v>
      </c>
    </row>
    <row r="447" spans="1:6">
      <c r="A447" s="258">
        <v>46118</v>
      </c>
      <c r="B447" s="263" t="s">
        <v>483</v>
      </c>
      <c r="C447" s="264" t="s">
        <v>862</v>
      </c>
      <c r="D447" s="245">
        <v>1547.66</v>
      </c>
      <c r="E447" s="260" t="s">
        <v>397</v>
      </c>
      <c r="F447" t="s">
        <v>26</v>
      </c>
    </row>
    <row r="448" spans="1:6">
      <c r="A448" s="258">
        <v>46118</v>
      </c>
      <c r="B448" s="265" t="s">
        <v>491</v>
      </c>
      <c r="C448" s="262" t="s">
        <v>863</v>
      </c>
      <c r="D448" s="245">
        <v>267.5</v>
      </c>
      <c r="E448" s="260" t="s">
        <v>397</v>
      </c>
      <c r="F448" t="s">
        <v>26</v>
      </c>
    </row>
    <row r="449" spans="1:6">
      <c r="A449" s="258">
        <v>46118</v>
      </c>
      <c r="B449" s="263" t="s">
        <v>670</v>
      </c>
      <c r="C449" s="264" t="s">
        <v>864</v>
      </c>
      <c r="D449" s="245">
        <v>584</v>
      </c>
      <c r="E449" s="260" t="s">
        <v>397</v>
      </c>
      <c r="F449" t="s">
        <v>26</v>
      </c>
    </row>
    <row r="450" spans="1:6">
      <c r="A450" s="258">
        <v>46118</v>
      </c>
      <c r="B450" s="198" t="s">
        <v>865</v>
      </c>
      <c r="C450" s="199">
        <v>12449</v>
      </c>
      <c r="D450" s="245">
        <v>2886</v>
      </c>
      <c r="E450" s="260" t="s">
        <v>397</v>
      </c>
      <c r="F450" t="s">
        <v>26</v>
      </c>
    </row>
    <row r="451" spans="1:6">
      <c r="A451" s="258">
        <v>46119</v>
      </c>
      <c r="B451" s="265" t="s">
        <v>414</v>
      </c>
      <c r="C451" s="262" t="s">
        <v>866</v>
      </c>
      <c r="D451" s="245">
        <v>358.53</v>
      </c>
      <c r="E451" s="260" t="s">
        <v>397</v>
      </c>
      <c r="F451" t="s">
        <v>26</v>
      </c>
    </row>
    <row r="452" spans="1:6">
      <c r="A452" s="258">
        <v>46119</v>
      </c>
      <c r="B452" s="263" t="s">
        <v>867</v>
      </c>
      <c r="C452" s="264" t="s">
        <v>868</v>
      </c>
      <c r="D452" s="245">
        <v>797</v>
      </c>
      <c r="E452" s="260" t="s">
        <v>397</v>
      </c>
      <c r="F452" t="s">
        <v>26</v>
      </c>
    </row>
    <row r="453" spans="1:6">
      <c r="A453" s="258">
        <v>46119</v>
      </c>
      <c r="B453" s="265" t="s">
        <v>576</v>
      </c>
      <c r="C453" s="262" t="s">
        <v>869</v>
      </c>
      <c r="D453" s="245">
        <v>1879.29</v>
      </c>
      <c r="E453" s="260" t="s">
        <v>397</v>
      </c>
      <c r="F453" t="s">
        <v>26</v>
      </c>
    </row>
    <row r="454" spans="1:6">
      <c r="A454" s="258">
        <v>46119</v>
      </c>
      <c r="B454" s="263" t="s">
        <v>870</v>
      </c>
      <c r="C454" s="264" t="s">
        <v>871</v>
      </c>
      <c r="D454" s="245">
        <v>750</v>
      </c>
      <c r="E454" s="260" t="s">
        <v>397</v>
      </c>
      <c r="F454" t="s">
        <v>26</v>
      </c>
    </row>
    <row r="455" spans="1:6">
      <c r="A455" s="258">
        <v>46120</v>
      </c>
      <c r="B455" s="263" t="s">
        <v>299</v>
      </c>
      <c r="C455" s="264">
        <v>12303</v>
      </c>
      <c r="D455" s="245">
        <v>115.4</v>
      </c>
      <c r="E455" s="260" t="s">
        <v>397</v>
      </c>
      <c r="F455" t="s">
        <v>26</v>
      </c>
    </row>
    <row r="456" spans="1:6">
      <c r="A456" s="258">
        <v>46120</v>
      </c>
      <c r="B456" s="263" t="s">
        <v>299</v>
      </c>
      <c r="C456" s="264">
        <v>12304</v>
      </c>
      <c r="D456" s="245">
        <v>48.38</v>
      </c>
      <c r="E456" s="260" t="s">
        <v>397</v>
      </c>
      <c r="F456" t="s">
        <v>26</v>
      </c>
    </row>
    <row r="457" spans="1:6">
      <c r="A457" s="258">
        <v>46120</v>
      </c>
      <c r="B457" s="198" t="s">
        <v>630</v>
      </c>
      <c r="C457" s="199" t="s">
        <v>872</v>
      </c>
      <c r="D457" s="245">
        <v>763.25</v>
      </c>
      <c r="E457" s="260" t="s">
        <v>397</v>
      </c>
      <c r="F457" t="s">
        <v>26</v>
      </c>
    </row>
    <row r="458" spans="1:6">
      <c r="A458" s="258">
        <v>46120</v>
      </c>
      <c r="B458" s="263" t="s">
        <v>873</v>
      </c>
      <c r="C458" s="264" t="s">
        <v>874</v>
      </c>
      <c r="D458" s="245">
        <v>519.20000000000005</v>
      </c>
      <c r="E458" s="260" t="s">
        <v>397</v>
      </c>
      <c r="F458" t="s">
        <v>26</v>
      </c>
    </row>
    <row r="459" spans="1:6">
      <c r="A459" s="258">
        <v>46120</v>
      </c>
      <c r="B459" s="198" t="s">
        <v>562</v>
      </c>
      <c r="C459" s="199" t="s">
        <v>875</v>
      </c>
      <c r="D459" s="245">
        <v>425</v>
      </c>
      <c r="E459" s="260" t="s">
        <v>397</v>
      </c>
      <c r="F459" t="s">
        <v>26</v>
      </c>
    </row>
    <row r="460" spans="1:6">
      <c r="A460" s="258">
        <v>46120</v>
      </c>
      <c r="B460" s="263" t="s">
        <v>460</v>
      </c>
      <c r="C460" s="264" t="s">
        <v>876</v>
      </c>
      <c r="D460" s="245">
        <v>677.5</v>
      </c>
      <c r="E460" s="260" t="s">
        <v>397</v>
      </c>
      <c r="F460" t="s">
        <v>26</v>
      </c>
    </row>
    <row r="461" spans="1:6">
      <c r="A461" s="258">
        <v>46120</v>
      </c>
      <c r="B461" s="198" t="s">
        <v>562</v>
      </c>
      <c r="C461" s="199" t="s">
        <v>877</v>
      </c>
      <c r="D461" s="245">
        <v>260</v>
      </c>
      <c r="E461" s="260" t="s">
        <v>397</v>
      </c>
      <c r="F461" t="s">
        <v>26</v>
      </c>
    </row>
    <row r="462" spans="1:6">
      <c r="A462" s="258">
        <v>46120</v>
      </c>
      <c r="B462" s="263" t="s">
        <v>878</v>
      </c>
      <c r="C462" s="264">
        <v>12284</v>
      </c>
      <c r="D462" s="245">
        <v>680</v>
      </c>
      <c r="E462" s="260" t="s">
        <v>397</v>
      </c>
      <c r="F462" t="s">
        <v>26</v>
      </c>
    </row>
    <row r="463" spans="1:6">
      <c r="A463" s="258">
        <v>46121</v>
      </c>
      <c r="B463" s="263" t="s">
        <v>620</v>
      </c>
      <c r="C463" s="264" t="s">
        <v>879</v>
      </c>
      <c r="D463" s="245">
        <v>399.2</v>
      </c>
      <c r="E463" s="260" t="s">
        <v>397</v>
      </c>
      <c r="F463" t="s">
        <v>26</v>
      </c>
    </row>
    <row r="464" spans="1:6">
      <c r="A464" s="258">
        <v>46121</v>
      </c>
      <c r="B464" s="198" t="s">
        <v>422</v>
      </c>
      <c r="C464" s="199" t="s">
        <v>880</v>
      </c>
      <c r="D464" s="245">
        <v>2430</v>
      </c>
      <c r="E464" s="260" t="s">
        <v>397</v>
      </c>
      <c r="F464" t="s">
        <v>26</v>
      </c>
    </row>
    <row r="465" spans="1:6">
      <c r="A465" s="258">
        <v>46121</v>
      </c>
      <c r="B465" s="263" t="s">
        <v>837</v>
      </c>
      <c r="C465" s="264" t="s">
        <v>881</v>
      </c>
      <c r="D465" s="245">
        <v>1253.33</v>
      </c>
      <c r="E465" s="260" t="s">
        <v>397</v>
      </c>
      <c r="F465" t="s">
        <v>26</v>
      </c>
    </row>
    <row r="466" spans="1:6">
      <c r="A466" s="258">
        <v>46121</v>
      </c>
      <c r="B466" s="198" t="s">
        <v>424</v>
      </c>
      <c r="C466" s="199" t="s">
        <v>882</v>
      </c>
      <c r="D466" s="245">
        <v>555</v>
      </c>
      <c r="E466" s="260" t="s">
        <v>397</v>
      </c>
      <c r="F466" t="s">
        <v>26</v>
      </c>
    </row>
    <row r="467" spans="1:6">
      <c r="A467" s="258">
        <v>46121</v>
      </c>
      <c r="B467" s="263" t="s">
        <v>418</v>
      </c>
      <c r="C467" s="264" t="s">
        <v>883</v>
      </c>
      <c r="D467" s="245">
        <v>428.75</v>
      </c>
      <c r="E467" s="260" t="s">
        <v>397</v>
      </c>
      <c r="F467" t="s">
        <v>26</v>
      </c>
    </row>
    <row r="468" spans="1:6">
      <c r="A468" s="258">
        <v>46121</v>
      </c>
      <c r="B468" s="198" t="s">
        <v>398</v>
      </c>
      <c r="C468" s="199" t="s">
        <v>884</v>
      </c>
      <c r="D468" s="245">
        <v>540.5</v>
      </c>
      <c r="E468" s="260" t="s">
        <v>397</v>
      </c>
      <c r="F468" t="s">
        <v>26</v>
      </c>
    </row>
    <row r="469" spans="1:6">
      <c r="A469" s="258">
        <v>46121</v>
      </c>
      <c r="B469" s="263" t="s">
        <v>491</v>
      </c>
      <c r="C469" s="264" t="s">
        <v>885</v>
      </c>
      <c r="D469" s="245">
        <v>628.24</v>
      </c>
      <c r="E469" s="260" t="s">
        <v>397</v>
      </c>
      <c r="F469" t="s">
        <v>26</v>
      </c>
    </row>
    <row r="470" spans="1:6">
      <c r="A470" s="258">
        <v>46121</v>
      </c>
      <c r="B470" s="198" t="s">
        <v>430</v>
      </c>
      <c r="C470" s="199" t="s">
        <v>886</v>
      </c>
      <c r="D470" s="245">
        <v>397.3</v>
      </c>
      <c r="E470" s="260" t="s">
        <v>397</v>
      </c>
      <c r="F470" t="s">
        <v>26</v>
      </c>
    </row>
    <row r="471" spans="1:6">
      <c r="A471" s="258">
        <v>46122</v>
      </c>
      <c r="B471" s="263" t="s">
        <v>887</v>
      </c>
      <c r="C471" s="259" t="s">
        <v>888</v>
      </c>
      <c r="D471" s="245">
        <v>200.42</v>
      </c>
      <c r="E471" s="260" t="s">
        <v>397</v>
      </c>
      <c r="F471" t="s">
        <v>26</v>
      </c>
    </row>
    <row r="472" spans="1:6">
      <c r="A472" s="258">
        <v>46122</v>
      </c>
      <c r="B472" s="265" t="s">
        <v>514</v>
      </c>
      <c r="C472" s="262" t="s">
        <v>889</v>
      </c>
      <c r="D472" s="245">
        <v>97</v>
      </c>
      <c r="E472" s="260" t="s">
        <v>397</v>
      </c>
      <c r="F472" t="s">
        <v>26</v>
      </c>
    </row>
    <row r="473" spans="1:6">
      <c r="A473" s="258">
        <v>46122</v>
      </c>
      <c r="B473" s="242" t="s">
        <v>890</v>
      </c>
      <c r="C473" s="259">
        <v>12491</v>
      </c>
      <c r="D473" s="245">
        <v>1090</v>
      </c>
      <c r="E473" s="260" t="s">
        <v>397</v>
      </c>
      <c r="F473" t="s">
        <v>26</v>
      </c>
    </row>
    <row r="474" spans="1:6">
      <c r="A474" s="258">
        <v>46122</v>
      </c>
      <c r="B474" s="265" t="s">
        <v>870</v>
      </c>
      <c r="C474" s="262">
        <v>12290</v>
      </c>
      <c r="D474" s="245">
        <v>240</v>
      </c>
      <c r="E474" s="260" t="s">
        <v>397</v>
      </c>
      <c r="F474" t="s">
        <v>26</v>
      </c>
    </row>
    <row r="475" spans="1:6">
      <c r="A475" s="258">
        <v>46122</v>
      </c>
      <c r="B475" s="265" t="s">
        <v>418</v>
      </c>
      <c r="C475" s="262" t="s">
        <v>891</v>
      </c>
      <c r="D475" s="245">
        <v>447.78</v>
      </c>
      <c r="E475" s="260" t="s">
        <v>397</v>
      </c>
      <c r="F475" t="s">
        <v>26</v>
      </c>
    </row>
    <row r="476" spans="1:6">
      <c r="A476" s="258">
        <v>46122</v>
      </c>
      <c r="B476" s="263" t="s">
        <v>440</v>
      </c>
      <c r="C476" s="264" t="s">
        <v>892</v>
      </c>
      <c r="D476" s="245">
        <v>1649.83</v>
      </c>
      <c r="E476" s="260" t="s">
        <v>397</v>
      </c>
      <c r="F476" t="s">
        <v>26</v>
      </c>
    </row>
    <row r="477" spans="1:6">
      <c r="A477" s="258">
        <v>46122</v>
      </c>
      <c r="B477" s="265" t="s">
        <v>743</v>
      </c>
      <c r="C477" s="262" t="s">
        <v>893</v>
      </c>
      <c r="D477" s="245">
        <v>1488</v>
      </c>
      <c r="E477" s="260" t="s">
        <v>397</v>
      </c>
      <c r="F477" t="s">
        <v>26</v>
      </c>
    </row>
    <row r="478" spans="1:6">
      <c r="A478" s="258">
        <v>46122</v>
      </c>
      <c r="B478" s="263" t="s">
        <v>785</v>
      </c>
      <c r="C478" s="264" t="s">
        <v>894</v>
      </c>
      <c r="D478" s="245">
        <v>385.04</v>
      </c>
      <c r="E478" s="260" t="s">
        <v>397</v>
      </c>
      <c r="F478" t="s">
        <v>26</v>
      </c>
    </row>
    <row r="479" spans="1:6">
      <c r="A479" s="258">
        <v>46122</v>
      </c>
      <c r="B479" s="265" t="s">
        <v>275</v>
      </c>
      <c r="C479" s="262" t="s">
        <v>895</v>
      </c>
      <c r="D479" s="245">
        <v>952</v>
      </c>
      <c r="E479" s="260" t="s">
        <v>397</v>
      </c>
      <c r="F479" t="s">
        <v>26</v>
      </c>
    </row>
    <row r="480" spans="1:6">
      <c r="A480" s="258">
        <v>46122</v>
      </c>
      <c r="B480" s="263" t="s">
        <v>627</v>
      </c>
      <c r="C480" s="264" t="s">
        <v>896</v>
      </c>
      <c r="D480" s="245">
        <v>835</v>
      </c>
      <c r="E480" s="260" t="s">
        <v>397</v>
      </c>
      <c r="F480" t="s">
        <v>26</v>
      </c>
    </row>
    <row r="481" spans="1:6">
      <c r="A481" s="258">
        <v>46122</v>
      </c>
      <c r="B481" s="265" t="s">
        <v>407</v>
      </c>
      <c r="C481" s="262" t="s">
        <v>897</v>
      </c>
      <c r="D481" s="245">
        <v>674.25</v>
      </c>
      <c r="E481" s="260" t="s">
        <v>397</v>
      </c>
      <c r="F481" t="s">
        <v>26</v>
      </c>
    </row>
    <row r="482" spans="1:6">
      <c r="A482" s="258">
        <v>46122</v>
      </c>
      <c r="B482" s="265" t="s">
        <v>898</v>
      </c>
      <c r="C482" s="262"/>
      <c r="D482" s="245">
        <v>67.5</v>
      </c>
      <c r="E482" s="260" t="s">
        <v>397</v>
      </c>
      <c r="F482" t="s">
        <v>26</v>
      </c>
    </row>
    <row r="483" spans="1:6">
      <c r="A483" s="258">
        <v>46125</v>
      </c>
      <c r="B483" s="265" t="s">
        <v>899</v>
      </c>
      <c r="C483" s="262">
        <v>12320</v>
      </c>
      <c r="D483" s="245">
        <v>516.85</v>
      </c>
      <c r="E483" s="260" t="s">
        <v>397</v>
      </c>
      <c r="F483" t="s">
        <v>26</v>
      </c>
    </row>
    <row r="484" spans="1:6">
      <c r="A484" s="258">
        <v>46125</v>
      </c>
      <c r="B484" s="265" t="s">
        <v>630</v>
      </c>
      <c r="C484" s="262">
        <v>12100</v>
      </c>
      <c r="D484" s="245">
        <v>1235.0999999999999</v>
      </c>
      <c r="E484" s="260" t="s">
        <v>397</v>
      </c>
      <c r="F484" t="s">
        <v>26</v>
      </c>
    </row>
    <row r="485" spans="1:6">
      <c r="A485" s="258">
        <v>46125</v>
      </c>
      <c r="B485" s="198" t="s">
        <v>412</v>
      </c>
      <c r="C485" s="199" t="s">
        <v>900</v>
      </c>
      <c r="D485" s="245">
        <v>893.25</v>
      </c>
      <c r="E485" s="260" t="s">
        <v>397</v>
      </c>
      <c r="F485" t="s">
        <v>26</v>
      </c>
    </row>
    <row r="486" spans="1:6">
      <c r="A486" s="258">
        <v>46125</v>
      </c>
      <c r="B486" s="263" t="s">
        <v>901</v>
      </c>
      <c r="C486" s="264" t="s">
        <v>902</v>
      </c>
      <c r="D486" s="245">
        <v>545.66999999999996</v>
      </c>
      <c r="E486" s="260" t="s">
        <v>397</v>
      </c>
      <c r="F486" t="s">
        <v>26</v>
      </c>
    </row>
    <row r="487" spans="1:6">
      <c r="A487" s="258">
        <v>46125</v>
      </c>
      <c r="B487" s="263" t="s">
        <v>475</v>
      </c>
      <c r="C487" s="264" t="s">
        <v>903</v>
      </c>
      <c r="D487" s="245">
        <v>1355.89</v>
      </c>
      <c r="E487" s="260" t="s">
        <v>397</v>
      </c>
      <c r="F487" t="s">
        <v>26</v>
      </c>
    </row>
    <row r="488" spans="1:6">
      <c r="A488" s="258">
        <v>46125</v>
      </c>
      <c r="B488" s="263" t="s">
        <v>810</v>
      </c>
      <c r="C488" s="264" t="s">
        <v>904</v>
      </c>
      <c r="D488" s="245">
        <v>475.5</v>
      </c>
      <c r="E488" s="260" t="s">
        <v>397</v>
      </c>
      <c r="F488" t="s">
        <v>26</v>
      </c>
    </row>
    <row r="489" spans="1:6">
      <c r="A489" s="258">
        <v>46125</v>
      </c>
      <c r="B489" s="198" t="s">
        <v>564</v>
      </c>
      <c r="C489" s="199" t="s">
        <v>905</v>
      </c>
      <c r="D489" s="245">
        <v>471.12</v>
      </c>
      <c r="E489" s="260" t="s">
        <v>397</v>
      </c>
      <c r="F489" t="s">
        <v>26</v>
      </c>
    </row>
    <row r="490" spans="1:6">
      <c r="A490" s="258">
        <v>46125</v>
      </c>
      <c r="B490" s="198" t="s">
        <v>564</v>
      </c>
      <c r="C490" s="199" t="s">
        <v>906</v>
      </c>
      <c r="D490" s="245">
        <v>543.63</v>
      </c>
      <c r="E490" s="260" t="s">
        <v>397</v>
      </c>
      <c r="F490" t="s">
        <v>26</v>
      </c>
    </row>
    <row r="491" spans="1:6">
      <c r="A491" s="258">
        <v>46125</v>
      </c>
      <c r="B491" s="263" t="s">
        <v>483</v>
      </c>
      <c r="C491" s="264" t="s">
        <v>907</v>
      </c>
      <c r="D491" s="245">
        <v>1547.67</v>
      </c>
      <c r="E491" s="260" t="s">
        <v>397</v>
      </c>
      <c r="F491" t="s">
        <v>26</v>
      </c>
    </row>
    <row r="492" spans="1:6">
      <c r="A492" s="258">
        <v>46125</v>
      </c>
      <c r="B492" s="263" t="s">
        <v>908</v>
      </c>
      <c r="C492" s="264" t="s">
        <v>909</v>
      </c>
      <c r="D492" s="245">
        <v>441.66</v>
      </c>
      <c r="E492" s="260" t="s">
        <v>397</v>
      </c>
      <c r="F492" t="s">
        <v>26</v>
      </c>
    </row>
    <row r="493" spans="1:6">
      <c r="A493" s="258">
        <v>46125</v>
      </c>
      <c r="B493" s="263" t="s">
        <v>548</v>
      </c>
      <c r="C493" s="264" t="s">
        <v>910</v>
      </c>
      <c r="D493" s="245">
        <v>738.15</v>
      </c>
      <c r="E493" s="260" t="s">
        <v>397</v>
      </c>
      <c r="F493" t="s">
        <v>26</v>
      </c>
    </row>
    <row r="494" spans="1:6">
      <c r="A494" s="258">
        <v>46126</v>
      </c>
      <c r="B494" s="265" t="s">
        <v>870</v>
      </c>
      <c r="C494" s="262">
        <v>12345</v>
      </c>
      <c r="D494" s="245">
        <v>260</v>
      </c>
      <c r="E494" s="260" t="s">
        <v>397</v>
      </c>
      <c r="F494" t="s">
        <v>26</v>
      </c>
    </row>
    <row r="495" spans="1:6">
      <c r="A495" s="258">
        <v>46126</v>
      </c>
      <c r="B495" s="263" t="s">
        <v>745</v>
      </c>
      <c r="C495" s="264">
        <v>12469</v>
      </c>
      <c r="D495" s="245">
        <v>210</v>
      </c>
      <c r="E495" s="260" t="s">
        <v>397</v>
      </c>
      <c r="F495" t="s">
        <v>26</v>
      </c>
    </row>
    <row r="496" spans="1:6">
      <c r="A496" s="258">
        <v>46126</v>
      </c>
      <c r="B496" s="265" t="s">
        <v>514</v>
      </c>
      <c r="C496" s="262" t="s">
        <v>911</v>
      </c>
      <c r="D496" s="245">
        <v>165</v>
      </c>
      <c r="E496" s="260" t="s">
        <v>397</v>
      </c>
      <c r="F496" t="s">
        <v>26</v>
      </c>
    </row>
    <row r="497" spans="1:6">
      <c r="A497" s="258">
        <v>46126</v>
      </c>
      <c r="B497" s="198" t="s">
        <v>414</v>
      </c>
      <c r="C497" s="199" t="s">
        <v>912</v>
      </c>
      <c r="D497" s="245">
        <v>358.53</v>
      </c>
      <c r="E497" s="260" t="s">
        <v>397</v>
      </c>
      <c r="F497" t="s">
        <v>26</v>
      </c>
    </row>
    <row r="498" spans="1:6">
      <c r="A498" s="258">
        <v>46126</v>
      </c>
      <c r="B498" s="198" t="s">
        <v>867</v>
      </c>
      <c r="C498" s="199" t="s">
        <v>913</v>
      </c>
      <c r="D498" s="245">
        <v>797</v>
      </c>
      <c r="E498" s="260" t="s">
        <v>397</v>
      </c>
      <c r="F498" t="s">
        <v>26</v>
      </c>
    </row>
    <row r="499" spans="1:6">
      <c r="A499" s="258">
        <v>46126</v>
      </c>
      <c r="B499" s="198" t="s">
        <v>914</v>
      </c>
      <c r="C499" s="199" t="s">
        <v>915</v>
      </c>
      <c r="D499" s="245">
        <v>343</v>
      </c>
      <c r="E499" s="260" t="s">
        <v>397</v>
      </c>
      <c r="F499" t="s">
        <v>26</v>
      </c>
    </row>
    <row r="500" spans="1:6">
      <c r="A500" s="258">
        <v>46127</v>
      </c>
      <c r="B500" s="265" t="s">
        <v>418</v>
      </c>
      <c r="C500" s="262">
        <v>11967</v>
      </c>
      <c r="D500" s="245">
        <v>1444.07</v>
      </c>
      <c r="E500" s="260" t="s">
        <v>397</v>
      </c>
      <c r="F500" t="s">
        <v>26</v>
      </c>
    </row>
    <row r="501" spans="1:6">
      <c r="A501" s="258">
        <v>46127</v>
      </c>
      <c r="B501" s="263" t="s">
        <v>630</v>
      </c>
      <c r="C501" s="264">
        <v>12227</v>
      </c>
      <c r="D501" s="245">
        <v>763.25</v>
      </c>
      <c r="E501" s="260" t="s">
        <v>397</v>
      </c>
      <c r="F501" t="s">
        <v>26</v>
      </c>
    </row>
    <row r="502" spans="1:6">
      <c r="A502" s="258">
        <v>46127</v>
      </c>
      <c r="B502" s="198" t="s">
        <v>522</v>
      </c>
      <c r="C502" s="259">
        <v>12319</v>
      </c>
      <c r="D502" s="245">
        <v>7700</v>
      </c>
      <c r="E502" s="260" t="s">
        <v>397</v>
      </c>
      <c r="F502" t="s">
        <v>26</v>
      </c>
    </row>
    <row r="503" spans="1:6">
      <c r="A503" s="258">
        <v>46127</v>
      </c>
      <c r="B503" s="265" t="s">
        <v>916</v>
      </c>
      <c r="C503" s="262">
        <v>12319</v>
      </c>
      <c r="D503" s="245">
        <v>582.49</v>
      </c>
      <c r="E503" s="260" t="s">
        <v>397</v>
      </c>
      <c r="F503" t="s">
        <v>26</v>
      </c>
    </row>
    <row r="504" spans="1:6">
      <c r="A504" s="258">
        <v>46127</v>
      </c>
      <c r="B504" s="263" t="s">
        <v>665</v>
      </c>
      <c r="C504" s="264">
        <v>12334</v>
      </c>
      <c r="D504" s="245">
        <v>1774.6</v>
      </c>
      <c r="E504" s="260" t="s">
        <v>397</v>
      </c>
      <c r="F504" t="s">
        <v>26</v>
      </c>
    </row>
    <row r="505" spans="1:6">
      <c r="A505" s="258">
        <v>46128</v>
      </c>
      <c r="B505" s="265" t="s">
        <v>514</v>
      </c>
      <c r="C505" s="262" t="s">
        <v>917</v>
      </c>
      <c r="D505" s="245">
        <v>180</v>
      </c>
      <c r="E505" s="260" t="s">
        <v>397</v>
      </c>
      <c r="F505" t="s">
        <v>26</v>
      </c>
    </row>
    <row r="506" spans="1:6">
      <c r="A506" s="258">
        <v>46128</v>
      </c>
      <c r="B506" s="263" t="s">
        <v>918</v>
      </c>
      <c r="C506" s="264">
        <v>12508</v>
      </c>
      <c r="D506" s="245">
        <v>144</v>
      </c>
      <c r="E506" s="260" t="s">
        <v>397</v>
      </c>
      <c r="F506" t="s">
        <v>26</v>
      </c>
    </row>
    <row r="507" spans="1:6">
      <c r="A507" s="258">
        <v>46128</v>
      </c>
      <c r="B507" s="265" t="s">
        <v>919</v>
      </c>
      <c r="C507" s="262">
        <v>11997</v>
      </c>
      <c r="D507" s="245">
        <v>595.1</v>
      </c>
      <c r="E507" s="260" t="s">
        <v>397</v>
      </c>
      <c r="F507" t="s">
        <v>26</v>
      </c>
    </row>
    <row r="508" spans="1:6">
      <c r="A508" s="258">
        <v>46128</v>
      </c>
      <c r="B508" s="265" t="s">
        <v>919</v>
      </c>
      <c r="C508" s="264">
        <v>11997</v>
      </c>
      <c r="D508" s="245">
        <v>553.4</v>
      </c>
      <c r="E508" s="260" t="s">
        <v>397</v>
      </c>
      <c r="F508" t="s">
        <v>26</v>
      </c>
    </row>
    <row r="509" spans="1:6">
      <c r="A509" s="258">
        <v>46128</v>
      </c>
      <c r="B509" s="198" t="s">
        <v>418</v>
      </c>
      <c r="C509" s="199">
        <v>12248</v>
      </c>
      <c r="D509" s="245">
        <v>428.75</v>
      </c>
      <c r="E509" s="260" t="s">
        <v>397</v>
      </c>
      <c r="F509" t="s">
        <v>26</v>
      </c>
    </row>
    <row r="510" spans="1:6">
      <c r="A510" s="258">
        <v>46128</v>
      </c>
      <c r="B510" s="263" t="s">
        <v>674</v>
      </c>
      <c r="C510" s="264">
        <v>12350</v>
      </c>
      <c r="D510" s="245">
        <v>438.75</v>
      </c>
      <c r="E510" s="260" t="s">
        <v>397</v>
      </c>
      <c r="F510" t="s">
        <v>26</v>
      </c>
    </row>
    <row r="511" spans="1:6">
      <c r="A511" s="258">
        <v>46129</v>
      </c>
      <c r="B511" s="198" t="s">
        <v>920</v>
      </c>
      <c r="C511" s="199" t="s">
        <v>203</v>
      </c>
      <c r="D511" s="245">
        <v>3200</v>
      </c>
      <c r="E511" s="260" t="s">
        <v>397</v>
      </c>
      <c r="F511" t="s">
        <v>26</v>
      </c>
    </row>
    <row r="512" spans="1:6">
      <c r="A512" s="258">
        <v>46129</v>
      </c>
      <c r="B512" s="263" t="s">
        <v>921</v>
      </c>
      <c r="C512" s="264">
        <v>12512</v>
      </c>
      <c r="D512" s="245">
        <v>375</v>
      </c>
      <c r="E512" s="260" t="s">
        <v>397</v>
      </c>
      <c r="F512" t="s">
        <v>26</v>
      </c>
    </row>
    <row r="513" spans="1:6">
      <c r="A513" s="258">
        <v>46129</v>
      </c>
      <c r="B513" s="198" t="s">
        <v>922</v>
      </c>
      <c r="C513" s="199">
        <v>12194</v>
      </c>
      <c r="D513" s="245">
        <v>2243.5</v>
      </c>
      <c r="E513" s="260" t="s">
        <v>397</v>
      </c>
      <c r="F513" t="s">
        <v>26</v>
      </c>
    </row>
    <row r="514" spans="1:6">
      <c r="A514" s="258">
        <v>46129</v>
      </c>
      <c r="B514" s="265" t="s">
        <v>424</v>
      </c>
      <c r="C514" s="262" t="s">
        <v>923</v>
      </c>
      <c r="D514" s="245">
        <v>567.92999999999995</v>
      </c>
      <c r="E514" s="260" t="s">
        <v>397</v>
      </c>
      <c r="F514" t="s">
        <v>26</v>
      </c>
    </row>
    <row r="515" spans="1:6">
      <c r="A515" s="258">
        <v>46129</v>
      </c>
      <c r="B515" s="263" t="s">
        <v>627</v>
      </c>
      <c r="C515" s="264" t="s">
        <v>924</v>
      </c>
      <c r="D515" s="245">
        <v>835</v>
      </c>
      <c r="E515" s="260" t="s">
        <v>397</v>
      </c>
      <c r="F515" t="s">
        <v>26</v>
      </c>
    </row>
    <row r="516" spans="1:6">
      <c r="A516" s="258">
        <v>46129</v>
      </c>
      <c r="B516" s="265" t="s">
        <v>407</v>
      </c>
      <c r="C516" s="262" t="s">
        <v>925</v>
      </c>
      <c r="D516" s="245">
        <v>674.25</v>
      </c>
      <c r="E516" s="260" t="s">
        <v>397</v>
      </c>
      <c r="F516" t="s">
        <v>26</v>
      </c>
    </row>
    <row r="517" spans="1:6">
      <c r="A517" s="258">
        <v>46129</v>
      </c>
      <c r="B517" s="263" t="s">
        <v>837</v>
      </c>
      <c r="C517" s="264" t="s">
        <v>926</v>
      </c>
      <c r="D517" s="245">
        <v>1195.26</v>
      </c>
      <c r="E517" s="260" t="s">
        <v>397</v>
      </c>
      <c r="F517" t="s">
        <v>26</v>
      </c>
    </row>
    <row r="518" spans="1:6">
      <c r="A518" s="258">
        <v>46129</v>
      </c>
      <c r="B518" s="265" t="s">
        <v>639</v>
      </c>
      <c r="C518" s="262" t="s">
        <v>927</v>
      </c>
      <c r="D518" s="245">
        <v>842</v>
      </c>
      <c r="E518" s="260" t="s">
        <v>397</v>
      </c>
      <c r="F518" t="s">
        <v>26</v>
      </c>
    </row>
    <row r="519" spans="1:6">
      <c r="A519" s="258">
        <v>46129</v>
      </c>
      <c r="B519" s="263" t="s">
        <v>506</v>
      </c>
      <c r="C519" s="264" t="s">
        <v>928</v>
      </c>
      <c r="D519" s="245">
        <v>832</v>
      </c>
      <c r="E519" s="260" t="s">
        <v>397</v>
      </c>
      <c r="F519" t="s">
        <v>26</v>
      </c>
    </row>
    <row r="520" spans="1:6">
      <c r="A520" s="258">
        <v>46129</v>
      </c>
      <c r="B520" s="265" t="s">
        <v>418</v>
      </c>
      <c r="C520" s="262" t="s">
        <v>929</v>
      </c>
      <c r="D520" s="245">
        <v>953</v>
      </c>
      <c r="E520" s="260" t="s">
        <v>397</v>
      </c>
      <c r="F520" t="s">
        <v>26</v>
      </c>
    </row>
    <row r="521" spans="1:6">
      <c r="A521" s="258">
        <v>46129</v>
      </c>
      <c r="B521" s="263" t="s">
        <v>464</v>
      </c>
      <c r="C521" s="264" t="s">
        <v>930</v>
      </c>
      <c r="D521" s="245">
        <v>496.88</v>
      </c>
      <c r="E521" s="260" t="s">
        <v>397</v>
      </c>
      <c r="F521" t="s">
        <v>26</v>
      </c>
    </row>
    <row r="522" spans="1:6">
      <c r="A522" s="258">
        <v>46132</v>
      </c>
      <c r="B522" s="265" t="s">
        <v>412</v>
      </c>
      <c r="C522" s="262" t="s">
        <v>931</v>
      </c>
      <c r="D522" s="245">
        <v>677.5</v>
      </c>
      <c r="E522" s="260" t="s">
        <v>397</v>
      </c>
      <c r="F522" t="s">
        <v>26</v>
      </c>
    </row>
    <row r="523" spans="1:6">
      <c r="A523" s="258">
        <v>46132</v>
      </c>
      <c r="B523" s="263" t="s">
        <v>483</v>
      </c>
      <c r="C523" s="264" t="s">
        <v>932</v>
      </c>
      <c r="D523" s="245">
        <v>1547.67</v>
      </c>
      <c r="E523" s="260" t="s">
        <v>397</v>
      </c>
      <c r="F523" t="s">
        <v>26</v>
      </c>
    </row>
    <row r="524" spans="1:6">
      <c r="A524" s="258">
        <v>46132</v>
      </c>
      <c r="B524" s="265" t="s">
        <v>908</v>
      </c>
      <c r="C524" s="262" t="s">
        <v>933</v>
      </c>
      <c r="D524" s="245">
        <v>441.67</v>
      </c>
      <c r="E524" s="260" t="s">
        <v>397</v>
      </c>
      <c r="F524" t="s">
        <v>26</v>
      </c>
    </row>
    <row r="525" spans="1:6">
      <c r="A525" s="258">
        <v>46132</v>
      </c>
      <c r="B525" s="263" t="s">
        <v>402</v>
      </c>
      <c r="C525" s="264" t="s">
        <v>934</v>
      </c>
      <c r="D525" s="245">
        <v>1205</v>
      </c>
      <c r="E525" s="260" t="s">
        <v>397</v>
      </c>
      <c r="F525" t="s">
        <v>26</v>
      </c>
    </row>
    <row r="526" spans="1:6">
      <c r="A526" s="258">
        <v>46132</v>
      </c>
      <c r="B526" s="265" t="s">
        <v>398</v>
      </c>
      <c r="C526" s="262" t="s">
        <v>935</v>
      </c>
      <c r="D526" s="245">
        <v>1861.84</v>
      </c>
      <c r="E526" s="260" t="s">
        <v>397</v>
      </c>
      <c r="F526" t="s">
        <v>26</v>
      </c>
    </row>
    <row r="527" spans="1:6">
      <c r="A527" s="258">
        <v>46132</v>
      </c>
      <c r="B527" s="263" t="s">
        <v>266</v>
      </c>
      <c r="C527" s="264" t="s">
        <v>936</v>
      </c>
      <c r="D527" s="245">
        <v>1161</v>
      </c>
      <c r="E527" s="260" t="s">
        <v>397</v>
      </c>
      <c r="F527" t="s">
        <v>26</v>
      </c>
    </row>
    <row r="528" spans="1:6">
      <c r="A528" s="258">
        <v>46132</v>
      </c>
      <c r="B528" s="265" t="s">
        <v>937</v>
      </c>
      <c r="C528" s="262">
        <v>12320</v>
      </c>
      <c r="D528" s="245">
        <v>516.85</v>
      </c>
      <c r="E528" s="260" t="s">
        <v>397</v>
      </c>
      <c r="F528" t="s">
        <v>26</v>
      </c>
    </row>
    <row r="529" spans="1:6">
      <c r="A529" s="258">
        <v>46134</v>
      </c>
      <c r="B529" s="263" t="s">
        <v>661</v>
      </c>
      <c r="C529" s="264">
        <v>12382</v>
      </c>
      <c r="D529" s="245">
        <v>188.35</v>
      </c>
      <c r="E529" s="260" t="s">
        <v>397</v>
      </c>
      <c r="F529" t="s">
        <v>26</v>
      </c>
    </row>
    <row r="530" spans="1:6">
      <c r="A530" s="258">
        <v>46134</v>
      </c>
      <c r="B530" s="265" t="s">
        <v>630</v>
      </c>
      <c r="C530" s="262" t="s">
        <v>938</v>
      </c>
      <c r="D530" s="245">
        <v>763.25</v>
      </c>
      <c r="E530" s="260" t="s">
        <v>397</v>
      </c>
      <c r="F530" t="s">
        <v>26</v>
      </c>
    </row>
    <row r="531" spans="1:6">
      <c r="A531" s="258">
        <v>46134</v>
      </c>
      <c r="B531" s="263" t="s">
        <v>464</v>
      </c>
      <c r="C531" s="264" t="s">
        <v>939</v>
      </c>
      <c r="D531" s="245">
        <v>780.92</v>
      </c>
      <c r="E531" s="260" t="s">
        <v>397</v>
      </c>
      <c r="F531" t="s">
        <v>26</v>
      </c>
    </row>
    <row r="532" spans="1:6">
      <c r="A532" s="258">
        <v>46134</v>
      </c>
      <c r="B532" s="265" t="s">
        <v>536</v>
      </c>
      <c r="C532" s="262" t="s">
        <v>940</v>
      </c>
      <c r="D532" s="245">
        <v>600</v>
      </c>
      <c r="E532" s="260" t="s">
        <v>397</v>
      </c>
      <c r="F532" t="s">
        <v>26</v>
      </c>
    </row>
    <row r="533" spans="1:6">
      <c r="A533" s="258">
        <v>46134</v>
      </c>
      <c r="B533" s="263" t="s">
        <v>398</v>
      </c>
      <c r="C533" s="264" t="s">
        <v>941</v>
      </c>
      <c r="D533" s="245">
        <v>830</v>
      </c>
      <c r="E533" s="260" t="s">
        <v>397</v>
      </c>
      <c r="F533" t="s">
        <v>26</v>
      </c>
    </row>
    <row r="534" spans="1:6">
      <c r="A534" s="258">
        <v>46134</v>
      </c>
      <c r="B534" s="265" t="s">
        <v>942</v>
      </c>
      <c r="C534" s="262" t="s">
        <v>943</v>
      </c>
      <c r="D534" s="245">
        <v>648</v>
      </c>
      <c r="E534" s="260" t="s">
        <v>397</v>
      </c>
      <c r="F534" t="s">
        <v>26</v>
      </c>
    </row>
    <row r="535" spans="1:6">
      <c r="A535" s="258">
        <v>46134</v>
      </c>
      <c r="B535" s="263" t="s">
        <v>728</v>
      </c>
      <c r="C535" s="264" t="s">
        <v>944</v>
      </c>
      <c r="D535" s="245">
        <v>524</v>
      </c>
      <c r="E535" s="260" t="s">
        <v>397</v>
      </c>
      <c r="F535" t="s">
        <v>26</v>
      </c>
    </row>
    <row r="536" spans="1:6">
      <c r="A536" s="258">
        <v>46134</v>
      </c>
      <c r="B536" s="265" t="s">
        <v>945</v>
      </c>
      <c r="C536" s="262" t="s">
        <v>946</v>
      </c>
      <c r="D536" s="245">
        <v>1273.8499999999999</v>
      </c>
      <c r="E536" s="260" t="s">
        <v>397</v>
      </c>
      <c r="F536" t="s">
        <v>26</v>
      </c>
    </row>
    <row r="537" spans="1:6">
      <c r="A537" s="258">
        <v>46135</v>
      </c>
      <c r="B537" s="263" t="s">
        <v>502</v>
      </c>
      <c r="C537" s="264" t="s">
        <v>947</v>
      </c>
      <c r="D537" s="245">
        <v>694.75</v>
      </c>
      <c r="E537" s="260" t="s">
        <v>397</v>
      </c>
      <c r="F537" t="s">
        <v>26</v>
      </c>
    </row>
    <row r="538" spans="1:6">
      <c r="A538" s="258">
        <v>46135</v>
      </c>
      <c r="B538" s="265" t="s">
        <v>502</v>
      </c>
      <c r="C538" s="262" t="s">
        <v>948</v>
      </c>
      <c r="D538" s="245">
        <v>932.75</v>
      </c>
      <c r="E538" s="260" t="s">
        <v>397</v>
      </c>
      <c r="F538" t="s">
        <v>26</v>
      </c>
    </row>
    <row r="539" spans="1:6">
      <c r="A539" s="258">
        <v>46135</v>
      </c>
      <c r="B539" s="263" t="s">
        <v>761</v>
      </c>
      <c r="C539" s="264" t="s">
        <v>949</v>
      </c>
      <c r="D539" s="245">
        <v>438.75</v>
      </c>
      <c r="E539" s="260" t="s">
        <v>397</v>
      </c>
      <c r="F539" t="s">
        <v>26</v>
      </c>
    </row>
    <row r="540" spans="1:6">
      <c r="A540" s="258">
        <v>46135</v>
      </c>
      <c r="B540" s="265" t="s">
        <v>627</v>
      </c>
      <c r="C540" s="262" t="s">
        <v>950</v>
      </c>
      <c r="D540" s="245">
        <v>1843.18</v>
      </c>
      <c r="E540" s="260" t="s">
        <v>397</v>
      </c>
      <c r="F540" t="s">
        <v>26</v>
      </c>
    </row>
    <row r="541" spans="1:6">
      <c r="A541" s="258">
        <v>46135</v>
      </c>
      <c r="B541" s="263" t="s">
        <v>481</v>
      </c>
      <c r="C541" s="264" t="s">
        <v>951</v>
      </c>
      <c r="D541" s="245">
        <v>647.4</v>
      </c>
      <c r="E541" s="260" t="s">
        <v>397</v>
      </c>
      <c r="F541" t="s">
        <v>26</v>
      </c>
    </row>
    <row r="542" spans="1:6">
      <c r="A542" s="258">
        <v>46135</v>
      </c>
      <c r="B542" s="265" t="s">
        <v>952</v>
      </c>
      <c r="C542" s="262">
        <v>12525</v>
      </c>
      <c r="D542" s="245">
        <v>80</v>
      </c>
      <c r="E542" s="260" t="s">
        <v>397</v>
      </c>
      <c r="F542" t="s">
        <v>26</v>
      </c>
    </row>
    <row r="543" spans="1:6">
      <c r="A543" s="258">
        <v>46135</v>
      </c>
      <c r="B543" s="263" t="s">
        <v>514</v>
      </c>
      <c r="C543" s="264" t="s">
        <v>953</v>
      </c>
      <c r="D543" s="245">
        <v>337.5</v>
      </c>
      <c r="E543" s="260" t="s">
        <v>397</v>
      </c>
      <c r="F543" t="s">
        <v>26</v>
      </c>
    </row>
    <row r="544" spans="1:6">
      <c r="A544" s="258">
        <v>46136</v>
      </c>
      <c r="B544" s="242" t="s">
        <v>544</v>
      </c>
      <c r="C544" s="259">
        <v>12342</v>
      </c>
      <c r="D544" s="245">
        <v>420</v>
      </c>
      <c r="E544" s="260" t="s">
        <v>397</v>
      </c>
      <c r="F544" t="s">
        <v>26</v>
      </c>
    </row>
    <row r="545" spans="1:6">
      <c r="A545" s="258">
        <v>46136</v>
      </c>
      <c r="B545" s="263" t="s">
        <v>514</v>
      </c>
      <c r="C545" s="264" t="s">
        <v>954</v>
      </c>
      <c r="D545" s="245">
        <v>160</v>
      </c>
      <c r="E545" s="260" t="s">
        <v>397</v>
      </c>
      <c r="F545" t="s">
        <v>26</v>
      </c>
    </row>
    <row r="546" spans="1:6">
      <c r="A546" s="258">
        <v>46136</v>
      </c>
      <c r="B546" s="242" t="s">
        <v>955</v>
      </c>
      <c r="C546" s="259" t="s">
        <v>203</v>
      </c>
      <c r="D546" s="245">
        <v>31000</v>
      </c>
      <c r="E546" s="260" t="s">
        <v>397</v>
      </c>
      <c r="F546" t="s">
        <v>26</v>
      </c>
    </row>
    <row r="547" spans="1:6">
      <c r="A547" s="258">
        <v>46136</v>
      </c>
      <c r="B547" s="265" t="s">
        <v>422</v>
      </c>
      <c r="C547" s="262" t="s">
        <v>956</v>
      </c>
      <c r="D547" s="245">
        <v>2430</v>
      </c>
      <c r="E547" s="260" t="s">
        <v>397</v>
      </c>
      <c r="F547" t="s">
        <v>26</v>
      </c>
    </row>
    <row r="548" spans="1:6">
      <c r="A548" s="258">
        <v>46136</v>
      </c>
      <c r="B548" s="263" t="s">
        <v>743</v>
      </c>
      <c r="C548" s="264" t="s">
        <v>957</v>
      </c>
      <c r="D548" s="245">
        <v>545.75</v>
      </c>
      <c r="E548" s="260" t="s">
        <v>397</v>
      </c>
      <c r="F548" t="s">
        <v>26</v>
      </c>
    </row>
    <row r="549" spans="1:6">
      <c r="A549" s="258">
        <v>46136</v>
      </c>
      <c r="B549" s="265" t="s">
        <v>268</v>
      </c>
      <c r="C549" s="262" t="s">
        <v>958</v>
      </c>
      <c r="D549" s="245">
        <v>971.84</v>
      </c>
      <c r="E549" s="260" t="s">
        <v>397</v>
      </c>
      <c r="F549" t="s">
        <v>26</v>
      </c>
    </row>
    <row r="550" spans="1:6">
      <c r="A550" s="258">
        <v>46136</v>
      </c>
      <c r="B550" s="263" t="s">
        <v>275</v>
      </c>
      <c r="C550" s="264" t="s">
        <v>959</v>
      </c>
      <c r="D550" s="245">
        <v>375</v>
      </c>
      <c r="E550" s="260" t="s">
        <v>397</v>
      </c>
      <c r="F550" t="s">
        <v>26</v>
      </c>
    </row>
    <row r="551" spans="1:6">
      <c r="A551" s="258">
        <v>46139</v>
      </c>
      <c r="B551" s="265" t="s">
        <v>412</v>
      </c>
      <c r="C551" s="262" t="s">
        <v>960</v>
      </c>
      <c r="D551" s="245">
        <v>893.25</v>
      </c>
      <c r="E551" s="260" t="s">
        <v>397</v>
      </c>
      <c r="F551" t="s">
        <v>26</v>
      </c>
    </row>
    <row r="552" spans="1:6">
      <c r="A552" s="258">
        <v>46139</v>
      </c>
      <c r="B552" s="263" t="s">
        <v>398</v>
      </c>
      <c r="C552" s="264" t="s">
        <v>961</v>
      </c>
      <c r="D552" s="245">
        <v>4545.7700000000004</v>
      </c>
      <c r="E552" s="260" t="s">
        <v>397</v>
      </c>
      <c r="F552" t="s">
        <v>26</v>
      </c>
    </row>
    <row r="553" spans="1:6">
      <c r="A553" s="258">
        <v>46139</v>
      </c>
      <c r="B553" s="265" t="s">
        <v>901</v>
      </c>
      <c r="C553" s="262" t="s">
        <v>962</v>
      </c>
      <c r="D553" s="245">
        <v>529.83000000000004</v>
      </c>
      <c r="E553" s="260" t="s">
        <v>397</v>
      </c>
      <c r="F553" t="s">
        <v>26</v>
      </c>
    </row>
    <row r="554" spans="1:6">
      <c r="A554" s="258">
        <v>46139</v>
      </c>
      <c r="B554" s="263" t="s">
        <v>743</v>
      </c>
      <c r="C554" s="264" t="s">
        <v>963</v>
      </c>
      <c r="D554" s="245">
        <v>1488</v>
      </c>
      <c r="E554" s="260" t="s">
        <v>397</v>
      </c>
      <c r="F554" t="s">
        <v>26</v>
      </c>
    </row>
    <row r="555" spans="1:6">
      <c r="A555" s="258">
        <v>46139</v>
      </c>
      <c r="B555" s="265" t="s">
        <v>908</v>
      </c>
      <c r="C555" s="262" t="s">
        <v>964</v>
      </c>
      <c r="D555" s="245">
        <v>441.67</v>
      </c>
      <c r="E555" s="260" t="s">
        <v>397</v>
      </c>
      <c r="F555" t="s">
        <v>26</v>
      </c>
    </row>
    <row r="556" spans="1:6">
      <c r="A556" s="258">
        <v>46139</v>
      </c>
      <c r="B556" s="263" t="s">
        <v>965</v>
      </c>
      <c r="C556" s="264" t="s">
        <v>966</v>
      </c>
      <c r="D556" s="245">
        <v>573.5</v>
      </c>
      <c r="E556" s="260" t="s">
        <v>397</v>
      </c>
      <c r="F556" t="s">
        <v>26</v>
      </c>
    </row>
    <row r="557" spans="1:6">
      <c r="A557" s="258">
        <v>46139</v>
      </c>
      <c r="B557" s="265" t="s">
        <v>483</v>
      </c>
      <c r="C557" s="262" t="s">
        <v>967</v>
      </c>
      <c r="D557" s="245">
        <v>4732.78</v>
      </c>
      <c r="E557" s="260" t="s">
        <v>397</v>
      </c>
      <c r="F557" t="s">
        <v>26</v>
      </c>
    </row>
    <row r="558" spans="1:6">
      <c r="A558" s="258">
        <v>46139</v>
      </c>
      <c r="B558" s="263" t="s">
        <v>562</v>
      </c>
      <c r="C558" s="264" t="s">
        <v>968</v>
      </c>
      <c r="D558" s="245">
        <v>2571.6999999999998</v>
      </c>
      <c r="E558" s="260" t="s">
        <v>397</v>
      </c>
      <c r="F558" t="s">
        <v>26</v>
      </c>
    </row>
    <row r="559" spans="1:6">
      <c r="A559" s="258">
        <v>46139</v>
      </c>
      <c r="B559" s="265" t="s">
        <v>969</v>
      </c>
      <c r="C559" s="262" t="s">
        <v>970</v>
      </c>
      <c r="D559" s="245">
        <v>1596.5</v>
      </c>
      <c r="E559" s="260" t="s">
        <v>397</v>
      </c>
      <c r="F559" t="s">
        <v>26</v>
      </c>
    </row>
    <row r="560" spans="1:6">
      <c r="A560" s="258">
        <v>46140</v>
      </c>
      <c r="B560" s="198" t="s">
        <v>562</v>
      </c>
      <c r="C560" s="199" t="s">
        <v>971</v>
      </c>
      <c r="D560" s="245">
        <v>4279.4399999999996</v>
      </c>
      <c r="E560" s="260" t="s">
        <v>397</v>
      </c>
      <c r="F560" t="s">
        <v>26</v>
      </c>
    </row>
    <row r="561" spans="1:6">
      <c r="A561" s="258">
        <v>46140</v>
      </c>
      <c r="B561" s="263" t="s">
        <v>564</v>
      </c>
      <c r="C561" s="264" t="s">
        <v>972</v>
      </c>
      <c r="D561" s="245">
        <v>543.63</v>
      </c>
      <c r="E561" s="260" t="s">
        <v>397</v>
      </c>
      <c r="F561" t="s">
        <v>26</v>
      </c>
    </row>
    <row r="562" spans="1:6">
      <c r="A562" s="258">
        <v>46140</v>
      </c>
      <c r="B562" s="198" t="s">
        <v>424</v>
      </c>
      <c r="C562" s="199" t="s">
        <v>973</v>
      </c>
      <c r="D562" s="245">
        <v>575.25</v>
      </c>
      <c r="E562" s="260" t="s">
        <v>397</v>
      </c>
      <c r="F562" t="s">
        <v>26</v>
      </c>
    </row>
    <row r="563" spans="1:6">
      <c r="A563" s="258">
        <v>46140</v>
      </c>
      <c r="B563" s="263" t="s">
        <v>551</v>
      </c>
      <c r="C563" s="264" t="s">
        <v>974</v>
      </c>
      <c r="D563" s="245">
        <v>254.7</v>
      </c>
      <c r="E563" s="260" t="s">
        <v>397</v>
      </c>
      <c r="F563" t="s">
        <v>26</v>
      </c>
    </row>
    <row r="564" spans="1:6">
      <c r="A564" s="258">
        <v>46140</v>
      </c>
      <c r="B564" s="198" t="s">
        <v>407</v>
      </c>
      <c r="C564" s="199" t="s">
        <v>975</v>
      </c>
      <c r="D564" s="245">
        <v>1377.9</v>
      </c>
      <c r="E564" s="260" t="s">
        <v>397</v>
      </c>
      <c r="F564" t="s">
        <v>26</v>
      </c>
    </row>
    <row r="565" spans="1:6">
      <c r="A565" s="258">
        <v>46140</v>
      </c>
      <c r="B565" s="263" t="s">
        <v>976</v>
      </c>
      <c r="C565" s="259">
        <v>12544</v>
      </c>
      <c r="D565" s="245">
        <v>160</v>
      </c>
      <c r="E565" s="260" t="s">
        <v>397</v>
      </c>
      <c r="F565" t="s">
        <v>26</v>
      </c>
    </row>
    <row r="566" spans="1:6">
      <c r="A566" s="258">
        <v>46141</v>
      </c>
      <c r="B566" s="198" t="s">
        <v>418</v>
      </c>
      <c r="C566" s="259">
        <v>12422</v>
      </c>
      <c r="D566" s="245">
        <v>1021.65</v>
      </c>
      <c r="E566" s="260" t="s">
        <v>397</v>
      </c>
      <c r="F566" t="s">
        <v>26</v>
      </c>
    </row>
    <row r="567" spans="1:6">
      <c r="A567" s="258">
        <v>46141</v>
      </c>
      <c r="B567" s="263" t="s">
        <v>977</v>
      </c>
      <c r="C567" s="259">
        <v>12407</v>
      </c>
      <c r="D567" s="245">
        <v>736</v>
      </c>
      <c r="E567" s="260" t="s">
        <v>397</v>
      </c>
      <c r="F567" t="s">
        <v>26</v>
      </c>
    </row>
    <row r="568" spans="1:6">
      <c r="A568" s="258">
        <v>46141</v>
      </c>
      <c r="B568" s="198" t="s">
        <v>576</v>
      </c>
      <c r="C568" s="259">
        <v>12405</v>
      </c>
      <c r="D568" s="245">
        <v>4419.8999999999996</v>
      </c>
      <c r="E568" s="260" t="s">
        <v>397</v>
      </c>
      <c r="F568" t="s">
        <v>26</v>
      </c>
    </row>
    <row r="569" spans="1:6">
      <c r="A569" s="258">
        <v>46141</v>
      </c>
      <c r="B569" s="263" t="s">
        <v>743</v>
      </c>
      <c r="C569" s="259">
        <v>12397</v>
      </c>
      <c r="D569" s="245">
        <v>545.75</v>
      </c>
      <c r="E569" s="260" t="s">
        <v>397</v>
      </c>
      <c r="F569" t="s">
        <v>26</v>
      </c>
    </row>
    <row r="570" spans="1:6">
      <c r="A570" s="258">
        <v>46141</v>
      </c>
      <c r="B570" s="198" t="s">
        <v>978</v>
      </c>
      <c r="C570" s="259">
        <v>12423</v>
      </c>
      <c r="D570" s="245">
        <v>650</v>
      </c>
      <c r="E570" s="260" t="s">
        <v>397</v>
      </c>
      <c r="F570" t="s">
        <v>26</v>
      </c>
    </row>
    <row r="571" spans="1:6">
      <c r="A571" s="258">
        <v>46142</v>
      </c>
      <c r="B571" s="263" t="s">
        <v>979</v>
      </c>
      <c r="C571" s="259"/>
      <c r="D571" s="245">
        <v>225</v>
      </c>
      <c r="E571" s="260" t="s">
        <v>397</v>
      </c>
      <c r="F571" t="s">
        <v>26</v>
      </c>
    </row>
    <row r="572" spans="1:6">
      <c r="A572" s="258">
        <v>46142</v>
      </c>
      <c r="B572" s="266" t="s">
        <v>980</v>
      </c>
      <c r="C572" s="267" t="s">
        <v>981</v>
      </c>
      <c r="D572" s="245">
        <v>190</v>
      </c>
      <c r="E572" s="260" t="s">
        <v>397</v>
      </c>
      <c r="F572" t="s">
        <v>26</v>
      </c>
    </row>
    <row r="573" spans="1:6">
      <c r="A573" s="258">
        <v>46142</v>
      </c>
      <c r="B573" s="266" t="s">
        <v>982</v>
      </c>
      <c r="C573" s="267" t="s">
        <v>983</v>
      </c>
      <c r="D573" s="245">
        <v>628.5</v>
      </c>
      <c r="E573" s="260" t="s">
        <v>397</v>
      </c>
      <c r="F573" t="s">
        <v>26</v>
      </c>
    </row>
    <row r="574" spans="1:6">
      <c r="A574" s="258">
        <v>46142</v>
      </c>
      <c r="B574" s="266" t="s">
        <v>984</v>
      </c>
      <c r="C574" s="267" t="s">
        <v>985</v>
      </c>
      <c r="D574" s="245">
        <v>1307.6400000000001</v>
      </c>
      <c r="E574" s="260" t="s">
        <v>397</v>
      </c>
      <c r="F574" t="s">
        <v>26</v>
      </c>
    </row>
    <row r="575" spans="1:6">
      <c r="A575" s="258">
        <v>46142</v>
      </c>
      <c r="B575" s="266" t="s">
        <v>986</v>
      </c>
      <c r="C575" s="267" t="s">
        <v>987</v>
      </c>
      <c r="D575" s="245">
        <v>466.7</v>
      </c>
      <c r="E575" s="260" t="s">
        <v>397</v>
      </c>
      <c r="F575" t="s">
        <v>26</v>
      </c>
    </row>
    <row r="576" spans="1:6">
      <c r="A576" s="258">
        <v>46142</v>
      </c>
      <c r="B576" s="266" t="s">
        <v>988</v>
      </c>
      <c r="C576" s="267" t="s">
        <v>989</v>
      </c>
      <c r="D576" s="245">
        <v>347.74</v>
      </c>
      <c r="E576" s="260" t="s">
        <v>397</v>
      </c>
      <c r="F576" t="s">
        <v>26</v>
      </c>
    </row>
    <row r="577" spans="1:6">
      <c r="A577" s="258">
        <v>46142</v>
      </c>
      <c r="B577" s="266" t="s">
        <v>982</v>
      </c>
      <c r="C577" s="267" t="s">
        <v>990</v>
      </c>
      <c r="D577" s="245">
        <v>5545.98</v>
      </c>
      <c r="E577" s="260" t="s">
        <v>397</v>
      </c>
      <c r="F577" t="s">
        <v>26</v>
      </c>
    </row>
    <row r="578" spans="1:6">
      <c r="A578" s="258">
        <v>46142</v>
      </c>
      <c r="B578" s="266" t="s">
        <v>986</v>
      </c>
      <c r="C578" s="267" t="s">
        <v>991</v>
      </c>
      <c r="D578" s="245">
        <v>1843.2</v>
      </c>
      <c r="E578" s="260" t="s">
        <v>397</v>
      </c>
      <c r="F578" t="s">
        <v>26</v>
      </c>
    </row>
    <row r="579" spans="1:6">
      <c r="A579" s="258">
        <v>46142</v>
      </c>
      <c r="B579" s="266" t="s">
        <v>992</v>
      </c>
      <c r="C579" s="267" t="s">
        <v>993</v>
      </c>
      <c r="D579" s="245">
        <v>1774.6</v>
      </c>
      <c r="E579" s="260" t="s">
        <v>397</v>
      </c>
      <c r="F579" t="s">
        <v>26</v>
      </c>
    </row>
    <row r="580" spans="1:6">
      <c r="A580" s="258">
        <v>46142</v>
      </c>
      <c r="B580" s="266" t="s">
        <v>994</v>
      </c>
      <c r="C580" s="267" t="s">
        <v>995</v>
      </c>
      <c r="D580" s="245">
        <v>582.48</v>
      </c>
      <c r="E580" s="260" t="s">
        <v>397</v>
      </c>
      <c r="F580" t="s">
        <v>26</v>
      </c>
    </row>
    <row r="581" spans="1:6">
      <c r="A581" s="258">
        <v>46142</v>
      </c>
      <c r="B581" s="266" t="s">
        <v>996</v>
      </c>
      <c r="C581" s="267" t="s">
        <v>997</v>
      </c>
      <c r="D581" s="245">
        <v>1927.12</v>
      </c>
      <c r="E581" s="260" t="s">
        <v>397</v>
      </c>
      <c r="F581" t="s">
        <v>26</v>
      </c>
    </row>
    <row r="582" spans="1:6">
      <c r="A582" s="258">
        <v>46119</v>
      </c>
      <c r="B582" s="268" t="s">
        <v>203</v>
      </c>
      <c r="C582" s="269" t="s">
        <v>203</v>
      </c>
      <c r="D582" s="257">
        <v>7000</v>
      </c>
      <c r="E582" s="260" t="s">
        <v>523</v>
      </c>
      <c r="F582" t="s">
        <v>26</v>
      </c>
    </row>
    <row r="583" spans="1:6">
      <c r="A583" s="258">
        <v>46125</v>
      </c>
      <c r="B583" s="248" t="s">
        <v>998</v>
      </c>
      <c r="C583" s="270">
        <v>12210</v>
      </c>
      <c r="D583" s="271">
        <v>102</v>
      </c>
      <c r="E583" s="260" t="s">
        <v>523</v>
      </c>
      <c r="F583" t="s">
        <v>26</v>
      </c>
    </row>
    <row r="584" spans="1:6">
      <c r="A584" s="258">
        <v>46126</v>
      </c>
      <c r="B584" s="76" t="s">
        <v>999</v>
      </c>
      <c r="C584" s="77" t="s">
        <v>196</v>
      </c>
      <c r="D584" s="78">
        <v>90.88</v>
      </c>
      <c r="E584" s="260" t="s">
        <v>523</v>
      </c>
      <c r="F584" t="s">
        <v>26</v>
      </c>
    </row>
    <row r="585" spans="1:6">
      <c r="A585" s="126">
        <v>46147</v>
      </c>
      <c r="B585" s="524" t="s">
        <v>1635</v>
      </c>
      <c r="C585" s="524">
        <v>12435</v>
      </c>
      <c r="D585" s="155">
        <v>216</v>
      </c>
      <c r="E585" s="525" t="s">
        <v>523</v>
      </c>
      <c r="F585" s="124" t="s">
        <v>27</v>
      </c>
    </row>
    <row r="586" spans="1:6">
      <c r="A586" s="126">
        <v>46154</v>
      </c>
      <c r="B586" s="133" t="s">
        <v>1636</v>
      </c>
      <c r="C586" s="210" t="s">
        <v>450</v>
      </c>
      <c r="D586" s="211">
        <v>624.6</v>
      </c>
      <c r="E586" s="525" t="s">
        <v>523</v>
      </c>
      <c r="F586" s="124" t="s">
        <v>27</v>
      </c>
    </row>
    <row r="587" spans="1:6">
      <c r="A587" s="126">
        <v>46154</v>
      </c>
      <c r="B587" s="128" t="s">
        <v>955</v>
      </c>
      <c r="C587" s="133" t="s">
        <v>203</v>
      </c>
      <c r="D587" s="134">
        <v>4855</v>
      </c>
      <c r="E587" s="525" t="s">
        <v>523</v>
      </c>
      <c r="F587" s="124" t="s">
        <v>27</v>
      </c>
    </row>
    <row r="588" spans="1:6">
      <c r="A588" s="126">
        <v>46156</v>
      </c>
      <c r="B588" s="207" t="s">
        <v>666</v>
      </c>
      <c r="C588" s="208" t="s">
        <v>1637</v>
      </c>
      <c r="D588" s="209">
        <v>740.06</v>
      </c>
      <c r="E588" s="525" t="s">
        <v>523</v>
      </c>
      <c r="F588" s="124" t="s">
        <v>27</v>
      </c>
    </row>
    <row r="589" spans="1:6">
      <c r="A589" s="126">
        <v>46161</v>
      </c>
      <c r="B589" s="133" t="s">
        <v>1636</v>
      </c>
      <c r="C589" s="210" t="s">
        <v>450</v>
      </c>
      <c r="D589" s="211">
        <v>624.6</v>
      </c>
      <c r="E589" s="525" t="s">
        <v>523</v>
      </c>
      <c r="F589" s="124" t="s">
        <v>27</v>
      </c>
    </row>
    <row r="590" spans="1:6">
      <c r="A590" s="126">
        <v>46171</v>
      </c>
      <c r="B590" s="133" t="s">
        <v>1636</v>
      </c>
      <c r="C590" s="210" t="s">
        <v>450</v>
      </c>
      <c r="D590" s="211">
        <v>624.6</v>
      </c>
      <c r="E590" s="525" t="s">
        <v>523</v>
      </c>
      <c r="F590" s="124" t="s">
        <v>27</v>
      </c>
    </row>
    <row r="591" spans="1:6" ht="12.75" customHeight="1">
      <c r="A591" s="126">
        <v>46146</v>
      </c>
      <c r="B591" s="526" t="s">
        <v>1638</v>
      </c>
      <c r="C591" s="527" t="s">
        <v>1639</v>
      </c>
      <c r="D591" s="134">
        <v>733.8</v>
      </c>
      <c r="E591" s="124" t="s">
        <v>397</v>
      </c>
      <c r="F591" s="124" t="s">
        <v>27</v>
      </c>
    </row>
    <row r="592" spans="1:6" ht="12.75" customHeight="1">
      <c r="A592" s="126">
        <v>46146</v>
      </c>
      <c r="B592" s="526" t="s">
        <v>564</v>
      </c>
      <c r="C592" s="527" t="s">
        <v>1640</v>
      </c>
      <c r="D592" s="134">
        <v>253.5</v>
      </c>
      <c r="E592" s="124" t="s">
        <v>397</v>
      </c>
      <c r="F592" s="124" t="s">
        <v>27</v>
      </c>
    </row>
    <row r="593" spans="1:6" ht="12.75" customHeight="1">
      <c r="A593" s="126">
        <v>46146</v>
      </c>
      <c r="B593" s="526" t="s">
        <v>1641</v>
      </c>
      <c r="C593" s="527" t="s">
        <v>1642</v>
      </c>
      <c r="D593" s="134">
        <v>484.19</v>
      </c>
      <c r="E593" s="124" t="s">
        <v>397</v>
      </c>
      <c r="F593" s="124" t="s">
        <v>27</v>
      </c>
    </row>
    <row r="594" spans="1:6" ht="12.75" customHeight="1">
      <c r="A594" s="126">
        <v>46146</v>
      </c>
      <c r="B594" s="526" t="s">
        <v>908</v>
      </c>
      <c r="C594" s="527" t="s">
        <v>1643</v>
      </c>
      <c r="D594" s="134">
        <v>1044.25</v>
      </c>
      <c r="E594" s="124" t="s">
        <v>397</v>
      </c>
      <c r="F594" s="124" t="s">
        <v>27</v>
      </c>
    </row>
    <row r="595" spans="1:6" ht="12.75" customHeight="1">
      <c r="A595" s="126">
        <v>46146</v>
      </c>
      <c r="B595" s="526" t="s">
        <v>969</v>
      </c>
      <c r="C595" s="527" t="s">
        <v>1644</v>
      </c>
      <c r="D595" s="134">
        <v>1643.75</v>
      </c>
      <c r="E595" s="124" t="s">
        <v>397</v>
      </c>
      <c r="F595" s="124" t="s">
        <v>27</v>
      </c>
    </row>
    <row r="596" spans="1:6" ht="12.75" customHeight="1">
      <c r="A596" s="126">
        <v>46146</v>
      </c>
      <c r="B596" s="526" t="s">
        <v>1645</v>
      </c>
      <c r="C596" s="527" t="s">
        <v>1646</v>
      </c>
      <c r="D596" s="134">
        <v>1515.2</v>
      </c>
      <c r="E596" s="124" t="s">
        <v>397</v>
      </c>
      <c r="F596" s="124" t="s">
        <v>27</v>
      </c>
    </row>
    <row r="597" spans="1:6" ht="12.75" customHeight="1">
      <c r="A597" s="126">
        <v>46146</v>
      </c>
      <c r="B597" s="526" t="s">
        <v>268</v>
      </c>
      <c r="C597" s="527" t="s">
        <v>1647</v>
      </c>
      <c r="D597" s="134">
        <v>971.83</v>
      </c>
      <c r="E597" s="124" t="s">
        <v>397</v>
      </c>
      <c r="F597" s="124" t="s">
        <v>27</v>
      </c>
    </row>
    <row r="598" spans="1:6" ht="12.75" customHeight="1">
      <c r="A598" s="126">
        <v>46146</v>
      </c>
      <c r="B598" s="526" t="s">
        <v>398</v>
      </c>
      <c r="C598" s="527" t="s">
        <v>1648</v>
      </c>
      <c r="D598" s="134">
        <v>1861.83</v>
      </c>
      <c r="E598" s="124" t="s">
        <v>397</v>
      </c>
      <c r="F598" s="124" t="s">
        <v>27</v>
      </c>
    </row>
    <row r="599" spans="1:6" ht="12.75" customHeight="1">
      <c r="A599" s="126">
        <v>46146</v>
      </c>
      <c r="B599" s="526" t="s">
        <v>402</v>
      </c>
      <c r="C599" s="527" t="s">
        <v>1649</v>
      </c>
      <c r="D599" s="134">
        <v>1205</v>
      </c>
      <c r="E599" s="124" t="s">
        <v>397</v>
      </c>
      <c r="F599" s="124" t="s">
        <v>27</v>
      </c>
    </row>
    <row r="600" spans="1:6" ht="12.75" customHeight="1">
      <c r="A600" s="126">
        <v>46146</v>
      </c>
      <c r="B600" s="526" t="s">
        <v>837</v>
      </c>
      <c r="C600" s="527" t="s">
        <v>1650</v>
      </c>
      <c r="D600" s="134">
        <v>1195.26</v>
      </c>
      <c r="E600" s="124" t="s">
        <v>397</v>
      </c>
      <c r="F600" s="124" t="s">
        <v>27</v>
      </c>
    </row>
    <row r="601" spans="1:6" ht="12.75" customHeight="1">
      <c r="A601" s="126">
        <v>46146</v>
      </c>
      <c r="B601" s="128" t="s">
        <v>1651</v>
      </c>
      <c r="C601" s="195">
        <v>12215</v>
      </c>
      <c r="D601" s="134">
        <v>1444</v>
      </c>
      <c r="E601" s="124" t="s">
        <v>397</v>
      </c>
      <c r="F601" s="124" t="s">
        <v>27</v>
      </c>
    </row>
    <row r="602" spans="1:6" ht="12.75" customHeight="1">
      <c r="A602" s="126">
        <v>46146</v>
      </c>
      <c r="B602" s="128" t="s">
        <v>248</v>
      </c>
      <c r="C602" s="195">
        <v>12231</v>
      </c>
      <c r="D602" s="134">
        <v>2428.6</v>
      </c>
      <c r="E602" s="124" t="s">
        <v>397</v>
      </c>
      <c r="F602" s="124" t="s">
        <v>27</v>
      </c>
    </row>
    <row r="603" spans="1:6" ht="12.75" customHeight="1">
      <c r="A603" s="126">
        <v>46147</v>
      </c>
      <c r="B603" s="128" t="s">
        <v>253</v>
      </c>
      <c r="C603" s="195">
        <v>12563</v>
      </c>
      <c r="D603" s="134">
        <v>4699.97</v>
      </c>
      <c r="E603" s="124" t="s">
        <v>397</v>
      </c>
      <c r="F603" s="124" t="s">
        <v>27</v>
      </c>
    </row>
    <row r="604" spans="1:6" ht="12.75" customHeight="1">
      <c r="A604" s="126">
        <v>46147</v>
      </c>
      <c r="B604" s="526" t="s">
        <v>412</v>
      </c>
      <c r="C604" s="527" t="s">
        <v>1652</v>
      </c>
      <c r="D604" s="134">
        <v>677.5</v>
      </c>
      <c r="E604" s="124" t="s">
        <v>397</v>
      </c>
      <c r="F604" s="124" t="s">
        <v>27</v>
      </c>
    </row>
    <row r="605" spans="1:6" ht="12.75" customHeight="1">
      <c r="A605" s="126">
        <v>46147</v>
      </c>
      <c r="B605" s="526" t="s">
        <v>689</v>
      </c>
      <c r="C605" s="527" t="s">
        <v>1653</v>
      </c>
      <c r="D605" s="134">
        <v>515.66</v>
      </c>
      <c r="E605" s="124" t="s">
        <v>397</v>
      </c>
      <c r="F605" s="124" t="s">
        <v>27</v>
      </c>
    </row>
    <row r="606" spans="1:6" ht="12.75" customHeight="1">
      <c r="A606" s="126">
        <v>46147</v>
      </c>
      <c r="B606" s="526" t="s">
        <v>620</v>
      </c>
      <c r="C606" s="527" t="s">
        <v>1654</v>
      </c>
      <c r="D606" s="134">
        <v>728</v>
      </c>
      <c r="E606" s="124" t="s">
        <v>397</v>
      </c>
      <c r="F606" s="124" t="s">
        <v>27</v>
      </c>
    </row>
    <row r="607" spans="1:6" ht="12.75" customHeight="1">
      <c r="A607" s="126">
        <v>46147</v>
      </c>
      <c r="B607" s="526" t="s">
        <v>407</v>
      </c>
      <c r="C607" s="527" t="s">
        <v>1655</v>
      </c>
      <c r="D607" s="134">
        <v>1377.9</v>
      </c>
      <c r="E607" s="124" t="s">
        <v>397</v>
      </c>
      <c r="F607" s="124" t="s">
        <v>27</v>
      </c>
    </row>
    <row r="608" spans="1:6" ht="12.75" customHeight="1">
      <c r="A608" s="126">
        <v>46147</v>
      </c>
      <c r="B608" s="526" t="s">
        <v>467</v>
      </c>
      <c r="C608" s="527" t="s">
        <v>1656</v>
      </c>
      <c r="D608" s="134">
        <v>272.5</v>
      </c>
      <c r="E608" s="124" t="s">
        <v>397</v>
      </c>
      <c r="F608" s="124" t="s">
        <v>27</v>
      </c>
    </row>
    <row r="609" spans="1:6" ht="12.75" customHeight="1">
      <c r="A609" s="126">
        <v>46147</v>
      </c>
      <c r="B609" s="526" t="s">
        <v>438</v>
      </c>
      <c r="C609" s="527" t="s">
        <v>1657</v>
      </c>
      <c r="D609" s="134">
        <v>215</v>
      </c>
      <c r="E609" s="124" t="s">
        <v>397</v>
      </c>
      <c r="F609" s="124" t="s">
        <v>27</v>
      </c>
    </row>
    <row r="610" spans="1:6" ht="12.75" customHeight="1">
      <c r="A610" s="126">
        <v>46147</v>
      </c>
      <c r="B610" s="526" t="s">
        <v>438</v>
      </c>
      <c r="C610" s="527" t="s">
        <v>1658</v>
      </c>
      <c r="D610" s="134">
        <v>179.2</v>
      </c>
      <c r="E610" s="124" t="s">
        <v>397</v>
      </c>
      <c r="F610" s="124" t="s">
        <v>27</v>
      </c>
    </row>
    <row r="611" spans="1:6" ht="12.75" customHeight="1">
      <c r="A611" s="126">
        <v>46147</v>
      </c>
      <c r="B611" s="526" t="s">
        <v>502</v>
      </c>
      <c r="C611" s="527" t="s">
        <v>1659</v>
      </c>
      <c r="D611" s="134">
        <v>598.58000000000004</v>
      </c>
      <c r="E611" s="124" t="s">
        <v>397</v>
      </c>
      <c r="F611" s="124" t="s">
        <v>27</v>
      </c>
    </row>
    <row r="612" spans="1:6" ht="12.75" customHeight="1">
      <c r="A612" s="126">
        <v>46147</v>
      </c>
      <c r="B612" s="526" t="s">
        <v>502</v>
      </c>
      <c r="C612" s="527" t="s">
        <v>1660</v>
      </c>
      <c r="D612" s="134">
        <v>598.57000000000005</v>
      </c>
      <c r="E612" s="124" t="s">
        <v>397</v>
      </c>
      <c r="F612" s="124" t="s">
        <v>27</v>
      </c>
    </row>
    <row r="613" spans="1:6" ht="12.75" customHeight="1">
      <c r="A613" s="126">
        <v>46147</v>
      </c>
      <c r="B613" s="526" t="s">
        <v>502</v>
      </c>
      <c r="C613" s="527" t="s">
        <v>1661</v>
      </c>
      <c r="D613" s="134">
        <v>851.8</v>
      </c>
      <c r="E613" s="124" t="s">
        <v>397</v>
      </c>
      <c r="F613" s="124" t="s">
        <v>27</v>
      </c>
    </row>
    <row r="614" spans="1:6" ht="12.75" customHeight="1">
      <c r="A614" s="126">
        <v>46148</v>
      </c>
      <c r="B614" s="526" t="s">
        <v>1641</v>
      </c>
      <c r="C614" s="527" t="s">
        <v>1662</v>
      </c>
      <c r="D614" s="134">
        <v>468.63</v>
      </c>
      <c r="E614" s="124" t="s">
        <v>397</v>
      </c>
      <c r="F614" s="124" t="s">
        <v>27</v>
      </c>
    </row>
    <row r="615" spans="1:6" ht="12.75" customHeight="1">
      <c r="A615" s="126">
        <v>46148</v>
      </c>
      <c r="B615" s="526" t="s">
        <v>418</v>
      </c>
      <c r="C615" s="527" t="s">
        <v>1663</v>
      </c>
      <c r="D615" s="134">
        <v>755.2</v>
      </c>
      <c r="E615" s="124" t="s">
        <v>397</v>
      </c>
      <c r="F615" s="124" t="s">
        <v>27</v>
      </c>
    </row>
    <row r="616" spans="1:6" ht="12.75" customHeight="1">
      <c r="A616" s="126">
        <v>46148</v>
      </c>
      <c r="B616" s="526" t="s">
        <v>728</v>
      </c>
      <c r="C616" s="527" t="s">
        <v>1664</v>
      </c>
      <c r="D616" s="134">
        <v>430.14</v>
      </c>
      <c r="E616" s="124" t="s">
        <v>397</v>
      </c>
      <c r="F616" s="124" t="s">
        <v>27</v>
      </c>
    </row>
    <row r="617" spans="1:6" ht="12.75" customHeight="1">
      <c r="A617" s="126">
        <v>46148</v>
      </c>
      <c r="B617" s="526" t="s">
        <v>1665</v>
      </c>
      <c r="C617" s="527">
        <v>12580</v>
      </c>
      <c r="D617" s="134">
        <v>98.5</v>
      </c>
      <c r="E617" s="124" t="s">
        <v>397</v>
      </c>
      <c r="F617" s="124" t="s">
        <v>27</v>
      </c>
    </row>
    <row r="618" spans="1:6" ht="12.75" customHeight="1">
      <c r="A618" s="126">
        <v>46149</v>
      </c>
      <c r="B618" s="170" t="s">
        <v>1666</v>
      </c>
      <c r="C618" s="197">
        <v>831</v>
      </c>
      <c r="D618" s="134">
        <v>46.8</v>
      </c>
      <c r="E618" s="124" t="s">
        <v>397</v>
      </c>
      <c r="F618" s="124" t="s">
        <v>27</v>
      </c>
    </row>
    <row r="619" spans="1:6" ht="12.75" customHeight="1">
      <c r="A619" s="126">
        <v>46149</v>
      </c>
      <c r="B619" s="168" t="s">
        <v>246</v>
      </c>
      <c r="C619" s="196" t="s">
        <v>1667</v>
      </c>
      <c r="D619" s="134">
        <v>1540</v>
      </c>
      <c r="E619" s="124" t="s">
        <v>397</v>
      </c>
      <c r="F619" s="124" t="s">
        <v>27</v>
      </c>
    </row>
    <row r="620" spans="1:6" ht="12.75" customHeight="1">
      <c r="A620" s="126">
        <v>46149</v>
      </c>
      <c r="B620" s="170" t="s">
        <v>1668</v>
      </c>
      <c r="C620" s="197" t="s">
        <v>1669</v>
      </c>
      <c r="D620" s="134">
        <v>230</v>
      </c>
      <c r="E620" s="124" t="s">
        <v>397</v>
      </c>
      <c r="F620" s="124" t="s">
        <v>27</v>
      </c>
    </row>
    <row r="621" spans="1:6" ht="12.75" customHeight="1">
      <c r="A621" s="126">
        <v>46149</v>
      </c>
      <c r="B621" s="168" t="s">
        <v>1670</v>
      </c>
      <c r="C621" s="196">
        <v>12566</v>
      </c>
      <c r="D621" s="134">
        <v>66.7</v>
      </c>
      <c r="E621" s="124" t="s">
        <v>397</v>
      </c>
      <c r="F621" s="124" t="s">
        <v>27</v>
      </c>
    </row>
    <row r="622" spans="1:6" ht="12.75" customHeight="1">
      <c r="A622" s="126">
        <v>46149</v>
      </c>
      <c r="B622" s="170" t="s">
        <v>526</v>
      </c>
      <c r="C622" s="197" t="s">
        <v>1671</v>
      </c>
      <c r="D622" s="134">
        <v>255</v>
      </c>
      <c r="E622" s="124" t="s">
        <v>397</v>
      </c>
      <c r="F622" s="124" t="s">
        <v>27</v>
      </c>
    </row>
    <row r="623" spans="1:6" ht="12.75" customHeight="1">
      <c r="A623" s="126">
        <v>46149</v>
      </c>
      <c r="B623" s="528" t="s">
        <v>418</v>
      </c>
      <c r="C623" s="529" t="s">
        <v>1672</v>
      </c>
      <c r="D623" s="134">
        <v>285.39999999999998</v>
      </c>
      <c r="E623" s="124" t="s">
        <v>397</v>
      </c>
      <c r="F623" s="124" t="s">
        <v>27</v>
      </c>
    </row>
    <row r="624" spans="1:6" ht="12.75" customHeight="1">
      <c r="A624" s="126">
        <v>46149</v>
      </c>
      <c r="B624" s="528" t="s">
        <v>672</v>
      </c>
      <c r="C624" s="529" t="s">
        <v>1673</v>
      </c>
      <c r="D624" s="134">
        <v>1058</v>
      </c>
      <c r="E624" s="124" t="s">
        <v>397</v>
      </c>
      <c r="F624" s="124" t="s">
        <v>27</v>
      </c>
    </row>
    <row r="625" spans="1:6" ht="12.75" customHeight="1">
      <c r="A625" s="126">
        <v>46149</v>
      </c>
      <c r="B625" s="528" t="s">
        <v>627</v>
      </c>
      <c r="C625" s="529" t="s">
        <v>1674</v>
      </c>
      <c r="D625" s="134">
        <v>466.7</v>
      </c>
      <c r="E625" s="124" t="s">
        <v>397</v>
      </c>
      <c r="F625" s="124" t="s">
        <v>27</v>
      </c>
    </row>
    <row r="626" spans="1:6" ht="12.75" customHeight="1">
      <c r="A626" s="126">
        <v>46149</v>
      </c>
      <c r="B626" s="528" t="s">
        <v>402</v>
      </c>
      <c r="C626" s="529" t="s">
        <v>1675</v>
      </c>
      <c r="D626" s="134">
        <v>347.73</v>
      </c>
      <c r="E626" s="124" t="s">
        <v>397</v>
      </c>
      <c r="F626" s="124" t="s">
        <v>27</v>
      </c>
    </row>
    <row r="627" spans="1:6" ht="12.75" customHeight="1">
      <c r="A627" s="126">
        <v>46149</v>
      </c>
      <c r="B627" s="528" t="s">
        <v>627</v>
      </c>
      <c r="C627" s="529" t="s">
        <v>1676</v>
      </c>
      <c r="D627" s="134">
        <v>1843.2</v>
      </c>
      <c r="E627" s="124" t="s">
        <v>397</v>
      </c>
      <c r="F627" s="124" t="s">
        <v>27</v>
      </c>
    </row>
    <row r="628" spans="1:6" ht="12.75" customHeight="1">
      <c r="A628" s="126">
        <v>46149</v>
      </c>
      <c r="B628" s="528" t="s">
        <v>493</v>
      </c>
      <c r="C628" s="529" t="s">
        <v>1677</v>
      </c>
      <c r="D628" s="134">
        <v>1880.23</v>
      </c>
      <c r="E628" s="124" t="s">
        <v>397</v>
      </c>
      <c r="F628" s="124" t="s">
        <v>27</v>
      </c>
    </row>
    <row r="629" spans="1:6" ht="12.75" customHeight="1">
      <c r="A629" s="126">
        <v>46149</v>
      </c>
      <c r="B629" s="528" t="s">
        <v>1678</v>
      </c>
      <c r="C629" s="529">
        <v>12459</v>
      </c>
      <c r="D629" s="134">
        <v>665.74</v>
      </c>
      <c r="E629" s="124" t="s">
        <v>397</v>
      </c>
      <c r="F629" s="124" t="s">
        <v>27</v>
      </c>
    </row>
    <row r="630" spans="1:6" ht="12.75" customHeight="1">
      <c r="A630" s="126">
        <v>46150</v>
      </c>
      <c r="B630" s="526" t="s">
        <v>464</v>
      </c>
      <c r="C630" s="527" t="s">
        <v>1679</v>
      </c>
      <c r="D630" s="134">
        <v>775.99</v>
      </c>
      <c r="E630" s="124" t="s">
        <v>397</v>
      </c>
      <c r="F630" s="124" t="s">
        <v>27</v>
      </c>
    </row>
    <row r="631" spans="1:6" ht="12.75" customHeight="1">
      <c r="A631" s="126">
        <v>46150</v>
      </c>
      <c r="B631" s="526" t="s">
        <v>268</v>
      </c>
      <c r="C631" s="527" t="s">
        <v>1680</v>
      </c>
      <c r="D631" s="134">
        <v>860.83</v>
      </c>
      <c r="E631" s="124" t="s">
        <v>397</v>
      </c>
      <c r="F631" s="124" t="s">
        <v>27</v>
      </c>
    </row>
    <row r="632" spans="1:6" ht="12.75" customHeight="1">
      <c r="A632" s="126">
        <v>46150</v>
      </c>
      <c r="B632" s="526" t="s">
        <v>471</v>
      </c>
      <c r="C632" s="527" t="s">
        <v>1681</v>
      </c>
      <c r="D632" s="134">
        <v>559.13</v>
      </c>
      <c r="E632" s="124" t="s">
        <v>397</v>
      </c>
      <c r="F632" s="124" t="s">
        <v>27</v>
      </c>
    </row>
    <row r="633" spans="1:6" ht="12.75" customHeight="1">
      <c r="A633" s="126">
        <v>46150</v>
      </c>
      <c r="B633" s="526" t="s">
        <v>562</v>
      </c>
      <c r="C633" s="527" t="s">
        <v>1682</v>
      </c>
      <c r="D633" s="134">
        <v>3909.78</v>
      </c>
      <c r="E633" s="124" t="s">
        <v>397</v>
      </c>
      <c r="F633" s="124" t="s">
        <v>27</v>
      </c>
    </row>
    <row r="634" spans="1:6" ht="12.75" customHeight="1">
      <c r="A634" s="126">
        <v>46150</v>
      </c>
      <c r="B634" s="526" t="s">
        <v>1683</v>
      </c>
      <c r="C634" s="527" t="s">
        <v>1684</v>
      </c>
      <c r="D634" s="134">
        <v>671.67</v>
      </c>
      <c r="E634" s="124" t="s">
        <v>397</v>
      </c>
      <c r="F634" s="124" t="s">
        <v>27</v>
      </c>
    </row>
    <row r="635" spans="1:6" ht="12.75" customHeight="1">
      <c r="A635" s="126">
        <v>46150</v>
      </c>
      <c r="B635" s="526" t="s">
        <v>562</v>
      </c>
      <c r="C635" s="527" t="s">
        <v>1685</v>
      </c>
      <c r="D635" s="134">
        <v>408</v>
      </c>
      <c r="E635" s="124" t="s">
        <v>397</v>
      </c>
      <c r="F635" s="124" t="s">
        <v>27</v>
      </c>
    </row>
    <row r="636" spans="1:6" ht="12.75" customHeight="1">
      <c r="A636" s="126">
        <v>46150</v>
      </c>
      <c r="B636" s="526" t="s">
        <v>418</v>
      </c>
      <c r="C636" s="527" t="s">
        <v>1686</v>
      </c>
      <c r="D636" s="134">
        <v>237</v>
      </c>
      <c r="E636" s="124" t="s">
        <v>397</v>
      </c>
      <c r="F636" s="124" t="s">
        <v>27</v>
      </c>
    </row>
    <row r="637" spans="1:6" ht="12.75" customHeight="1">
      <c r="A637" s="126">
        <v>46153</v>
      </c>
      <c r="B637" s="526" t="s">
        <v>493</v>
      </c>
      <c r="C637" s="527" t="s">
        <v>1687</v>
      </c>
      <c r="D637" s="134">
        <v>1774.43</v>
      </c>
      <c r="E637" s="124" t="s">
        <v>397</v>
      </c>
      <c r="F637" s="124" t="s">
        <v>27</v>
      </c>
    </row>
    <row r="638" spans="1:6" ht="12.75" customHeight="1">
      <c r="A638" s="126">
        <v>46153</v>
      </c>
      <c r="B638" s="526" t="s">
        <v>965</v>
      </c>
      <c r="C638" s="527" t="s">
        <v>1688</v>
      </c>
      <c r="D638" s="134">
        <v>573.5</v>
      </c>
      <c r="E638" s="124" t="s">
        <v>397</v>
      </c>
      <c r="F638" s="124" t="s">
        <v>27</v>
      </c>
    </row>
    <row r="639" spans="1:6" ht="12.75" customHeight="1">
      <c r="A639" s="126">
        <v>46153</v>
      </c>
      <c r="B639" s="526" t="s">
        <v>483</v>
      </c>
      <c r="C639" s="527" t="s">
        <v>1689</v>
      </c>
      <c r="D639" s="134">
        <v>4732.7700000000004</v>
      </c>
      <c r="E639" s="124" t="s">
        <v>397</v>
      </c>
      <c r="F639" s="124" t="s">
        <v>27</v>
      </c>
    </row>
    <row r="640" spans="1:6" ht="12.75" customHeight="1">
      <c r="A640" s="126">
        <v>46153</v>
      </c>
      <c r="B640" s="526" t="s">
        <v>969</v>
      </c>
      <c r="C640" s="527" t="s">
        <v>1690</v>
      </c>
      <c r="D640" s="134">
        <v>1596.5</v>
      </c>
      <c r="E640" s="124" t="s">
        <v>397</v>
      </c>
      <c r="F640" s="124" t="s">
        <v>27</v>
      </c>
    </row>
    <row r="641" spans="1:6" ht="12.75" customHeight="1">
      <c r="A641" s="126">
        <v>46153</v>
      </c>
      <c r="B641" s="526" t="s">
        <v>398</v>
      </c>
      <c r="C641" s="527" t="s">
        <v>1691</v>
      </c>
      <c r="D641" s="134">
        <v>1163.75</v>
      </c>
      <c r="E641" s="124" t="s">
        <v>397</v>
      </c>
      <c r="F641" s="124" t="s">
        <v>27</v>
      </c>
    </row>
    <row r="642" spans="1:6" ht="12.75" customHeight="1">
      <c r="A642" s="126">
        <v>46153</v>
      </c>
      <c r="B642" s="526" t="s">
        <v>848</v>
      </c>
      <c r="C642" s="527" t="s">
        <v>1692</v>
      </c>
      <c r="D642" s="134">
        <v>296.5</v>
      </c>
      <c r="E642" s="124" t="s">
        <v>397</v>
      </c>
      <c r="F642" s="124" t="s">
        <v>27</v>
      </c>
    </row>
    <row r="643" spans="1:6" ht="12.75" customHeight="1">
      <c r="A643" s="126">
        <v>46153</v>
      </c>
      <c r="B643" s="204" t="s">
        <v>530</v>
      </c>
      <c r="C643" s="205">
        <v>12598</v>
      </c>
      <c r="D643" s="134">
        <v>267.14999999999998</v>
      </c>
      <c r="E643" s="124" t="s">
        <v>397</v>
      </c>
      <c r="F643" s="124" t="s">
        <v>27</v>
      </c>
    </row>
    <row r="644" spans="1:6" ht="12.75" customHeight="1">
      <c r="A644" s="126">
        <v>46154</v>
      </c>
      <c r="B644" s="526" t="s">
        <v>1693</v>
      </c>
      <c r="C644" s="527" t="s">
        <v>1694</v>
      </c>
      <c r="D644" s="134">
        <v>725</v>
      </c>
      <c r="E644" s="124" t="s">
        <v>397</v>
      </c>
      <c r="F644" s="124" t="s">
        <v>27</v>
      </c>
    </row>
    <row r="645" spans="1:6" ht="12.75" customHeight="1">
      <c r="A645" s="126">
        <v>46154</v>
      </c>
      <c r="B645" s="526" t="s">
        <v>1695</v>
      </c>
      <c r="C645" s="527" t="s">
        <v>1696</v>
      </c>
      <c r="D645" s="134">
        <v>390</v>
      </c>
      <c r="E645" s="124" t="s">
        <v>397</v>
      </c>
      <c r="F645" s="124" t="s">
        <v>27</v>
      </c>
    </row>
    <row r="646" spans="1:6" ht="12.75" customHeight="1">
      <c r="A646" s="126">
        <v>46154</v>
      </c>
      <c r="B646" s="526" t="s">
        <v>1697</v>
      </c>
      <c r="C646" s="527" t="s">
        <v>1698</v>
      </c>
      <c r="D646" s="134">
        <v>1437.24</v>
      </c>
      <c r="E646" s="124" t="s">
        <v>397</v>
      </c>
      <c r="F646" s="124" t="s">
        <v>27</v>
      </c>
    </row>
    <row r="647" spans="1:6" ht="12.75" customHeight="1">
      <c r="A647" s="126">
        <v>46154</v>
      </c>
      <c r="B647" s="526" t="s">
        <v>1699</v>
      </c>
      <c r="C647" s="527" t="s">
        <v>1700</v>
      </c>
      <c r="D647" s="134">
        <v>515.66999999999996</v>
      </c>
      <c r="E647" s="124" t="s">
        <v>397</v>
      </c>
      <c r="F647" s="124" t="s">
        <v>27</v>
      </c>
    </row>
    <row r="648" spans="1:6" ht="12.75" customHeight="1">
      <c r="A648" s="126">
        <v>46154</v>
      </c>
      <c r="B648" s="526" t="s">
        <v>1701</v>
      </c>
      <c r="C648" s="527" t="s">
        <v>1702</v>
      </c>
      <c r="D648" s="134">
        <v>471.13</v>
      </c>
      <c r="E648" s="124" t="s">
        <v>397</v>
      </c>
      <c r="F648" s="124" t="s">
        <v>27</v>
      </c>
    </row>
    <row r="649" spans="1:6" ht="12.75" customHeight="1">
      <c r="A649" s="126">
        <v>46154</v>
      </c>
      <c r="B649" s="528" t="s">
        <v>736</v>
      </c>
      <c r="C649" s="529" t="s">
        <v>1703</v>
      </c>
      <c r="D649" s="134">
        <v>324.2</v>
      </c>
      <c r="E649" s="124" t="s">
        <v>397</v>
      </c>
      <c r="F649" s="124" t="s">
        <v>27</v>
      </c>
    </row>
    <row r="650" spans="1:6" ht="12.75" customHeight="1">
      <c r="A650" s="126">
        <v>46154</v>
      </c>
      <c r="B650" s="528" t="s">
        <v>483</v>
      </c>
      <c r="C650" s="529" t="s">
        <v>1704</v>
      </c>
      <c r="D650" s="134">
        <v>1165.5</v>
      </c>
      <c r="E650" s="124" t="s">
        <v>397</v>
      </c>
      <c r="F650" s="124" t="s">
        <v>27</v>
      </c>
    </row>
    <row r="651" spans="1:6" ht="12.75" customHeight="1">
      <c r="A651" s="126">
        <v>46154</v>
      </c>
      <c r="B651" s="528" t="s">
        <v>810</v>
      </c>
      <c r="C651" s="529" t="s">
        <v>1705</v>
      </c>
      <c r="D651" s="134">
        <v>270</v>
      </c>
      <c r="E651" s="124" t="s">
        <v>397</v>
      </c>
      <c r="F651" s="124" t="s">
        <v>27</v>
      </c>
    </row>
    <row r="652" spans="1:6" ht="12.75" customHeight="1">
      <c r="A652" s="126">
        <v>46154</v>
      </c>
      <c r="B652" s="182" t="s">
        <v>1706</v>
      </c>
      <c r="C652" s="206">
        <v>12520</v>
      </c>
      <c r="D652" s="134">
        <v>354.5</v>
      </c>
      <c r="E652" s="124" t="s">
        <v>397</v>
      </c>
      <c r="F652" s="124" t="s">
        <v>27</v>
      </c>
    </row>
    <row r="653" spans="1:6" ht="12.75" customHeight="1">
      <c r="A653" s="126">
        <v>46155</v>
      </c>
      <c r="B653" s="526" t="s">
        <v>402</v>
      </c>
      <c r="C653" s="527" t="s">
        <v>1707</v>
      </c>
      <c r="D653" s="134">
        <v>255.4</v>
      </c>
      <c r="E653" s="124" t="s">
        <v>397</v>
      </c>
      <c r="F653" s="124" t="s">
        <v>27</v>
      </c>
    </row>
    <row r="654" spans="1:6" ht="12.75" customHeight="1">
      <c r="A654" s="126">
        <v>46155</v>
      </c>
      <c r="B654" s="526" t="s">
        <v>497</v>
      </c>
      <c r="C654" s="527" t="s">
        <v>1708</v>
      </c>
      <c r="D654" s="134">
        <v>1214.55</v>
      </c>
      <c r="E654" s="124" t="s">
        <v>397</v>
      </c>
      <c r="F654" s="124" t="s">
        <v>27</v>
      </c>
    </row>
    <row r="655" spans="1:6" ht="12.75" customHeight="1">
      <c r="A655" s="126">
        <v>46155</v>
      </c>
      <c r="B655" s="526" t="s">
        <v>497</v>
      </c>
      <c r="C655" s="527" t="s">
        <v>1709</v>
      </c>
      <c r="D655" s="134">
        <v>1643.87</v>
      </c>
      <c r="E655" s="124" t="s">
        <v>397</v>
      </c>
      <c r="F655" s="124" t="s">
        <v>27</v>
      </c>
    </row>
    <row r="656" spans="1:6" ht="12.75" customHeight="1">
      <c r="A656" s="126">
        <v>46155</v>
      </c>
      <c r="B656" s="526" t="s">
        <v>728</v>
      </c>
      <c r="C656" s="527" t="s">
        <v>1710</v>
      </c>
      <c r="D656" s="134">
        <v>430.13</v>
      </c>
      <c r="E656" s="124" t="s">
        <v>397</v>
      </c>
      <c r="F656" s="124" t="s">
        <v>27</v>
      </c>
    </row>
    <row r="657" spans="1:6" ht="12.75" customHeight="1">
      <c r="A657" s="126">
        <v>46155</v>
      </c>
      <c r="B657" s="526" t="s">
        <v>398</v>
      </c>
      <c r="C657" s="527" t="s">
        <v>1711</v>
      </c>
      <c r="D657" s="134">
        <v>3500</v>
      </c>
      <c r="E657" s="124" t="s">
        <v>397</v>
      </c>
      <c r="F657" s="124" t="s">
        <v>27</v>
      </c>
    </row>
    <row r="658" spans="1:6" ht="12.75" customHeight="1">
      <c r="A658" s="126">
        <v>46155</v>
      </c>
      <c r="B658" s="526" t="s">
        <v>460</v>
      </c>
      <c r="C658" s="527" t="s">
        <v>1712</v>
      </c>
      <c r="D658" s="134">
        <v>360</v>
      </c>
      <c r="E658" s="124" t="s">
        <v>397</v>
      </c>
      <c r="F658" s="124" t="s">
        <v>27</v>
      </c>
    </row>
    <row r="659" spans="1:6" ht="12.75" customHeight="1">
      <c r="A659" s="126">
        <v>46155</v>
      </c>
      <c r="B659" s="526" t="s">
        <v>502</v>
      </c>
      <c r="C659" s="527" t="s">
        <v>1713</v>
      </c>
      <c r="D659" s="134">
        <v>598.57000000000005</v>
      </c>
      <c r="E659" s="124" t="s">
        <v>397</v>
      </c>
      <c r="F659" s="124" t="s">
        <v>27</v>
      </c>
    </row>
    <row r="660" spans="1:6" ht="12.75" customHeight="1">
      <c r="A660" s="126">
        <v>46155</v>
      </c>
      <c r="B660" s="526" t="s">
        <v>398</v>
      </c>
      <c r="C660" s="527" t="s">
        <v>1714</v>
      </c>
      <c r="D660" s="134">
        <v>551.76</v>
      </c>
      <c r="E660" s="124" t="s">
        <v>397</v>
      </c>
      <c r="F660" s="124" t="s">
        <v>27</v>
      </c>
    </row>
    <row r="661" spans="1:6" ht="12.75" customHeight="1">
      <c r="A661" s="126">
        <v>46155</v>
      </c>
      <c r="B661" s="526" t="s">
        <v>398</v>
      </c>
      <c r="C661" s="527" t="s">
        <v>1715</v>
      </c>
      <c r="D661" s="134">
        <v>733.34</v>
      </c>
      <c r="E661" s="124" t="s">
        <v>397</v>
      </c>
      <c r="F661" s="124" t="s">
        <v>27</v>
      </c>
    </row>
    <row r="662" spans="1:6" ht="12.75" customHeight="1">
      <c r="A662" s="126">
        <v>46155</v>
      </c>
      <c r="B662" s="526" t="s">
        <v>409</v>
      </c>
      <c r="C662" s="527" t="s">
        <v>1716</v>
      </c>
      <c r="D662" s="134">
        <v>145.66999999999999</v>
      </c>
      <c r="E662" s="124" t="s">
        <v>397</v>
      </c>
      <c r="F662" s="124" t="s">
        <v>27</v>
      </c>
    </row>
    <row r="663" spans="1:6" ht="12.75" customHeight="1">
      <c r="A663" s="126">
        <v>46155</v>
      </c>
      <c r="B663" s="526" t="s">
        <v>506</v>
      </c>
      <c r="C663" s="527" t="s">
        <v>1717</v>
      </c>
      <c r="D663" s="134">
        <v>260</v>
      </c>
      <c r="E663" s="124" t="s">
        <v>397</v>
      </c>
      <c r="F663" s="124" t="s">
        <v>27</v>
      </c>
    </row>
    <row r="664" spans="1:6" ht="12.75" customHeight="1">
      <c r="A664" s="126">
        <v>46156</v>
      </c>
      <c r="B664" s="184" t="s">
        <v>246</v>
      </c>
      <c r="C664" s="203">
        <v>12451</v>
      </c>
      <c r="D664" s="134">
        <v>500</v>
      </c>
      <c r="E664" s="124" t="s">
        <v>397</v>
      </c>
      <c r="F664" s="124" t="s">
        <v>27</v>
      </c>
    </row>
    <row r="665" spans="1:6" ht="12.75" customHeight="1">
      <c r="A665" s="126">
        <v>46156</v>
      </c>
      <c r="B665" s="526" t="s">
        <v>627</v>
      </c>
      <c r="C665" s="527" t="s">
        <v>1718</v>
      </c>
      <c r="D665" s="134">
        <v>1843.2</v>
      </c>
      <c r="E665" s="124" t="s">
        <v>397</v>
      </c>
      <c r="F665" s="124" t="s">
        <v>27</v>
      </c>
    </row>
    <row r="666" spans="1:6" ht="12.75" customHeight="1">
      <c r="A666" s="126">
        <v>46156</v>
      </c>
      <c r="B666" s="526" t="s">
        <v>1719</v>
      </c>
      <c r="C666" s="527" t="s">
        <v>1720</v>
      </c>
      <c r="D666" s="134">
        <v>736</v>
      </c>
      <c r="E666" s="124" t="s">
        <v>397</v>
      </c>
      <c r="F666" s="124" t="s">
        <v>27</v>
      </c>
    </row>
    <row r="667" spans="1:6" ht="12.75" customHeight="1">
      <c r="A667" s="126">
        <v>46156</v>
      </c>
      <c r="B667" s="526" t="s">
        <v>402</v>
      </c>
      <c r="C667" s="527" t="s">
        <v>1721</v>
      </c>
      <c r="D667" s="134">
        <v>347.73</v>
      </c>
      <c r="E667" s="124" t="s">
        <v>397</v>
      </c>
      <c r="F667" s="124" t="s">
        <v>27</v>
      </c>
    </row>
    <row r="668" spans="1:6" ht="12.75" customHeight="1">
      <c r="A668" s="126">
        <v>46156</v>
      </c>
      <c r="B668" s="526" t="s">
        <v>1722</v>
      </c>
      <c r="C668" s="527" t="s">
        <v>1723</v>
      </c>
      <c r="D668" s="134">
        <v>528.20000000000005</v>
      </c>
      <c r="E668" s="124" t="s">
        <v>397</v>
      </c>
      <c r="F668" s="124" t="s">
        <v>27</v>
      </c>
    </row>
    <row r="669" spans="1:6" ht="12.75" customHeight="1">
      <c r="A669" s="126">
        <v>46156</v>
      </c>
      <c r="B669" s="526" t="s">
        <v>460</v>
      </c>
      <c r="C669" s="527" t="s">
        <v>1724</v>
      </c>
      <c r="D669" s="134">
        <v>708.75</v>
      </c>
      <c r="E669" s="124" t="s">
        <v>397</v>
      </c>
      <c r="F669" s="124" t="s">
        <v>27</v>
      </c>
    </row>
    <row r="670" spans="1:6" ht="12.75" customHeight="1">
      <c r="A670" s="126">
        <v>46156</v>
      </c>
      <c r="B670" s="526" t="s">
        <v>414</v>
      </c>
      <c r="C670" s="527" t="s">
        <v>1725</v>
      </c>
      <c r="D670" s="134">
        <v>844.26</v>
      </c>
      <c r="E670" s="124" t="s">
        <v>397</v>
      </c>
      <c r="F670" s="124" t="s">
        <v>27</v>
      </c>
    </row>
    <row r="671" spans="1:6" ht="12.75" customHeight="1">
      <c r="A671" s="126">
        <v>46156</v>
      </c>
      <c r="B671" s="526" t="s">
        <v>576</v>
      </c>
      <c r="C671" s="527" t="s">
        <v>1726</v>
      </c>
      <c r="D671" s="134">
        <v>1017</v>
      </c>
      <c r="E671" s="124" t="s">
        <v>397</v>
      </c>
      <c r="F671" s="124" t="s">
        <v>27</v>
      </c>
    </row>
    <row r="672" spans="1:6" ht="12.75" customHeight="1">
      <c r="A672" s="126">
        <v>46156</v>
      </c>
      <c r="B672" s="526" t="s">
        <v>418</v>
      </c>
      <c r="C672" s="527" t="s">
        <v>1727</v>
      </c>
      <c r="D672" s="134">
        <v>95</v>
      </c>
      <c r="E672" s="124" t="s">
        <v>397</v>
      </c>
      <c r="F672" s="124" t="s">
        <v>27</v>
      </c>
    </row>
    <row r="673" spans="1:6" ht="12.75" customHeight="1">
      <c r="A673" s="126">
        <v>46157</v>
      </c>
      <c r="B673" s="526" t="s">
        <v>481</v>
      </c>
      <c r="C673" s="527" t="s">
        <v>1728</v>
      </c>
      <c r="D673" s="134">
        <v>582.48</v>
      </c>
      <c r="E673" s="124" t="s">
        <v>397</v>
      </c>
      <c r="F673" s="124" t="s">
        <v>27</v>
      </c>
    </row>
    <row r="674" spans="1:6" ht="12.75" customHeight="1">
      <c r="A674" s="126">
        <v>46157</v>
      </c>
      <c r="B674" s="526" t="s">
        <v>693</v>
      </c>
      <c r="C674" s="527" t="s">
        <v>1729</v>
      </c>
      <c r="D674" s="134">
        <v>1774.6</v>
      </c>
      <c r="E674" s="124" t="s">
        <v>397</v>
      </c>
      <c r="F674" s="124" t="s">
        <v>27</v>
      </c>
    </row>
    <row r="675" spans="1:6" ht="12.75" customHeight="1">
      <c r="A675" s="126">
        <v>46157</v>
      </c>
      <c r="B675" s="526" t="s">
        <v>1730</v>
      </c>
      <c r="C675" s="527" t="s">
        <v>1731</v>
      </c>
      <c r="D675" s="134">
        <v>1307.6300000000001</v>
      </c>
      <c r="E675" s="124" t="s">
        <v>397</v>
      </c>
      <c r="F675" s="124" t="s">
        <v>27</v>
      </c>
    </row>
    <row r="676" spans="1:6" ht="12.75" customHeight="1">
      <c r="A676" s="126">
        <v>46157</v>
      </c>
      <c r="B676" s="526" t="s">
        <v>1683</v>
      </c>
      <c r="C676" s="527" t="s">
        <v>1732</v>
      </c>
      <c r="D676" s="134">
        <v>671.68</v>
      </c>
      <c r="E676" s="124" t="s">
        <v>397</v>
      </c>
      <c r="F676" s="124" t="s">
        <v>27</v>
      </c>
    </row>
    <row r="677" spans="1:6" ht="12.75" customHeight="1">
      <c r="A677" s="126">
        <v>46157</v>
      </c>
      <c r="B677" s="526" t="s">
        <v>1733</v>
      </c>
      <c r="C677" s="527" t="s">
        <v>1734</v>
      </c>
      <c r="D677" s="134">
        <v>586</v>
      </c>
      <c r="E677" s="124" t="s">
        <v>397</v>
      </c>
      <c r="F677" s="124" t="s">
        <v>27</v>
      </c>
    </row>
    <row r="678" spans="1:6" ht="12.75" customHeight="1">
      <c r="A678" s="126">
        <v>46157</v>
      </c>
      <c r="B678" s="526" t="s">
        <v>1735</v>
      </c>
      <c r="C678" s="527" t="s">
        <v>1736</v>
      </c>
      <c r="D678" s="134">
        <v>509.2</v>
      </c>
      <c r="E678" s="124" t="s">
        <v>397</v>
      </c>
      <c r="F678" s="124" t="s">
        <v>27</v>
      </c>
    </row>
    <row r="679" spans="1:6" ht="12.75" customHeight="1">
      <c r="A679" s="126">
        <v>46157</v>
      </c>
      <c r="B679" s="526" t="s">
        <v>418</v>
      </c>
      <c r="C679" s="527" t="s">
        <v>1737</v>
      </c>
      <c r="D679" s="134">
        <v>5545.98</v>
      </c>
      <c r="E679" s="124" t="s">
        <v>397</v>
      </c>
      <c r="F679" s="124" t="s">
        <v>27</v>
      </c>
    </row>
    <row r="680" spans="1:6" ht="12.75" customHeight="1">
      <c r="A680" s="126">
        <v>46160</v>
      </c>
      <c r="B680" s="526" t="s">
        <v>1738</v>
      </c>
      <c r="C680" s="527">
        <v>12645</v>
      </c>
      <c r="D680" s="134">
        <v>77.2</v>
      </c>
      <c r="E680" s="124" t="s">
        <v>397</v>
      </c>
      <c r="F680" s="124" t="s">
        <v>27</v>
      </c>
    </row>
    <row r="681" spans="1:6" ht="12.75" customHeight="1">
      <c r="A681" s="126">
        <v>46160</v>
      </c>
      <c r="B681" s="528" t="s">
        <v>728</v>
      </c>
      <c r="C681" s="529" t="s">
        <v>1739</v>
      </c>
      <c r="D681" s="134">
        <v>1080.02</v>
      </c>
      <c r="E681" s="124" t="s">
        <v>397</v>
      </c>
      <c r="F681" s="124" t="s">
        <v>27</v>
      </c>
    </row>
    <row r="682" spans="1:6" ht="12.75" customHeight="1">
      <c r="A682" s="126">
        <v>46160</v>
      </c>
      <c r="B682" s="528" t="s">
        <v>969</v>
      </c>
      <c r="C682" s="529" t="s">
        <v>1740</v>
      </c>
      <c r="D682" s="134">
        <v>3729</v>
      </c>
      <c r="E682" s="124" t="s">
        <v>397</v>
      </c>
      <c r="F682" s="124" t="s">
        <v>27</v>
      </c>
    </row>
    <row r="683" spans="1:6" ht="12.75" customHeight="1">
      <c r="A683" s="126">
        <v>46160</v>
      </c>
      <c r="B683" s="528" t="s">
        <v>908</v>
      </c>
      <c r="C683" s="529" t="s">
        <v>1741</v>
      </c>
      <c r="D683" s="134">
        <v>1044.25</v>
      </c>
      <c r="E683" s="124" t="s">
        <v>397</v>
      </c>
      <c r="F683" s="124" t="s">
        <v>27</v>
      </c>
    </row>
    <row r="684" spans="1:6" ht="12.75" customHeight="1">
      <c r="A684" s="126">
        <v>46160</v>
      </c>
      <c r="B684" s="528" t="s">
        <v>969</v>
      </c>
      <c r="C684" s="529" t="s">
        <v>1742</v>
      </c>
      <c r="D684" s="134">
        <v>1643.75</v>
      </c>
      <c r="E684" s="124" t="s">
        <v>397</v>
      </c>
      <c r="F684" s="124" t="s">
        <v>27</v>
      </c>
    </row>
    <row r="685" spans="1:6" ht="12.75" customHeight="1">
      <c r="A685" s="126">
        <v>46160</v>
      </c>
      <c r="B685" s="528" t="s">
        <v>464</v>
      </c>
      <c r="C685" s="529" t="s">
        <v>1743</v>
      </c>
      <c r="D685" s="134">
        <v>815.51</v>
      </c>
      <c r="E685" s="124" t="s">
        <v>397</v>
      </c>
      <c r="F685" s="124" t="s">
        <v>27</v>
      </c>
    </row>
    <row r="686" spans="1:6" ht="12.75" customHeight="1">
      <c r="A686" s="126">
        <v>46160</v>
      </c>
      <c r="B686" s="528" t="s">
        <v>464</v>
      </c>
      <c r="C686" s="529" t="s">
        <v>1744</v>
      </c>
      <c r="D686" s="134">
        <v>679.74</v>
      </c>
      <c r="E686" s="124" t="s">
        <v>397</v>
      </c>
      <c r="F686" s="124" t="s">
        <v>27</v>
      </c>
    </row>
    <row r="687" spans="1:6" ht="12.75" customHeight="1">
      <c r="A687" s="126">
        <v>46160</v>
      </c>
      <c r="B687" s="528" t="s">
        <v>464</v>
      </c>
      <c r="C687" s="529" t="s">
        <v>1745</v>
      </c>
      <c r="D687" s="134">
        <v>771.05</v>
      </c>
      <c r="E687" s="124" t="s">
        <v>397</v>
      </c>
      <c r="F687" s="124" t="s">
        <v>27</v>
      </c>
    </row>
    <row r="688" spans="1:6" ht="12.75" customHeight="1">
      <c r="A688" s="126">
        <v>46160</v>
      </c>
      <c r="B688" s="528" t="s">
        <v>402</v>
      </c>
      <c r="C688" s="529" t="s">
        <v>1746</v>
      </c>
      <c r="D688" s="134">
        <v>1205</v>
      </c>
      <c r="E688" s="124" t="s">
        <v>397</v>
      </c>
      <c r="F688" s="124" t="s">
        <v>27</v>
      </c>
    </row>
    <row r="689" spans="1:6" ht="12.75" customHeight="1">
      <c r="A689" s="126">
        <v>46161</v>
      </c>
      <c r="B689" s="528" t="s">
        <v>398</v>
      </c>
      <c r="C689" s="529" t="s">
        <v>1747</v>
      </c>
      <c r="D689" s="134">
        <v>1861.83</v>
      </c>
      <c r="E689" s="124" t="s">
        <v>397</v>
      </c>
      <c r="F689" s="124" t="s">
        <v>27</v>
      </c>
    </row>
    <row r="690" spans="1:6" ht="12.75" customHeight="1">
      <c r="A690" s="126">
        <v>46161</v>
      </c>
      <c r="B690" s="528" t="s">
        <v>689</v>
      </c>
      <c r="C690" s="529" t="s">
        <v>1748</v>
      </c>
      <c r="D690" s="134">
        <v>515.66999999999996</v>
      </c>
      <c r="E690" s="124" t="s">
        <v>397</v>
      </c>
      <c r="F690" s="124" t="s">
        <v>27</v>
      </c>
    </row>
    <row r="691" spans="1:6" ht="12.75" customHeight="1">
      <c r="A691" s="126">
        <v>46161</v>
      </c>
      <c r="B691" s="528" t="s">
        <v>620</v>
      </c>
      <c r="C691" s="529" t="s">
        <v>1749</v>
      </c>
      <c r="D691" s="134">
        <v>371</v>
      </c>
      <c r="E691" s="124" t="s">
        <v>397</v>
      </c>
      <c r="F691" s="124" t="s">
        <v>27</v>
      </c>
    </row>
    <row r="692" spans="1:6" ht="12.75" customHeight="1">
      <c r="A692" s="126">
        <v>46161</v>
      </c>
      <c r="B692" s="182" t="s">
        <v>1750</v>
      </c>
      <c r="C692" s="206">
        <v>12626</v>
      </c>
      <c r="D692" s="134">
        <v>129.5</v>
      </c>
      <c r="E692" s="124" t="s">
        <v>397</v>
      </c>
      <c r="F692" s="124" t="s">
        <v>27</v>
      </c>
    </row>
    <row r="693" spans="1:6" ht="12.75" customHeight="1">
      <c r="A693" s="126">
        <v>46161</v>
      </c>
      <c r="B693" s="184" t="s">
        <v>253</v>
      </c>
      <c r="C693" s="203">
        <v>12643</v>
      </c>
      <c r="D693" s="134">
        <v>2021</v>
      </c>
      <c r="E693" s="124" t="s">
        <v>397</v>
      </c>
      <c r="F693" s="124" t="s">
        <v>27</v>
      </c>
    </row>
    <row r="694" spans="1:6" ht="12.75" customHeight="1">
      <c r="A694" s="126">
        <v>46161</v>
      </c>
      <c r="B694" s="182" t="s">
        <v>514</v>
      </c>
      <c r="C694" s="206">
        <v>12569</v>
      </c>
      <c r="D694" s="134">
        <v>488</v>
      </c>
      <c r="E694" s="124" t="s">
        <v>397</v>
      </c>
      <c r="F694" s="124" t="s">
        <v>27</v>
      </c>
    </row>
    <row r="695" spans="1:6" ht="12.75" customHeight="1">
      <c r="A695" s="126">
        <v>46162</v>
      </c>
      <c r="B695" s="528" t="s">
        <v>412</v>
      </c>
      <c r="C695" s="529" t="s">
        <v>1751</v>
      </c>
      <c r="D695" s="134">
        <v>677.5</v>
      </c>
      <c r="E695" s="124" t="s">
        <v>397</v>
      </c>
      <c r="F695" s="124" t="s">
        <v>27</v>
      </c>
    </row>
    <row r="696" spans="1:6" ht="12.75" customHeight="1">
      <c r="A696" s="126">
        <v>46162</v>
      </c>
      <c r="B696" s="528" t="s">
        <v>398</v>
      </c>
      <c r="C696" s="529" t="s">
        <v>1752</v>
      </c>
      <c r="D696" s="134">
        <v>551.77</v>
      </c>
      <c r="E696" s="124" t="s">
        <v>397</v>
      </c>
      <c r="F696" s="124" t="s">
        <v>27</v>
      </c>
    </row>
    <row r="697" spans="1:6" ht="12.75" customHeight="1">
      <c r="A697" s="126">
        <v>46162</v>
      </c>
      <c r="B697" s="528" t="s">
        <v>398</v>
      </c>
      <c r="C697" s="529" t="s">
        <v>1753</v>
      </c>
      <c r="D697" s="134">
        <v>733.33</v>
      </c>
      <c r="E697" s="124" t="s">
        <v>397</v>
      </c>
      <c r="F697" s="124" t="s">
        <v>27</v>
      </c>
    </row>
    <row r="698" spans="1:6" ht="12.75" customHeight="1">
      <c r="A698" s="126">
        <v>46162</v>
      </c>
      <c r="B698" s="184" t="s">
        <v>728</v>
      </c>
      <c r="C698" s="203">
        <v>12460</v>
      </c>
      <c r="D698" s="134">
        <v>430.13</v>
      </c>
      <c r="E698" s="124" t="s">
        <v>397</v>
      </c>
      <c r="F698" s="124" t="s">
        <v>27</v>
      </c>
    </row>
    <row r="699" spans="1:6" ht="12.75" customHeight="1">
      <c r="A699" s="126">
        <v>46163</v>
      </c>
      <c r="B699" s="182" t="s">
        <v>409</v>
      </c>
      <c r="C699" s="206">
        <v>12526</v>
      </c>
      <c r="D699" s="134">
        <v>95</v>
      </c>
      <c r="E699" s="124" t="s">
        <v>397</v>
      </c>
      <c r="F699" s="124" t="s">
        <v>27</v>
      </c>
    </row>
    <row r="700" spans="1:6" ht="12.75" customHeight="1">
      <c r="A700" s="126">
        <v>46163</v>
      </c>
      <c r="B700" s="184" t="s">
        <v>620</v>
      </c>
      <c r="C700" s="203">
        <v>12523</v>
      </c>
      <c r="D700" s="134">
        <v>371</v>
      </c>
      <c r="E700" s="124" t="s">
        <v>397</v>
      </c>
      <c r="F700" s="124" t="s">
        <v>27</v>
      </c>
    </row>
    <row r="701" spans="1:6" ht="12.75" customHeight="1">
      <c r="A701" s="126">
        <v>46163</v>
      </c>
      <c r="B701" s="128" t="s">
        <v>1754</v>
      </c>
      <c r="C701" s="195">
        <v>12521</v>
      </c>
      <c r="D701" s="134">
        <v>443</v>
      </c>
      <c r="E701" s="124" t="s">
        <v>397</v>
      </c>
      <c r="F701" s="124" t="s">
        <v>27</v>
      </c>
    </row>
    <row r="702" spans="1:6" ht="12.75" customHeight="1">
      <c r="A702" s="126">
        <v>46163</v>
      </c>
      <c r="B702" s="128" t="s">
        <v>414</v>
      </c>
      <c r="C702" s="195">
        <v>12506</v>
      </c>
      <c r="D702" s="134">
        <v>844.27</v>
      </c>
      <c r="E702" s="124" t="s">
        <v>397</v>
      </c>
      <c r="F702" s="124" t="s">
        <v>27</v>
      </c>
    </row>
    <row r="703" spans="1:6" ht="12.75" customHeight="1">
      <c r="A703" s="126">
        <v>46163</v>
      </c>
      <c r="B703" s="128" t="s">
        <v>460</v>
      </c>
      <c r="C703" s="195">
        <v>12503</v>
      </c>
      <c r="D703" s="134">
        <v>708.75</v>
      </c>
      <c r="E703" s="124" t="s">
        <v>397</v>
      </c>
      <c r="F703" s="124" t="s">
        <v>27</v>
      </c>
    </row>
    <row r="704" spans="1:6" ht="12.75" customHeight="1">
      <c r="A704" s="126">
        <v>46163</v>
      </c>
      <c r="B704" s="184" t="s">
        <v>627</v>
      </c>
      <c r="C704" s="203">
        <v>12385</v>
      </c>
      <c r="D704" s="134">
        <v>1843.2</v>
      </c>
      <c r="E704" s="124" t="s">
        <v>397</v>
      </c>
      <c r="F704" s="124" t="s">
        <v>27</v>
      </c>
    </row>
    <row r="705" spans="1:6" ht="12.75" customHeight="1">
      <c r="A705" s="126">
        <v>46164</v>
      </c>
      <c r="B705" s="182" t="s">
        <v>514</v>
      </c>
      <c r="C705" s="206">
        <v>12570</v>
      </c>
      <c r="D705" s="134">
        <v>160</v>
      </c>
      <c r="E705" s="124" t="s">
        <v>397</v>
      </c>
      <c r="F705" s="124" t="s">
        <v>27</v>
      </c>
    </row>
    <row r="706" spans="1:6" ht="12.75" customHeight="1">
      <c r="A706" s="126">
        <v>46164</v>
      </c>
      <c r="B706" s="184" t="s">
        <v>1735</v>
      </c>
      <c r="C706" s="203">
        <v>12653</v>
      </c>
      <c r="D706" s="134">
        <v>56</v>
      </c>
      <c r="E706" s="124" t="s">
        <v>397</v>
      </c>
      <c r="F706" s="124" t="s">
        <v>27</v>
      </c>
    </row>
    <row r="707" spans="1:6" ht="12.75" customHeight="1">
      <c r="A707" s="126">
        <v>46164</v>
      </c>
      <c r="B707" s="182" t="s">
        <v>1755</v>
      </c>
      <c r="C707" s="206">
        <v>12681</v>
      </c>
      <c r="D707" s="134">
        <v>70</v>
      </c>
      <c r="E707" s="124" t="s">
        <v>397</v>
      </c>
      <c r="F707" s="124" t="s">
        <v>27</v>
      </c>
    </row>
    <row r="708" spans="1:6" ht="12.75" customHeight="1">
      <c r="A708" s="126">
        <v>46164</v>
      </c>
      <c r="B708" s="184" t="s">
        <v>1756</v>
      </c>
      <c r="C708" s="203">
        <v>12533</v>
      </c>
      <c r="D708" s="134">
        <v>803.5</v>
      </c>
      <c r="E708" s="124" t="s">
        <v>397</v>
      </c>
      <c r="F708" s="124" t="s">
        <v>27</v>
      </c>
    </row>
    <row r="709" spans="1:6" ht="12.75" customHeight="1">
      <c r="A709" s="126">
        <v>46164</v>
      </c>
      <c r="B709" s="168" t="s">
        <v>519</v>
      </c>
      <c r="C709" s="196">
        <v>12532</v>
      </c>
      <c r="D709" s="134">
        <v>416.34</v>
      </c>
      <c r="E709" s="124" t="s">
        <v>397</v>
      </c>
      <c r="F709" s="124" t="s">
        <v>27</v>
      </c>
    </row>
    <row r="710" spans="1:6" ht="12.75" customHeight="1">
      <c r="A710" s="126">
        <v>46164</v>
      </c>
      <c r="B710" s="170" t="s">
        <v>837</v>
      </c>
      <c r="C710" s="197">
        <v>12531</v>
      </c>
      <c r="D710" s="134">
        <v>557</v>
      </c>
      <c r="E710" s="124" t="s">
        <v>397</v>
      </c>
      <c r="F710" s="124" t="s">
        <v>27</v>
      </c>
    </row>
    <row r="711" spans="1:6" ht="12.75" customHeight="1">
      <c r="A711" s="126">
        <v>46164</v>
      </c>
      <c r="B711" s="128" t="s">
        <v>672</v>
      </c>
      <c r="C711" s="195">
        <v>12530</v>
      </c>
      <c r="D711" s="134">
        <v>295.60000000000002</v>
      </c>
      <c r="E711" s="124" t="s">
        <v>397</v>
      </c>
      <c r="F711" s="124" t="s">
        <v>27</v>
      </c>
    </row>
    <row r="712" spans="1:6" ht="12.75" customHeight="1">
      <c r="A712" s="126">
        <v>46164</v>
      </c>
      <c r="B712" s="170" t="s">
        <v>398</v>
      </c>
      <c r="C712" s="197">
        <v>12529</v>
      </c>
      <c r="D712" s="134">
        <v>584</v>
      </c>
      <c r="E712" s="124" t="s">
        <v>397</v>
      </c>
      <c r="F712" s="124" t="s">
        <v>27</v>
      </c>
    </row>
    <row r="713" spans="1:6" ht="12.75" customHeight="1">
      <c r="A713" s="126">
        <v>46164</v>
      </c>
      <c r="B713" s="128" t="s">
        <v>627</v>
      </c>
      <c r="C713" s="195">
        <v>12527</v>
      </c>
      <c r="D713" s="134">
        <v>844.92</v>
      </c>
      <c r="E713" s="124" t="s">
        <v>397</v>
      </c>
      <c r="F713" s="124" t="s">
        <v>27</v>
      </c>
    </row>
    <row r="714" spans="1:6" ht="12.75" customHeight="1">
      <c r="A714" s="126">
        <v>46167</v>
      </c>
      <c r="B714" s="182" t="s">
        <v>497</v>
      </c>
      <c r="C714" s="206">
        <v>12452</v>
      </c>
      <c r="D714" s="134">
        <v>1171.78</v>
      </c>
      <c r="E714" s="124" t="s">
        <v>397</v>
      </c>
      <c r="F714" s="124" t="s">
        <v>27</v>
      </c>
    </row>
    <row r="715" spans="1:6" ht="12.75" customHeight="1">
      <c r="A715" s="126">
        <v>46167</v>
      </c>
      <c r="B715" s="184" t="s">
        <v>530</v>
      </c>
      <c r="C715" s="203">
        <v>12664</v>
      </c>
      <c r="D715" s="134">
        <v>214.8</v>
      </c>
      <c r="E715" s="124" t="s">
        <v>397</v>
      </c>
      <c r="F715" s="124" t="s">
        <v>27</v>
      </c>
    </row>
    <row r="716" spans="1:6" ht="12.75" customHeight="1">
      <c r="A716" s="126">
        <v>46167</v>
      </c>
      <c r="B716" s="182" t="s">
        <v>824</v>
      </c>
      <c r="C716" s="206">
        <v>12694</v>
      </c>
      <c r="D716" s="134">
        <v>1418</v>
      </c>
      <c r="E716" s="124" t="s">
        <v>397</v>
      </c>
      <c r="F716" s="124" t="s">
        <v>27</v>
      </c>
    </row>
    <row r="717" spans="1:6" ht="12.75" customHeight="1">
      <c r="A717" s="126">
        <v>46167</v>
      </c>
      <c r="B717" s="184" t="s">
        <v>919</v>
      </c>
      <c r="C717" s="203">
        <v>12686</v>
      </c>
      <c r="D717" s="134">
        <v>170</v>
      </c>
      <c r="E717" s="124" t="s">
        <v>397</v>
      </c>
      <c r="F717" s="124" t="s">
        <v>27</v>
      </c>
    </row>
    <row r="718" spans="1:6" ht="12.75" customHeight="1">
      <c r="A718" s="126">
        <v>46167</v>
      </c>
      <c r="B718" s="528" t="s">
        <v>418</v>
      </c>
      <c r="C718" s="529" t="s">
        <v>1757</v>
      </c>
      <c r="D718" s="134">
        <v>316.43</v>
      </c>
      <c r="E718" s="124" t="s">
        <v>397</v>
      </c>
      <c r="F718" s="124" t="s">
        <v>27</v>
      </c>
    </row>
    <row r="719" spans="1:6" ht="12.75" customHeight="1">
      <c r="A719" s="126">
        <v>46167</v>
      </c>
      <c r="B719" s="528" t="s">
        <v>418</v>
      </c>
      <c r="C719" s="529" t="s">
        <v>1758</v>
      </c>
      <c r="D719" s="134">
        <v>502</v>
      </c>
      <c r="E719" s="124" t="s">
        <v>397</v>
      </c>
      <c r="F719" s="124" t="s">
        <v>27</v>
      </c>
    </row>
    <row r="720" spans="1:6" ht="12.75" customHeight="1">
      <c r="A720" s="126">
        <v>46167</v>
      </c>
      <c r="B720" s="528" t="s">
        <v>483</v>
      </c>
      <c r="C720" s="529" t="s">
        <v>1759</v>
      </c>
      <c r="D720" s="134">
        <v>1211.9100000000001</v>
      </c>
      <c r="E720" s="124" t="s">
        <v>397</v>
      </c>
      <c r="F720" s="124" t="s">
        <v>27</v>
      </c>
    </row>
    <row r="721" spans="1:6" ht="12.75" customHeight="1">
      <c r="A721" s="126">
        <v>46167</v>
      </c>
      <c r="B721" s="528" t="s">
        <v>398</v>
      </c>
      <c r="C721" s="529" t="s">
        <v>1760</v>
      </c>
      <c r="D721" s="134">
        <v>1163.75</v>
      </c>
      <c r="E721" s="124" t="s">
        <v>397</v>
      </c>
      <c r="F721" s="124" t="s">
        <v>27</v>
      </c>
    </row>
    <row r="722" spans="1:6" ht="12.75" customHeight="1">
      <c r="A722" s="126">
        <v>46168</v>
      </c>
      <c r="B722" s="182" t="s">
        <v>729</v>
      </c>
      <c r="C722" s="206">
        <v>12692</v>
      </c>
      <c r="D722" s="134">
        <v>438</v>
      </c>
      <c r="E722" s="124" t="s">
        <v>397</v>
      </c>
      <c r="F722" s="124" t="s">
        <v>27</v>
      </c>
    </row>
    <row r="723" spans="1:6" ht="12.75" customHeight="1">
      <c r="A723" s="126">
        <v>46168</v>
      </c>
      <c r="B723" s="184" t="s">
        <v>1761</v>
      </c>
      <c r="C723" s="203">
        <v>12677</v>
      </c>
      <c r="D723" s="134">
        <v>165.15</v>
      </c>
      <c r="E723" s="124" t="s">
        <v>397</v>
      </c>
      <c r="F723" s="124" t="s">
        <v>27</v>
      </c>
    </row>
    <row r="724" spans="1:6" ht="12.75" customHeight="1">
      <c r="A724" s="126">
        <v>46168</v>
      </c>
      <c r="B724" s="526" t="s">
        <v>969</v>
      </c>
      <c r="C724" s="527" t="s">
        <v>1762</v>
      </c>
      <c r="D724" s="134">
        <v>280</v>
      </c>
      <c r="E724" s="124" t="s">
        <v>397</v>
      </c>
      <c r="F724" s="124" t="s">
        <v>27</v>
      </c>
    </row>
    <row r="725" spans="1:6" ht="12.75" customHeight="1">
      <c r="A725" s="126">
        <v>46168</v>
      </c>
      <c r="B725" s="526" t="s">
        <v>266</v>
      </c>
      <c r="C725" s="527" t="s">
        <v>1763</v>
      </c>
      <c r="D725" s="134">
        <v>336</v>
      </c>
      <c r="E725" s="124" t="s">
        <v>397</v>
      </c>
      <c r="F725" s="124" t="s">
        <v>27</v>
      </c>
    </row>
    <row r="726" spans="1:6" ht="12.75" customHeight="1">
      <c r="A726" s="126">
        <v>46168</v>
      </c>
      <c r="B726" s="526" t="s">
        <v>483</v>
      </c>
      <c r="C726" s="527" t="s">
        <v>1764</v>
      </c>
      <c r="D726" s="134">
        <v>1165.5</v>
      </c>
      <c r="E726" s="124" t="s">
        <v>397</v>
      </c>
      <c r="F726" s="124" t="s">
        <v>27</v>
      </c>
    </row>
    <row r="727" spans="1:6" ht="12.75" customHeight="1">
      <c r="A727" s="126">
        <v>46168</v>
      </c>
      <c r="B727" s="526" t="s">
        <v>464</v>
      </c>
      <c r="C727" s="527" t="s">
        <v>1765</v>
      </c>
      <c r="D727" s="134">
        <v>301.10000000000002</v>
      </c>
      <c r="E727" s="124" t="s">
        <v>397</v>
      </c>
      <c r="F727" s="124" t="s">
        <v>27</v>
      </c>
    </row>
    <row r="728" spans="1:6" ht="12.75" customHeight="1">
      <c r="A728" s="126">
        <v>46168</v>
      </c>
      <c r="B728" s="526" t="s">
        <v>464</v>
      </c>
      <c r="C728" s="527" t="s">
        <v>1766</v>
      </c>
      <c r="D728" s="134">
        <v>810.29</v>
      </c>
      <c r="E728" s="124" t="s">
        <v>397</v>
      </c>
      <c r="F728" s="124" t="s">
        <v>27</v>
      </c>
    </row>
    <row r="729" spans="1:6" ht="12.75" customHeight="1">
      <c r="A729" s="126">
        <v>46168</v>
      </c>
      <c r="B729" s="526" t="s">
        <v>483</v>
      </c>
      <c r="C729" s="527" t="s">
        <v>1767</v>
      </c>
      <c r="D729" s="134">
        <v>4732.7700000000004</v>
      </c>
      <c r="E729" s="124" t="s">
        <v>397</v>
      </c>
      <c r="F729" s="124" t="s">
        <v>27</v>
      </c>
    </row>
    <row r="730" spans="1:6" ht="12.75" customHeight="1">
      <c r="A730" s="126">
        <v>46168</v>
      </c>
      <c r="B730" s="526" t="s">
        <v>398</v>
      </c>
      <c r="C730" s="527" t="s">
        <v>1768</v>
      </c>
      <c r="D730" s="134">
        <v>4545.7700000000004</v>
      </c>
      <c r="E730" s="124" t="s">
        <v>397</v>
      </c>
      <c r="F730" s="124" t="s">
        <v>27</v>
      </c>
    </row>
    <row r="731" spans="1:6" ht="12.75" customHeight="1">
      <c r="A731" s="126">
        <v>46169</v>
      </c>
      <c r="B731" s="526" t="s">
        <v>689</v>
      </c>
      <c r="C731" s="527" t="s">
        <v>1769</v>
      </c>
      <c r="D731" s="134">
        <v>797</v>
      </c>
      <c r="E731" s="124" t="s">
        <v>397</v>
      </c>
      <c r="F731" s="124" t="s">
        <v>27</v>
      </c>
    </row>
    <row r="732" spans="1:6" ht="12.75" customHeight="1">
      <c r="A732" s="126">
        <v>46169</v>
      </c>
      <c r="B732" s="526" t="s">
        <v>418</v>
      </c>
      <c r="C732" s="527" t="s">
        <v>1770</v>
      </c>
      <c r="D732" s="134">
        <v>1032.8</v>
      </c>
      <c r="E732" s="124" t="s">
        <v>397</v>
      </c>
      <c r="F732" s="124" t="s">
        <v>27</v>
      </c>
    </row>
    <row r="733" spans="1:6" ht="12.75" customHeight="1">
      <c r="A733" s="126">
        <v>46169</v>
      </c>
      <c r="B733" s="526" t="s">
        <v>564</v>
      </c>
      <c r="C733" s="527" t="s">
        <v>1771</v>
      </c>
      <c r="D733" s="134">
        <v>943.6</v>
      </c>
      <c r="E733" s="124" t="s">
        <v>397</v>
      </c>
      <c r="F733" s="124" t="s">
        <v>27</v>
      </c>
    </row>
    <row r="734" spans="1:6" ht="12.75" customHeight="1">
      <c r="A734" s="126">
        <v>46169</v>
      </c>
      <c r="B734" s="526" t="s">
        <v>743</v>
      </c>
      <c r="C734" s="527" t="s">
        <v>1772</v>
      </c>
      <c r="D734" s="134">
        <v>384</v>
      </c>
      <c r="E734" s="124" t="s">
        <v>397</v>
      </c>
      <c r="F734" s="124" t="s">
        <v>27</v>
      </c>
    </row>
    <row r="735" spans="1:6" ht="12.75" customHeight="1">
      <c r="A735" s="126">
        <v>46169</v>
      </c>
      <c r="B735" s="526" t="s">
        <v>418</v>
      </c>
      <c r="C735" s="527" t="s">
        <v>1773</v>
      </c>
      <c r="D735" s="134">
        <v>1197.8399999999999</v>
      </c>
      <c r="E735" s="124" t="s">
        <v>397</v>
      </c>
      <c r="F735" s="124" t="s">
        <v>27</v>
      </c>
    </row>
    <row r="736" spans="1:6" ht="12.75" customHeight="1">
      <c r="A736" s="126">
        <v>46169</v>
      </c>
      <c r="B736" s="526" t="s">
        <v>398</v>
      </c>
      <c r="C736" s="527" t="s">
        <v>1774</v>
      </c>
      <c r="D736" s="134">
        <v>733.33</v>
      </c>
      <c r="E736" s="124" t="s">
        <v>397</v>
      </c>
      <c r="F736" s="124" t="s">
        <v>27</v>
      </c>
    </row>
    <row r="737" spans="1:6" ht="12.75" customHeight="1">
      <c r="A737" s="126">
        <v>46169</v>
      </c>
      <c r="B737" s="526" t="s">
        <v>398</v>
      </c>
      <c r="C737" s="527" t="s">
        <v>1775</v>
      </c>
      <c r="D737" s="134">
        <v>551.77</v>
      </c>
      <c r="E737" s="124" t="s">
        <v>397</v>
      </c>
      <c r="F737" s="124" t="s">
        <v>27</v>
      </c>
    </row>
    <row r="738" spans="1:6" ht="12.75" customHeight="1">
      <c r="A738" s="126">
        <v>46170</v>
      </c>
      <c r="B738" s="184" t="s">
        <v>769</v>
      </c>
      <c r="C738" s="195" t="s">
        <v>770</v>
      </c>
      <c r="D738" s="134">
        <v>352.5</v>
      </c>
      <c r="E738" s="124" t="s">
        <v>397</v>
      </c>
      <c r="F738" s="124" t="s">
        <v>27</v>
      </c>
    </row>
    <row r="739" spans="1:6" ht="12.75" customHeight="1">
      <c r="A739" s="126">
        <v>46170</v>
      </c>
      <c r="B739" s="528" t="s">
        <v>398</v>
      </c>
      <c r="C739" s="529" t="s">
        <v>1776</v>
      </c>
      <c r="D739" s="134">
        <v>943.78</v>
      </c>
      <c r="E739" s="124" t="s">
        <v>397</v>
      </c>
      <c r="F739" s="124" t="s">
        <v>27</v>
      </c>
    </row>
    <row r="740" spans="1:6" ht="12.75" customHeight="1">
      <c r="A740" s="126">
        <v>46170</v>
      </c>
      <c r="B740" s="528" t="s">
        <v>578</v>
      </c>
      <c r="C740" s="529" t="s">
        <v>1777</v>
      </c>
      <c r="D740" s="134">
        <v>655.5</v>
      </c>
      <c r="E740" s="124" t="s">
        <v>397</v>
      </c>
      <c r="F740" s="124" t="s">
        <v>27</v>
      </c>
    </row>
    <row r="741" spans="1:6" ht="12.75" customHeight="1">
      <c r="A741" s="126">
        <v>46170</v>
      </c>
      <c r="B741" s="528" t="s">
        <v>270</v>
      </c>
      <c r="C741" s="529" t="s">
        <v>1778</v>
      </c>
      <c r="D741" s="134">
        <v>1554.5</v>
      </c>
      <c r="E741" s="124" t="s">
        <v>397</v>
      </c>
      <c r="F741" s="124" t="s">
        <v>27</v>
      </c>
    </row>
    <row r="742" spans="1:6" ht="12.75" customHeight="1">
      <c r="A742" s="126">
        <v>46170</v>
      </c>
      <c r="B742" s="528" t="s">
        <v>418</v>
      </c>
      <c r="C742" s="529" t="s">
        <v>1779</v>
      </c>
      <c r="D742" s="134">
        <v>728.8</v>
      </c>
      <c r="E742" s="124" t="s">
        <v>397</v>
      </c>
      <c r="F742" s="124" t="s">
        <v>27</v>
      </c>
    </row>
    <row r="743" spans="1:6" ht="12.75" customHeight="1">
      <c r="A743" s="126">
        <v>46170</v>
      </c>
      <c r="B743" s="528" t="s">
        <v>275</v>
      </c>
      <c r="C743" s="529" t="s">
        <v>1780</v>
      </c>
      <c r="D743" s="134">
        <v>570</v>
      </c>
      <c r="E743" s="124" t="s">
        <v>397</v>
      </c>
      <c r="F743" s="124" t="s">
        <v>27</v>
      </c>
    </row>
    <row r="744" spans="1:6" ht="12.75" customHeight="1">
      <c r="A744" s="126">
        <v>46170</v>
      </c>
      <c r="B744" s="528" t="s">
        <v>965</v>
      </c>
      <c r="C744" s="529" t="s">
        <v>1781</v>
      </c>
      <c r="D744" s="134">
        <v>393.2</v>
      </c>
      <c r="E744" s="124" t="s">
        <v>397</v>
      </c>
      <c r="F744" s="124" t="s">
        <v>27</v>
      </c>
    </row>
    <row r="745" spans="1:6" ht="12.75" customHeight="1">
      <c r="A745" s="126">
        <v>46170</v>
      </c>
      <c r="B745" s="528" t="s">
        <v>414</v>
      </c>
      <c r="C745" s="529" t="s">
        <v>1782</v>
      </c>
      <c r="D745" s="134">
        <v>844.27</v>
      </c>
      <c r="E745" s="124" t="s">
        <v>397</v>
      </c>
      <c r="F745" s="124" t="s">
        <v>27</v>
      </c>
    </row>
    <row r="746" spans="1:6" ht="12.75" customHeight="1">
      <c r="A746" s="126">
        <v>46170</v>
      </c>
      <c r="B746" s="528" t="s">
        <v>1783</v>
      </c>
      <c r="C746" s="529">
        <v>12632</v>
      </c>
      <c r="D746" s="134">
        <v>118.5</v>
      </c>
      <c r="E746" s="124" t="s">
        <v>397</v>
      </c>
      <c r="F746" s="124" t="s">
        <v>27</v>
      </c>
    </row>
    <row r="747" spans="1:6" ht="12.75" customHeight="1">
      <c r="A747" s="126">
        <v>46171</v>
      </c>
      <c r="B747" s="530" t="s">
        <v>1784</v>
      </c>
      <c r="C747" s="529">
        <v>12690</v>
      </c>
      <c r="D747" s="134">
        <v>127.5</v>
      </c>
      <c r="E747" s="124" t="s">
        <v>397</v>
      </c>
      <c r="F747" s="124" t="s">
        <v>27</v>
      </c>
    </row>
    <row r="748" spans="1:6" ht="12.75" customHeight="1">
      <c r="A748" s="126">
        <v>46171</v>
      </c>
      <c r="B748" s="530" t="s">
        <v>519</v>
      </c>
      <c r="C748" s="529">
        <v>12532</v>
      </c>
      <c r="D748" s="134">
        <v>416.33</v>
      </c>
      <c r="E748" s="124" t="s">
        <v>397</v>
      </c>
      <c r="F748" s="124" t="s">
        <v>27</v>
      </c>
    </row>
    <row r="749" spans="1:6" ht="12.75" customHeight="1">
      <c r="A749" s="126">
        <v>46171</v>
      </c>
      <c r="B749" s="528" t="s">
        <v>837</v>
      </c>
      <c r="C749" s="529">
        <v>12531</v>
      </c>
      <c r="D749" s="134">
        <v>557</v>
      </c>
      <c r="E749" s="124" t="s">
        <v>397</v>
      </c>
      <c r="F749" s="124" t="s">
        <v>27</v>
      </c>
    </row>
    <row r="750" spans="1:6" ht="12.75" customHeight="1">
      <c r="A750" s="126">
        <v>46171</v>
      </c>
      <c r="B750" s="528" t="s">
        <v>627</v>
      </c>
      <c r="C750" s="195">
        <v>12527</v>
      </c>
      <c r="D750" s="531">
        <v>844.92</v>
      </c>
      <c r="E750" s="124" t="s">
        <v>397</v>
      </c>
      <c r="F750" s="124" t="s">
        <v>27</v>
      </c>
    </row>
    <row r="751" spans="1:6" ht="21" customHeight="1"/>
  </sheetData>
  <phoneticPr fontId="11" type="noConversion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2"/>
  <sheetViews>
    <sheetView topLeftCell="A744" zoomScale="85" zoomScaleNormal="85" workbookViewId="0">
      <selection activeCell="J83" sqref="J83"/>
    </sheetView>
  </sheetViews>
  <sheetFormatPr defaultRowHeight="15"/>
  <cols>
    <col min="1" max="1" width="20" customWidth="1"/>
    <col min="2" max="2" width="35.5703125" bestFit="1" customWidth="1"/>
    <col min="3" max="3" width="23.28515625" style="253" customWidth="1"/>
    <col min="4" max="5" width="20" customWidth="1"/>
    <col min="7" max="7" width="14.28515625" bestFit="1" customWidth="1"/>
    <col min="8" max="8" width="13" customWidth="1"/>
    <col min="12" max="12" width="23.28515625" style="253" customWidth="1"/>
  </cols>
  <sheetData>
    <row r="1" spans="1:12">
      <c r="A1" s="1" t="s">
        <v>362</v>
      </c>
      <c r="B1" s="1" t="s">
        <v>1000</v>
      </c>
      <c r="C1" s="422" t="s">
        <v>1001</v>
      </c>
      <c r="D1" s="1" t="s">
        <v>365</v>
      </c>
      <c r="E1" s="1" t="s">
        <v>395</v>
      </c>
      <c r="F1" s="1" t="s">
        <v>7</v>
      </c>
      <c r="L1" s="422" t="s">
        <v>1001</v>
      </c>
    </row>
    <row r="2" spans="1:12">
      <c r="A2" s="21">
        <v>46024</v>
      </c>
      <c r="B2" s="25" t="s">
        <v>1002</v>
      </c>
      <c r="C2" s="6" t="s">
        <v>307</v>
      </c>
      <c r="D2" s="26">
        <v>955.53</v>
      </c>
      <c r="E2" s="3" t="s">
        <v>397</v>
      </c>
      <c r="F2" t="s">
        <v>23</v>
      </c>
      <c r="G2" s="293">
        <f>SUM(D2:D141)</f>
        <v>116350.31</v>
      </c>
      <c r="L2" s="6" t="s">
        <v>175</v>
      </c>
    </row>
    <row r="3" spans="1:12">
      <c r="A3" s="21">
        <v>46024</v>
      </c>
      <c r="B3" s="27" t="s">
        <v>1003</v>
      </c>
      <c r="C3" s="6" t="s">
        <v>307</v>
      </c>
      <c r="D3" s="28">
        <v>905.25</v>
      </c>
      <c r="E3" s="3" t="s">
        <v>397</v>
      </c>
      <c r="F3" t="s">
        <v>23</v>
      </c>
      <c r="G3" s="40">
        <f>SUMIF(C:C,"FORNECEDORES",D:D)</f>
        <v>436248.53000000009</v>
      </c>
      <c r="L3" s="444" t="s">
        <v>178</v>
      </c>
    </row>
    <row r="4" spans="1:12">
      <c r="A4" s="21">
        <v>46024</v>
      </c>
      <c r="B4" s="25" t="s">
        <v>1004</v>
      </c>
      <c r="C4" s="6" t="s">
        <v>307</v>
      </c>
      <c r="D4" s="26">
        <v>350</v>
      </c>
      <c r="E4" s="3" t="s">
        <v>397</v>
      </c>
      <c r="F4" t="s">
        <v>23</v>
      </c>
      <c r="L4" s="23" t="s">
        <v>179</v>
      </c>
    </row>
    <row r="5" spans="1:12">
      <c r="A5" s="21">
        <v>46024</v>
      </c>
      <c r="B5" s="25" t="s">
        <v>305</v>
      </c>
      <c r="C5" s="6" t="s">
        <v>175</v>
      </c>
      <c r="D5" s="26">
        <v>15.3</v>
      </c>
      <c r="E5" s="3" t="s">
        <v>397</v>
      </c>
      <c r="F5" t="s">
        <v>23</v>
      </c>
      <c r="L5" s="442" t="s">
        <v>181</v>
      </c>
    </row>
    <row r="6" spans="1:12">
      <c r="A6" s="21">
        <v>46024</v>
      </c>
      <c r="B6" s="27" t="s">
        <v>1005</v>
      </c>
      <c r="C6" s="6" t="s">
        <v>307</v>
      </c>
      <c r="D6" s="28">
        <v>850</v>
      </c>
      <c r="E6" s="3" t="s">
        <v>397</v>
      </c>
      <c r="F6" t="s">
        <v>23</v>
      </c>
      <c r="L6" s="442" t="s">
        <v>182</v>
      </c>
    </row>
    <row r="7" spans="1:12">
      <c r="A7" s="21">
        <v>46024</v>
      </c>
      <c r="B7" s="25" t="s">
        <v>1006</v>
      </c>
      <c r="C7" s="6" t="s">
        <v>307</v>
      </c>
      <c r="D7" s="26">
        <v>528.79999999999995</v>
      </c>
      <c r="E7" s="3" t="s">
        <v>397</v>
      </c>
      <c r="F7" t="s">
        <v>23</v>
      </c>
      <c r="L7" s="442" t="s">
        <v>1007</v>
      </c>
    </row>
    <row r="8" spans="1:12" ht="30">
      <c r="A8" s="21">
        <v>46024</v>
      </c>
      <c r="B8" s="27" t="s">
        <v>1008</v>
      </c>
      <c r="C8" s="6" t="s">
        <v>307</v>
      </c>
      <c r="D8" s="28">
        <v>418.56</v>
      </c>
      <c r="E8" s="3" t="s">
        <v>397</v>
      </c>
      <c r="F8" t="s">
        <v>23</v>
      </c>
      <c r="L8" s="445" t="s">
        <v>184</v>
      </c>
    </row>
    <row r="9" spans="1:12" ht="30">
      <c r="A9" s="21">
        <v>46024</v>
      </c>
      <c r="B9" s="25" t="s">
        <v>1009</v>
      </c>
      <c r="C9" s="6" t="s">
        <v>307</v>
      </c>
      <c r="D9" s="26">
        <v>401.4</v>
      </c>
      <c r="E9" s="3" t="s">
        <v>397</v>
      </c>
      <c r="F9" t="s">
        <v>23</v>
      </c>
      <c r="L9" s="420" t="s">
        <v>186</v>
      </c>
    </row>
    <row r="10" spans="1:12">
      <c r="A10" s="21">
        <v>46024</v>
      </c>
      <c r="B10" s="27" t="s">
        <v>1010</v>
      </c>
      <c r="C10" s="6" t="s">
        <v>307</v>
      </c>
      <c r="D10" s="28">
        <v>570</v>
      </c>
      <c r="E10" s="3" t="s">
        <v>397</v>
      </c>
      <c r="F10" t="s">
        <v>23</v>
      </c>
      <c r="L10" s="6" t="s">
        <v>307</v>
      </c>
    </row>
    <row r="11" spans="1:12">
      <c r="A11" s="21">
        <v>46024</v>
      </c>
      <c r="B11" s="25" t="s">
        <v>1011</v>
      </c>
      <c r="C11" s="6" t="s">
        <v>307</v>
      </c>
      <c r="D11" s="26">
        <v>610</v>
      </c>
      <c r="E11" s="3" t="s">
        <v>397</v>
      </c>
      <c r="F11" t="s">
        <v>23</v>
      </c>
      <c r="L11" s="446" t="s">
        <v>188</v>
      </c>
    </row>
    <row r="12" spans="1:12">
      <c r="A12" s="21">
        <v>46024</v>
      </c>
      <c r="B12" s="27" t="s">
        <v>1012</v>
      </c>
      <c r="C12" s="6" t="s">
        <v>307</v>
      </c>
      <c r="D12" s="28">
        <v>391</v>
      </c>
      <c r="E12" s="3" t="s">
        <v>397</v>
      </c>
      <c r="F12" t="s">
        <v>23</v>
      </c>
      <c r="L12" s="443" t="s">
        <v>190</v>
      </c>
    </row>
    <row r="13" spans="1:12">
      <c r="A13" s="21">
        <v>46027</v>
      </c>
      <c r="B13" s="25" t="s">
        <v>1006</v>
      </c>
      <c r="C13" s="6" t="s">
        <v>307</v>
      </c>
      <c r="D13" s="26">
        <v>550</v>
      </c>
      <c r="E13" s="3" t="s">
        <v>397</v>
      </c>
      <c r="F13" t="s">
        <v>23</v>
      </c>
      <c r="L13" s="446" t="s">
        <v>192</v>
      </c>
    </row>
    <row r="14" spans="1:12">
      <c r="A14" s="21">
        <v>46027</v>
      </c>
      <c r="B14" s="27" t="s">
        <v>1010</v>
      </c>
      <c r="C14" s="6" t="s">
        <v>307</v>
      </c>
      <c r="D14" s="28">
        <v>800</v>
      </c>
      <c r="E14" s="3" t="s">
        <v>397</v>
      </c>
      <c r="F14" t="s">
        <v>23</v>
      </c>
      <c r="L14" s="133" t="s">
        <v>194</v>
      </c>
    </row>
    <row r="15" spans="1:12">
      <c r="A15" s="21">
        <v>46027</v>
      </c>
      <c r="B15" s="25" t="s">
        <v>1013</v>
      </c>
      <c r="C15" s="6" t="s">
        <v>307</v>
      </c>
      <c r="D15" s="26">
        <v>452.67</v>
      </c>
      <c r="E15" s="3" t="s">
        <v>397</v>
      </c>
      <c r="F15" t="s">
        <v>23</v>
      </c>
      <c r="L15" s="443" t="s">
        <v>313</v>
      </c>
    </row>
    <row r="16" spans="1:12">
      <c r="A16" s="21">
        <v>46027</v>
      </c>
      <c r="B16" s="27" t="s">
        <v>1013</v>
      </c>
      <c r="C16" s="6" t="s">
        <v>307</v>
      </c>
      <c r="D16" s="28">
        <v>372.33</v>
      </c>
      <c r="E16" s="3" t="s">
        <v>397</v>
      </c>
      <c r="F16" t="s">
        <v>23</v>
      </c>
      <c r="L16" s="446" t="s">
        <v>196</v>
      </c>
    </row>
    <row r="17" spans="1:12">
      <c r="A17" s="21">
        <v>46027</v>
      </c>
      <c r="B17" s="25" t="s">
        <v>1013</v>
      </c>
      <c r="C17" s="6" t="s">
        <v>307</v>
      </c>
      <c r="D17" s="26">
        <v>2064.71</v>
      </c>
      <c r="E17" s="3" t="s">
        <v>397</v>
      </c>
      <c r="F17" t="s">
        <v>23</v>
      </c>
      <c r="L17" s="443" t="s">
        <v>197</v>
      </c>
    </row>
    <row r="18" spans="1:12">
      <c r="A18" s="21">
        <v>46027</v>
      </c>
      <c r="B18" s="27" t="s">
        <v>1014</v>
      </c>
      <c r="C18" s="6" t="s">
        <v>192</v>
      </c>
      <c r="D18" s="28">
        <v>1270</v>
      </c>
      <c r="E18" s="3" t="s">
        <v>397</v>
      </c>
      <c r="F18" t="s">
        <v>23</v>
      </c>
      <c r="L18" s="446" t="s">
        <v>199</v>
      </c>
    </row>
    <row r="19" spans="1:12">
      <c r="A19" s="21">
        <v>46027</v>
      </c>
      <c r="B19" s="27" t="s">
        <v>1015</v>
      </c>
      <c r="C19" s="6" t="s">
        <v>307</v>
      </c>
      <c r="D19" s="28">
        <v>1344.74</v>
      </c>
      <c r="E19" s="3" t="s">
        <v>397</v>
      </c>
      <c r="F19" t="s">
        <v>23</v>
      </c>
      <c r="L19" s="443" t="s">
        <v>203</v>
      </c>
    </row>
    <row r="20" spans="1:12">
      <c r="A20" s="21">
        <v>46027</v>
      </c>
      <c r="B20" s="25" t="s">
        <v>1016</v>
      </c>
      <c r="C20" s="6" t="s">
        <v>307</v>
      </c>
      <c r="D20" s="26">
        <v>589.72</v>
      </c>
      <c r="E20" s="3" t="s">
        <v>397</v>
      </c>
      <c r="F20" t="s">
        <v>23</v>
      </c>
      <c r="L20" s="443" t="s">
        <v>205</v>
      </c>
    </row>
    <row r="21" spans="1:12">
      <c r="A21" s="21">
        <v>46027</v>
      </c>
      <c r="B21" s="27" t="s">
        <v>1017</v>
      </c>
      <c r="C21" s="6" t="s">
        <v>307</v>
      </c>
      <c r="D21" s="28">
        <v>2780</v>
      </c>
      <c r="E21" s="3" t="s">
        <v>397</v>
      </c>
      <c r="F21" t="s">
        <v>23</v>
      </c>
      <c r="L21" s="421" t="s">
        <v>207</v>
      </c>
    </row>
    <row r="22" spans="1:12">
      <c r="A22" s="21">
        <v>46027</v>
      </c>
      <c r="B22" s="25" t="s">
        <v>1010</v>
      </c>
      <c r="C22" s="6" t="s">
        <v>307</v>
      </c>
      <c r="D22" s="26">
        <v>799.06</v>
      </c>
      <c r="E22" s="3" t="s">
        <v>397</v>
      </c>
      <c r="F22" t="s">
        <v>23</v>
      </c>
      <c r="L22" s="447" t="s">
        <v>208</v>
      </c>
    </row>
    <row r="23" spans="1:12">
      <c r="A23" s="21">
        <v>46027</v>
      </c>
      <c r="B23" s="27" t="s">
        <v>1015</v>
      </c>
      <c r="C23" s="6" t="s">
        <v>307</v>
      </c>
      <c r="D23" s="28">
        <v>254.46</v>
      </c>
      <c r="E23" s="3" t="s">
        <v>397</v>
      </c>
      <c r="F23" t="s">
        <v>23</v>
      </c>
      <c r="L23" s="443" t="s">
        <v>209</v>
      </c>
    </row>
    <row r="24" spans="1:12">
      <c r="A24" s="21">
        <v>46027</v>
      </c>
      <c r="B24" s="29" t="s">
        <v>1018</v>
      </c>
      <c r="C24" s="6" t="s">
        <v>188</v>
      </c>
      <c r="D24" s="30">
        <v>70</v>
      </c>
      <c r="E24" s="3" t="s">
        <v>397</v>
      </c>
      <c r="F24" t="s">
        <v>23</v>
      </c>
      <c r="L24" s="448" t="s">
        <v>210</v>
      </c>
    </row>
    <row r="25" spans="1:12">
      <c r="A25" s="21">
        <v>46027</v>
      </c>
      <c r="B25" s="29" t="s">
        <v>1004</v>
      </c>
      <c r="C25" s="6" t="s">
        <v>307</v>
      </c>
      <c r="D25" s="30">
        <v>141</v>
      </c>
      <c r="E25" s="3" t="s">
        <v>397</v>
      </c>
      <c r="F25" t="s">
        <v>23</v>
      </c>
      <c r="L25"/>
    </row>
    <row r="26" spans="1:12">
      <c r="A26" s="21">
        <v>46027</v>
      </c>
      <c r="B26" s="29" t="s">
        <v>1019</v>
      </c>
      <c r="C26" s="6" t="s">
        <v>188</v>
      </c>
      <c r="D26" s="30">
        <v>250</v>
      </c>
      <c r="E26" s="3" t="s">
        <v>397</v>
      </c>
      <c r="F26" t="s">
        <v>23</v>
      </c>
      <c r="L26"/>
    </row>
    <row r="27" spans="1:12">
      <c r="A27" s="21">
        <v>46027</v>
      </c>
      <c r="B27" s="29" t="s">
        <v>1020</v>
      </c>
      <c r="C27" s="6" t="s">
        <v>210</v>
      </c>
      <c r="D27" s="30">
        <v>1928.84</v>
      </c>
      <c r="E27" s="3" t="s">
        <v>397</v>
      </c>
      <c r="F27" t="s">
        <v>23</v>
      </c>
    </row>
    <row r="28" spans="1:12">
      <c r="A28" s="21">
        <v>46027</v>
      </c>
      <c r="B28" s="29" t="s">
        <v>305</v>
      </c>
      <c r="C28" s="6" t="s">
        <v>175</v>
      </c>
      <c r="D28" s="30">
        <v>28.87</v>
      </c>
      <c r="E28" s="3" t="s">
        <v>397</v>
      </c>
      <c r="F28" t="s">
        <v>23</v>
      </c>
      <c r="L28" s="443" t="s">
        <v>196</v>
      </c>
    </row>
    <row r="29" spans="1:12">
      <c r="A29" s="21">
        <v>46028</v>
      </c>
      <c r="B29" s="29" t="s">
        <v>305</v>
      </c>
      <c r="C29" s="6" t="s">
        <v>175</v>
      </c>
      <c r="D29" s="30">
        <v>10.199999999999999</v>
      </c>
      <c r="E29" s="3" t="s">
        <v>397</v>
      </c>
      <c r="F29" t="s">
        <v>23</v>
      </c>
      <c r="L29" s="443" t="s">
        <v>196</v>
      </c>
    </row>
    <row r="30" spans="1:12">
      <c r="A30" s="21">
        <v>46028</v>
      </c>
      <c r="B30" s="29" t="s">
        <v>1021</v>
      </c>
      <c r="C30" s="6" t="s">
        <v>307</v>
      </c>
      <c r="D30" s="30">
        <v>35</v>
      </c>
      <c r="E30" s="3" t="s">
        <v>397</v>
      </c>
      <c r="F30" t="s">
        <v>23</v>
      </c>
      <c r="L30" s="133" t="s">
        <v>196</v>
      </c>
    </row>
    <row r="31" spans="1:12">
      <c r="A31" s="21">
        <v>46028</v>
      </c>
      <c r="B31" s="29" t="s">
        <v>1011</v>
      </c>
      <c r="C31" s="6" t="s">
        <v>307</v>
      </c>
      <c r="D31" s="30">
        <v>28</v>
      </c>
      <c r="E31" s="3" t="s">
        <v>397</v>
      </c>
      <c r="F31" t="s">
        <v>23</v>
      </c>
      <c r="L31" s="133" t="s">
        <v>196</v>
      </c>
    </row>
    <row r="32" spans="1:12">
      <c r="A32" s="21">
        <v>46028</v>
      </c>
      <c r="B32" s="29" t="s">
        <v>1009</v>
      </c>
      <c r="C32" s="6" t="s">
        <v>307</v>
      </c>
      <c r="D32" s="30">
        <v>75</v>
      </c>
      <c r="E32" s="3" t="s">
        <v>397</v>
      </c>
      <c r="F32" t="s">
        <v>23</v>
      </c>
      <c r="L32" s="133" t="s">
        <v>196</v>
      </c>
    </row>
    <row r="33" spans="1:12">
      <c r="A33" s="31">
        <v>46028</v>
      </c>
      <c r="B33" s="25" t="s">
        <v>1022</v>
      </c>
      <c r="C33" s="6" t="s">
        <v>307</v>
      </c>
      <c r="D33" s="26">
        <v>1159.8599999999999</v>
      </c>
      <c r="E33" s="3" t="s">
        <v>397</v>
      </c>
      <c r="F33" t="s">
        <v>23</v>
      </c>
      <c r="L33" s="133" t="s">
        <v>196</v>
      </c>
    </row>
    <row r="34" spans="1:12">
      <c r="A34" s="21">
        <v>46028</v>
      </c>
      <c r="B34" s="27" t="s">
        <v>1009</v>
      </c>
      <c r="C34" s="6" t="s">
        <v>307</v>
      </c>
      <c r="D34" s="28">
        <v>305</v>
      </c>
      <c r="E34" s="3" t="s">
        <v>397</v>
      </c>
      <c r="F34" t="s">
        <v>23</v>
      </c>
      <c r="L34" s="427" t="s">
        <v>196</v>
      </c>
    </row>
    <row r="35" spans="1:12">
      <c r="A35" s="31">
        <v>46028</v>
      </c>
      <c r="B35" s="25" t="s">
        <v>1021</v>
      </c>
      <c r="C35" s="6" t="s">
        <v>307</v>
      </c>
      <c r="D35" s="26">
        <v>215.13</v>
      </c>
      <c r="E35" s="3" t="s">
        <v>397</v>
      </c>
      <c r="F35" t="s">
        <v>23</v>
      </c>
      <c r="L35" s="427" t="s">
        <v>196</v>
      </c>
    </row>
    <row r="36" spans="1:12">
      <c r="A36" s="31">
        <v>46029</v>
      </c>
      <c r="B36" s="25" t="s">
        <v>1015</v>
      </c>
      <c r="C36" s="6" t="s">
        <v>307</v>
      </c>
      <c r="D36" s="26">
        <v>93</v>
      </c>
      <c r="E36" s="3" t="s">
        <v>397</v>
      </c>
      <c r="F36" t="s">
        <v>23</v>
      </c>
    </row>
    <row r="37" spans="1:12">
      <c r="A37" s="31">
        <v>46029</v>
      </c>
      <c r="B37" s="25" t="s">
        <v>1023</v>
      </c>
      <c r="C37" s="6" t="s">
        <v>196</v>
      </c>
      <c r="D37" s="26">
        <v>800</v>
      </c>
      <c r="E37" s="3" t="s">
        <v>397</v>
      </c>
      <c r="F37" t="s">
        <v>23</v>
      </c>
      <c r="L37" s="133" t="s">
        <v>197</v>
      </c>
    </row>
    <row r="38" spans="1:12">
      <c r="A38" s="21">
        <v>46029</v>
      </c>
      <c r="B38" s="27" t="s">
        <v>1024</v>
      </c>
      <c r="C38" s="6" t="s">
        <v>307</v>
      </c>
      <c r="D38" s="28">
        <v>177.1</v>
      </c>
      <c r="E38" s="3" t="s">
        <v>397</v>
      </c>
      <c r="F38" t="s">
        <v>23</v>
      </c>
      <c r="L38" s="133" t="s">
        <v>197</v>
      </c>
    </row>
    <row r="39" spans="1:12">
      <c r="A39" s="31">
        <v>46029</v>
      </c>
      <c r="B39" s="25" t="s">
        <v>1025</v>
      </c>
      <c r="C39" s="6" t="s">
        <v>307</v>
      </c>
      <c r="D39" s="26">
        <v>558.5</v>
      </c>
      <c r="E39" s="3" t="s">
        <v>397</v>
      </c>
      <c r="F39" t="s">
        <v>23</v>
      </c>
      <c r="L39" s="133" t="s">
        <v>197</v>
      </c>
    </row>
    <row r="40" spans="1:12">
      <c r="A40" s="31">
        <v>46029</v>
      </c>
      <c r="B40" s="25" t="s">
        <v>305</v>
      </c>
      <c r="C40" s="6" t="s">
        <v>175</v>
      </c>
      <c r="D40" s="26">
        <v>17.64</v>
      </c>
      <c r="E40" s="3" t="s">
        <v>397</v>
      </c>
      <c r="F40" t="s">
        <v>23</v>
      </c>
      <c r="L40" s="430" t="s">
        <v>197</v>
      </c>
    </row>
    <row r="41" spans="1:12">
      <c r="A41" s="21">
        <v>46030</v>
      </c>
      <c r="B41" s="27" t="s">
        <v>1006</v>
      </c>
      <c r="C41" s="6" t="s">
        <v>307</v>
      </c>
      <c r="D41" s="28">
        <v>486.5</v>
      </c>
      <c r="E41" s="3" t="s">
        <v>397</v>
      </c>
      <c r="F41" t="s">
        <v>23</v>
      </c>
      <c r="L41" s="446" t="s">
        <v>199</v>
      </c>
    </row>
    <row r="42" spans="1:12">
      <c r="A42" s="31">
        <v>46030</v>
      </c>
      <c r="B42" s="25" t="s">
        <v>1013</v>
      </c>
      <c r="C42" s="6" t="s">
        <v>307</v>
      </c>
      <c r="D42" s="26">
        <v>533.92999999999995</v>
      </c>
      <c r="E42" s="3" t="s">
        <v>397</v>
      </c>
      <c r="F42" t="s">
        <v>23</v>
      </c>
      <c r="L42" s="443" t="s">
        <v>199</v>
      </c>
    </row>
    <row r="43" spans="1:12">
      <c r="A43" s="21">
        <v>46030</v>
      </c>
      <c r="B43" s="27" t="s">
        <v>1026</v>
      </c>
      <c r="C43" s="6" t="s">
        <v>307</v>
      </c>
      <c r="D43" s="28">
        <v>774.38</v>
      </c>
      <c r="E43" s="3" t="s">
        <v>397</v>
      </c>
      <c r="F43" t="s">
        <v>23</v>
      </c>
      <c r="L43" s="443" t="s">
        <v>203</v>
      </c>
    </row>
    <row r="44" spans="1:12">
      <c r="A44" s="31">
        <v>46030</v>
      </c>
      <c r="B44" s="25" t="s">
        <v>1027</v>
      </c>
      <c r="C44" s="6" t="s">
        <v>307</v>
      </c>
      <c r="D44" s="26">
        <v>1847.75</v>
      </c>
      <c r="E44" s="3" t="s">
        <v>397</v>
      </c>
      <c r="F44" t="s">
        <v>23</v>
      </c>
      <c r="L44" s="133" t="s">
        <v>203</v>
      </c>
    </row>
    <row r="45" spans="1:12">
      <c r="A45" s="21">
        <v>46030</v>
      </c>
      <c r="B45" s="27" t="s">
        <v>1015</v>
      </c>
      <c r="C45" s="6" t="s">
        <v>307</v>
      </c>
      <c r="D45" s="28">
        <v>607.53</v>
      </c>
      <c r="E45" s="3" t="s">
        <v>397</v>
      </c>
      <c r="F45" t="s">
        <v>23</v>
      </c>
      <c r="L45" s="133" t="s">
        <v>203</v>
      </c>
    </row>
    <row r="46" spans="1:12">
      <c r="A46" s="31">
        <v>46030</v>
      </c>
      <c r="B46" s="25" t="s">
        <v>1028</v>
      </c>
      <c r="C46" s="6" t="s">
        <v>307</v>
      </c>
      <c r="D46" s="26">
        <v>264</v>
      </c>
      <c r="E46" s="3" t="s">
        <v>397</v>
      </c>
      <c r="F46" t="s">
        <v>23</v>
      </c>
      <c r="L46" s="133" t="s">
        <v>203</v>
      </c>
    </row>
    <row r="47" spans="1:12">
      <c r="A47" s="21">
        <v>46030</v>
      </c>
      <c r="B47" s="27" t="s">
        <v>1008</v>
      </c>
      <c r="C47" s="6" t="s">
        <v>307</v>
      </c>
      <c r="D47" s="28">
        <v>633.20000000000005</v>
      </c>
      <c r="E47" s="3" t="s">
        <v>397</v>
      </c>
      <c r="F47" t="s">
        <v>23</v>
      </c>
      <c r="L47" s="77" t="s">
        <v>203</v>
      </c>
    </row>
    <row r="48" spans="1:12">
      <c r="A48" s="31">
        <v>46030</v>
      </c>
      <c r="B48" s="25" t="s">
        <v>1029</v>
      </c>
      <c r="C48" s="6" t="s">
        <v>307</v>
      </c>
      <c r="D48" s="26">
        <v>945.24</v>
      </c>
      <c r="E48" s="3" t="s">
        <v>397</v>
      </c>
      <c r="F48" t="s">
        <v>23</v>
      </c>
      <c r="L48" s="77" t="s">
        <v>203</v>
      </c>
    </row>
    <row r="49" spans="1:12">
      <c r="A49" s="21">
        <v>46030</v>
      </c>
      <c r="B49" s="27" t="s">
        <v>1030</v>
      </c>
      <c r="C49" s="6" t="s">
        <v>307</v>
      </c>
      <c r="D49" s="28">
        <v>150</v>
      </c>
      <c r="E49" s="3" t="s">
        <v>397</v>
      </c>
      <c r="F49" t="s">
        <v>23</v>
      </c>
      <c r="L49" s="443" t="s">
        <v>205</v>
      </c>
    </row>
    <row r="50" spans="1:12">
      <c r="A50" s="21">
        <v>46030</v>
      </c>
      <c r="B50" s="27" t="s">
        <v>305</v>
      </c>
      <c r="C50" s="6" t="s">
        <v>175</v>
      </c>
      <c r="D50" s="28">
        <v>10.199999999999999</v>
      </c>
      <c r="E50" s="3" t="s">
        <v>397</v>
      </c>
      <c r="F50" t="s">
        <v>23</v>
      </c>
      <c r="L50" s="421" t="s">
        <v>207</v>
      </c>
    </row>
    <row r="51" spans="1:12">
      <c r="A51" s="31">
        <v>46031</v>
      </c>
      <c r="B51" s="25" t="s">
        <v>1031</v>
      </c>
      <c r="C51" s="6" t="s">
        <v>307</v>
      </c>
      <c r="D51" s="26">
        <v>3830</v>
      </c>
      <c r="E51" s="3" t="s">
        <v>397</v>
      </c>
      <c r="F51" t="s">
        <v>23</v>
      </c>
      <c r="L51" s="447" t="s">
        <v>207</v>
      </c>
    </row>
    <row r="52" spans="1:12">
      <c r="A52" s="21">
        <v>46031</v>
      </c>
      <c r="B52" s="27" t="s">
        <v>1032</v>
      </c>
      <c r="C52" s="6" t="s">
        <v>307</v>
      </c>
      <c r="D52" s="28">
        <v>506.96</v>
      </c>
      <c r="E52" s="3" t="s">
        <v>397</v>
      </c>
      <c r="F52" t="s">
        <v>23</v>
      </c>
      <c r="L52" s="447" t="s">
        <v>208</v>
      </c>
    </row>
    <row r="53" spans="1:12">
      <c r="A53" s="21">
        <v>46031</v>
      </c>
      <c r="B53" s="29" t="s">
        <v>1033</v>
      </c>
      <c r="C53" s="6" t="s">
        <v>188</v>
      </c>
      <c r="D53" s="30">
        <v>1500</v>
      </c>
      <c r="E53" s="3" t="s">
        <v>397</v>
      </c>
      <c r="F53" t="s">
        <v>23</v>
      </c>
      <c r="L53" s="133" t="s">
        <v>208</v>
      </c>
    </row>
    <row r="54" spans="1:12">
      <c r="A54" s="21">
        <v>46031</v>
      </c>
      <c r="B54" s="29" t="s">
        <v>1034</v>
      </c>
      <c r="C54" s="6" t="s">
        <v>307</v>
      </c>
      <c r="D54" s="30">
        <v>455.4</v>
      </c>
      <c r="E54" s="3" t="s">
        <v>397</v>
      </c>
      <c r="F54" t="s">
        <v>23</v>
      </c>
      <c r="L54" s="248" t="s">
        <v>1035</v>
      </c>
    </row>
    <row r="55" spans="1:12">
      <c r="A55" s="21">
        <v>46031</v>
      </c>
      <c r="B55" s="29" t="s">
        <v>1036</v>
      </c>
      <c r="C55" s="6" t="s">
        <v>188</v>
      </c>
      <c r="D55" s="30">
        <v>1167.5</v>
      </c>
      <c r="E55" s="3" t="s">
        <v>397</v>
      </c>
      <c r="F55" t="s">
        <v>23</v>
      </c>
      <c r="L55" s="443" t="s">
        <v>209</v>
      </c>
    </row>
    <row r="56" spans="1:12">
      <c r="A56" s="21">
        <v>46031</v>
      </c>
      <c r="B56" s="22" t="s">
        <v>305</v>
      </c>
      <c r="C56" s="23" t="s">
        <v>175</v>
      </c>
      <c r="D56" s="24">
        <v>17</v>
      </c>
      <c r="E56" s="3" t="s">
        <v>397</v>
      </c>
      <c r="F56" t="s">
        <v>23</v>
      </c>
      <c r="L56" s="133" t="s">
        <v>209</v>
      </c>
    </row>
    <row r="57" spans="1:12">
      <c r="A57" s="21">
        <v>46031</v>
      </c>
      <c r="B57" s="22" t="s">
        <v>1037</v>
      </c>
      <c r="C57" s="23" t="s">
        <v>188</v>
      </c>
      <c r="D57" s="24">
        <v>970.49</v>
      </c>
      <c r="E57" s="3" t="s">
        <v>397</v>
      </c>
      <c r="F57" t="s">
        <v>23</v>
      </c>
      <c r="L57" s="133" t="s">
        <v>209</v>
      </c>
    </row>
    <row r="58" spans="1:12">
      <c r="A58" s="21">
        <v>46034</v>
      </c>
      <c r="B58" s="29" t="s">
        <v>1038</v>
      </c>
      <c r="C58" s="6" t="s">
        <v>307</v>
      </c>
      <c r="D58" s="30">
        <v>1426.53</v>
      </c>
      <c r="E58" s="3" t="s">
        <v>397</v>
      </c>
      <c r="F58" t="s">
        <v>23</v>
      </c>
      <c r="L58" s="431" t="s">
        <v>209</v>
      </c>
    </row>
    <row r="59" spans="1:12">
      <c r="A59" s="21">
        <v>46034</v>
      </c>
      <c r="B59" s="29" t="s">
        <v>1029</v>
      </c>
      <c r="C59" s="6" t="s">
        <v>307</v>
      </c>
      <c r="D59" s="30">
        <v>1574.91</v>
      </c>
      <c r="E59" s="3" t="s">
        <v>397</v>
      </c>
      <c r="F59" t="s">
        <v>23</v>
      </c>
      <c r="L59" s="426" t="s">
        <v>209</v>
      </c>
    </row>
    <row r="60" spans="1:12">
      <c r="A60" s="21">
        <v>46034</v>
      </c>
      <c r="B60" s="29" t="s">
        <v>1039</v>
      </c>
      <c r="C60" s="6" t="s">
        <v>307</v>
      </c>
      <c r="D60" s="30">
        <v>790.56</v>
      </c>
      <c r="E60" s="3" t="s">
        <v>397</v>
      </c>
      <c r="F60" t="s">
        <v>23</v>
      </c>
      <c r="L60" s="431" t="s">
        <v>209</v>
      </c>
    </row>
    <row r="61" spans="1:12">
      <c r="A61" s="21">
        <v>46034</v>
      </c>
      <c r="B61" s="29" t="s">
        <v>1040</v>
      </c>
      <c r="C61" s="6" t="s">
        <v>307</v>
      </c>
      <c r="D61" s="30">
        <v>20</v>
      </c>
      <c r="E61" s="3" t="s">
        <v>397</v>
      </c>
      <c r="F61" t="s">
        <v>23</v>
      </c>
      <c r="L61" s="448" t="s">
        <v>210</v>
      </c>
    </row>
    <row r="62" spans="1:12">
      <c r="A62" s="21">
        <v>46034</v>
      </c>
      <c r="B62" s="29" t="s">
        <v>1010</v>
      </c>
      <c r="C62" s="6" t="s">
        <v>307</v>
      </c>
      <c r="D62" s="30">
        <v>225.7</v>
      </c>
      <c r="E62" s="3" t="s">
        <v>397</v>
      </c>
      <c r="F62" t="s">
        <v>23</v>
      </c>
      <c r="L62" s="443" t="s">
        <v>210</v>
      </c>
    </row>
    <row r="63" spans="1:12">
      <c r="A63" s="21">
        <v>46034</v>
      </c>
      <c r="B63" s="29" t="s">
        <v>1016</v>
      </c>
      <c r="C63" s="6" t="s">
        <v>307</v>
      </c>
      <c r="D63" s="30">
        <v>589.73</v>
      </c>
      <c r="E63" s="3" t="s">
        <v>397</v>
      </c>
      <c r="F63" t="s">
        <v>23</v>
      </c>
      <c r="L63" s="443" t="s">
        <v>210</v>
      </c>
    </row>
    <row r="64" spans="1:12">
      <c r="A64" s="21">
        <v>46034</v>
      </c>
      <c r="B64" s="29" t="s">
        <v>1041</v>
      </c>
      <c r="C64" s="6" t="s">
        <v>307</v>
      </c>
      <c r="D64" s="30">
        <v>455</v>
      </c>
      <c r="E64" s="3" t="s">
        <v>397</v>
      </c>
      <c r="F64" t="s">
        <v>23</v>
      </c>
      <c r="L64" s="137" t="s">
        <v>210</v>
      </c>
    </row>
    <row r="65" spans="1:12">
      <c r="A65" s="21">
        <v>46034</v>
      </c>
      <c r="B65" s="29" t="s">
        <v>1042</v>
      </c>
      <c r="C65" s="6" t="s">
        <v>307</v>
      </c>
      <c r="D65" s="30">
        <v>457.04</v>
      </c>
      <c r="E65" s="3" t="s">
        <v>397</v>
      </c>
      <c r="F65" t="s">
        <v>23</v>
      </c>
      <c r="L65" s="133" t="s">
        <v>210</v>
      </c>
    </row>
    <row r="66" spans="1:12">
      <c r="A66" s="21">
        <v>46034</v>
      </c>
      <c r="B66" s="29" t="s">
        <v>1015</v>
      </c>
      <c r="C66" s="6" t="s">
        <v>307</v>
      </c>
      <c r="D66" s="30">
        <v>45.26</v>
      </c>
      <c r="E66" s="3" t="s">
        <v>397</v>
      </c>
      <c r="F66" t="s">
        <v>23</v>
      </c>
      <c r="L66" s="449" t="s">
        <v>210</v>
      </c>
    </row>
    <row r="67" spans="1:12">
      <c r="A67" s="21">
        <v>46034</v>
      </c>
      <c r="B67" s="29" t="s">
        <v>1043</v>
      </c>
      <c r="C67" s="6" t="s">
        <v>307</v>
      </c>
      <c r="D67" s="30">
        <v>869.1</v>
      </c>
      <c r="E67" s="3" t="s">
        <v>397</v>
      </c>
      <c r="F67" t="s">
        <v>23</v>
      </c>
      <c r="L67" s="133" t="s">
        <v>210</v>
      </c>
    </row>
    <row r="68" spans="1:12">
      <c r="A68" s="21">
        <v>46034</v>
      </c>
      <c r="B68" s="29" t="s">
        <v>1010</v>
      </c>
      <c r="C68" s="6" t="s">
        <v>307</v>
      </c>
      <c r="D68" s="30">
        <v>628.5</v>
      </c>
      <c r="E68" s="3" t="s">
        <v>397</v>
      </c>
      <c r="F68" t="s">
        <v>23</v>
      </c>
      <c r="L68" s="133" t="s">
        <v>210</v>
      </c>
    </row>
    <row r="69" spans="1:12">
      <c r="A69" s="21">
        <v>46034</v>
      </c>
      <c r="B69" s="29" t="s">
        <v>1044</v>
      </c>
      <c r="C69" s="6" t="s">
        <v>1857</v>
      </c>
      <c r="D69" s="30">
        <v>2261.3200000000002</v>
      </c>
      <c r="E69" s="3" t="s">
        <v>397</v>
      </c>
      <c r="F69" t="s">
        <v>23</v>
      </c>
      <c r="L69" s="133" t="s">
        <v>210</v>
      </c>
    </row>
    <row r="70" spans="1:12">
      <c r="A70" s="21">
        <v>46034</v>
      </c>
      <c r="B70" s="29" t="s">
        <v>1045</v>
      </c>
      <c r="C70" s="6" t="s">
        <v>307</v>
      </c>
      <c r="D70" s="30">
        <v>592.01</v>
      </c>
      <c r="E70" s="3" t="s">
        <v>397</v>
      </c>
      <c r="F70" t="s">
        <v>23</v>
      </c>
      <c r="L70" s="133" t="s">
        <v>210</v>
      </c>
    </row>
    <row r="71" spans="1:12">
      <c r="A71" s="21">
        <v>46034</v>
      </c>
      <c r="B71" s="29" t="s">
        <v>1046</v>
      </c>
      <c r="C71" s="6" t="s">
        <v>188</v>
      </c>
      <c r="D71" s="30">
        <v>47.37</v>
      </c>
      <c r="E71" s="3" t="s">
        <v>397</v>
      </c>
      <c r="F71" t="s">
        <v>23</v>
      </c>
      <c r="L71" s="133" t="s">
        <v>210</v>
      </c>
    </row>
    <row r="72" spans="1:12">
      <c r="A72" s="21">
        <v>46034</v>
      </c>
      <c r="B72" s="29" t="s">
        <v>1021</v>
      </c>
      <c r="C72" s="6" t="s">
        <v>307</v>
      </c>
      <c r="D72" s="30">
        <v>451.13</v>
      </c>
      <c r="E72" s="3" t="s">
        <v>397</v>
      </c>
      <c r="F72" t="s">
        <v>23</v>
      </c>
    </row>
    <row r="73" spans="1:12">
      <c r="A73" s="21">
        <v>46034</v>
      </c>
      <c r="B73" s="29" t="s">
        <v>1021</v>
      </c>
      <c r="C73" s="6" t="s">
        <v>307</v>
      </c>
      <c r="D73" s="30">
        <v>553.80999999999995</v>
      </c>
      <c r="E73" s="3" t="s">
        <v>397</v>
      </c>
      <c r="F73" t="s">
        <v>23</v>
      </c>
    </row>
    <row r="74" spans="1:12">
      <c r="A74" s="21">
        <v>46034</v>
      </c>
      <c r="B74" s="29" t="s">
        <v>1047</v>
      </c>
      <c r="C74" s="6" t="s">
        <v>307</v>
      </c>
      <c r="D74" s="30">
        <v>35</v>
      </c>
      <c r="E74" s="3" t="s">
        <v>397</v>
      </c>
      <c r="F74" t="s">
        <v>23</v>
      </c>
    </row>
    <row r="75" spans="1:12">
      <c r="A75" s="21">
        <v>46034</v>
      </c>
      <c r="B75" s="29" t="s">
        <v>1013</v>
      </c>
      <c r="C75" s="6" t="s">
        <v>307</v>
      </c>
      <c r="D75" s="30">
        <v>601.20000000000005</v>
      </c>
      <c r="E75" s="3" t="s">
        <v>397</v>
      </c>
      <c r="F75" t="s">
        <v>23</v>
      </c>
    </row>
    <row r="76" spans="1:12">
      <c r="A76" s="21">
        <v>46034</v>
      </c>
      <c r="B76" s="29" t="s">
        <v>1013</v>
      </c>
      <c r="C76" s="6" t="s">
        <v>307</v>
      </c>
      <c r="D76" s="30">
        <v>544.29999999999995</v>
      </c>
      <c r="E76" s="3" t="s">
        <v>397</v>
      </c>
      <c r="F76" t="s">
        <v>23</v>
      </c>
    </row>
    <row r="77" spans="1:12">
      <c r="A77" s="21">
        <v>46034</v>
      </c>
      <c r="B77" s="22" t="s">
        <v>305</v>
      </c>
      <c r="C77" s="6" t="s">
        <v>175</v>
      </c>
      <c r="D77" s="24">
        <v>11.9</v>
      </c>
      <c r="E77" s="3" t="s">
        <v>397</v>
      </c>
      <c r="F77" t="s">
        <v>23</v>
      </c>
    </row>
    <row r="78" spans="1:12">
      <c r="A78" s="21">
        <v>46035</v>
      </c>
      <c r="B78" s="22" t="s">
        <v>1048</v>
      </c>
      <c r="C78" s="6" t="s">
        <v>307</v>
      </c>
      <c r="D78" s="24">
        <v>529.5</v>
      </c>
      <c r="E78" s="3" t="s">
        <v>397</v>
      </c>
      <c r="F78" t="s">
        <v>23</v>
      </c>
    </row>
    <row r="79" spans="1:12">
      <c r="A79" s="21">
        <v>46035</v>
      </c>
      <c r="B79" s="22" t="s">
        <v>1008</v>
      </c>
      <c r="C79" s="6" t="s">
        <v>307</v>
      </c>
      <c r="D79" s="24">
        <v>286.66000000000003</v>
      </c>
      <c r="E79" s="3" t="s">
        <v>397</v>
      </c>
      <c r="F79" t="s">
        <v>23</v>
      </c>
    </row>
    <row r="80" spans="1:12">
      <c r="A80" s="21">
        <v>46035</v>
      </c>
      <c r="B80" s="22" t="s">
        <v>305</v>
      </c>
      <c r="C80" s="23" t="s">
        <v>175</v>
      </c>
      <c r="D80" s="24">
        <v>5.0999999999999996</v>
      </c>
      <c r="E80" s="3" t="s">
        <v>397</v>
      </c>
      <c r="F80" t="s">
        <v>23</v>
      </c>
    </row>
    <row r="81" spans="1:12">
      <c r="A81" s="21">
        <v>46036</v>
      </c>
      <c r="B81" s="22" t="s">
        <v>305</v>
      </c>
      <c r="C81" s="23" t="s">
        <v>175</v>
      </c>
      <c r="D81" s="24">
        <v>8.5</v>
      </c>
      <c r="E81" s="3" t="s">
        <v>397</v>
      </c>
      <c r="F81" t="s">
        <v>23</v>
      </c>
    </row>
    <row r="82" spans="1:12">
      <c r="A82" s="21">
        <v>46036</v>
      </c>
      <c r="B82" s="22" t="s">
        <v>1013</v>
      </c>
      <c r="C82" s="23" t="s">
        <v>307</v>
      </c>
      <c r="D82" s="24">
        <v>2064.71</v>
      </c>
      <c r="E82" s="3" t="s">
        <v>397</v>
      </c>
      <c r="F82" t="s">
        <v>23</v>
      </c>
    </row>
    <row r="83" spans="1:12">
      <c r="A83" s="21">
        <v>46036</v>
      </c>
      <c r="B83" s="22" t="s">
        <v>1013</v>
      </c>
      <c r="C83" s="23" t="s">
        <v>307</v>
      </c>
      <c r="D83" s="24">
        <v>717.27</v>
      </c>
      <c r="E83" s="3" t="s">
        <v>397</v>
      </c>
      <c r="F83" t="s">
        <v>23</v>
      </c>
    </row>
    <row r="84" spans="1:12">
      <c r="A84" s="21">
        <v>46037</v>
      </c>
      <c r="B84" s="22" t="s">
        <v>1008</v>
      </c>
      <c r="C84" s="23" t="s">
        <v>307</v>
      </c>
      <c r="D84" s="24">
        <v>545</v>
      </c>
      <c r="E84" s="3" t="s">
        <v>397</v>
      </c>
      <c r="F84" t="s">
        <v>23</v>
      </c>
    </row>
    <row r="85" spans="1:12">
      <c r="A85" s="21">
        <v>46037</v>
      </c>
      <c r="B85" s="22" t="s">
        <v>1049</v>
      </c>
      <c r="C85" s="23" t="s">
        <v>307</v>
      </c>
      <c r="D85" s="24">
        <v>725</v>
      </c>
      <c r="E85" s="3" t="s">
        <v>397</v>
      </c>
      <c r="F85" t="s">
        <v>23</v>
      </c>
    </row>
    <row r="86" spans="1:12">
      <c r="A86" s="21">
        <v>46037</v>
      </c>
      <c r="B86" s="22" t="s">
        <v>1015</v>
      </c>
      <c r="C86" s="23" t="s">
        <v>307</v>
      </c>
      <c r="D86" s="24">
        <v>277.94</v>
      </c>
      <c r="E86" s="3" t="s">
        <v>397</v>
      </c>
      <c r="F86" t="s">
        <v>23</v>
      </c>
    </row>
    <row r="87" spans="1:12">
      <c r="A87" s="21">
        <v>46037</v>
      </c>
      <c r="B87" s="22" t="s">
        <v>318</v>
      </c>
      <c r="C87" s="23" t="s">
        <v>192</v>
      </c>
      <c r="D87" s="24">
        <v>573</v>
      </c>
      <c r="E87" s="3" t="s">
        <v>397</v>
      </c>
      <c r="F87" t="s">
        <v>23</v>
      </c>
    </row>
    <row r="88" spans="1:12">
      <c r="A88" s="21">
        <v>46037</v>
      </c>
      <c r="B88" s="22" t="s">
        <v>1002</v>
      </c>
      <c r="C88" s="23" t="s">
        <v>307</v>
      </c>
      <c r="D88" s="24">
        <v>955.52</v>
      </c>
      <c r="E88" s="3" t="s">
        <v>397</v>
      </c>
      <c r="F88" t="s">
        <v>23</v>
      </c>
    </row>
    <row r="89" spans="1:12">
      <c r="A89" s="21">
        <v>46038</v>
      </c>
      <c r="B89" s="22" t="s">
        <v>1050</v>
      </c>
      <c r="C89" s="23" t="s">
        <v>307</v>
      </c>
      <c r="D89" s="24">
        <v>391</v>
      </c>
      <c r="E89" s="3" t="s">
        <v>397</v>
      </c>
      <c r="F89" t="s">
        <v>23</v>
      </c>
    </row>
    <row r="90" spans="1:12">
      <c r="A90" s="21">
        <v>46038</v>
      </c>
      <c r="B90" s="22" t="s">
        <v>1005</v>
      </c>
      <c r="C90" s="23" t="s">
        <v>307</v>
      </c>
      <c r="D90" s="24">
        <v>850</v>
      </c>
      <c r="E90" s="3" t="s">
        <v>397</v>
      </c>
      <c r="F90" t="s">
        <v>23</v>
      </c>
    </row>
    <row r="91" spans="1:12">
      <c r="A91" s="21">
        <v>46038</v>
      </c>
      <c r="B91" s="3" t="s">
        <v>1051</v>
      </c>
      <c r="C91" s="23" t="s">
        <v>210</v>
      </c>
      <c r="D91" s="24">
        <v>550</v>
      </c>
      <c r="E91" s="3" t="s">
        <v>397</v>
      </c>
      <c r="F91" t="s">
        <v>23</v>
      </c>
    </row>
    <row r="92" spans="1:12">
      <c r="A92" s="21">
        <v>46038</v>
      </c>
      <c r="B92" s="22" t="s">
        <v>305</v>
      </c>
      <c r="C92" s="23" t="s">
        <v>175</v>
      </c>
      <c r="D92" s="24">
        <v>30.6</v>
      </c>
      <c r="E92" s="3" t="s">
        <v>397</v>
      </c>
      <c r="F92" t="s">
        <v>23</v>
      </c>
    </row>
    <row r="93" spans="1:12">
      <c r="A93" s="21">
        <v>46041</v>
      </c>
      <c r="B93" s="22" t="s">
        <v>1013</v>
      </c>
      <c r="C93" s="23" t="s">
        <v>307</v>
      </c>
      <c r="D93" s="24">
        <v>433.71</v>
      </c>
      <c r="E93" s="3" t="s">
        <v>397</v>
      </c>
      <c r="F93" t="s">
        <v>23</v>
      </c>
    </row>
    <row r="94" spans="1:12">
      <c r="A94" s="21">
        <v>46041</v>
      </c>
      <c r="B94" s="22" t="s">
        <v>1015</v>
      </c>
      <c r="C94" s="23" t="s">
        <v>307</v>
      </c>
      <c r="D94" s="24">
        <v>1253.33</v>
      </c>
      <c r="E94" s="3" t="s">
        <v>397</v>
      </c>
      <c r="F94" t="s">
        <v>23</v>
      </c>
    </row>
    <row r="95" spans="1:12">
      <c r="A95" s="21">
        <v>46041</v>
      </c>
      <c r="B95" s="22" t="s">
        <v>1052</v>
      </c>
      <c r="C95" s="23" t="s">
        <v>307</v>
      </c>
      <c r="D95" s="24">
        <v>1203.6099999999999</v>
      </c>
      <c r="E95" s="3" t="s">
        <v>397</v>
      </c>
      <c r="F95" t="s">
        <v>23</v>
      </c>
      <c r="L95"/>
    </row>
    <row r="96" spans="1:12">
      <c r="A96" s="21">
        <v>46041</v>
      </c>
      <c r="B96" s="22" t="s">
        <v>525</v>
      </c>
      <c r="C96" s="23" t="s">
        <v>203</v>
      </c>
      <c r="D96" s="24">
        <v>10000</v>
      </c>
      <c r="E96" s="3" t="s">
        <v>397</v>
      </c>
      <c r="F96" t="s">
        <v>23</v>
      </c>
      <c r="L96"/>
    </row>
    <row r="97" spans="1:12">
      <c r="A97" s="21">
        <v>46041</v>
      </c>
      <c r="B97" s="22" t="s">
        <v>305</v>
      </c>
      <c r="C97" s="23" t="s">
        <v>175</v>
      </c>
      <c r="D97" s="24">
        <v>6.8</v>
      </c>
      <c r="E97" s="3" t="s">
        <v>397</v>
      </c>
      <c r="F97" t="s">
        <v>23</v>
      </c>
      <c r="L97"/>
    </row>
    <row r="98" spans="1:12">
      <c r="A98" s="21">
        <v>46042</v>
      </c>
      <c r="B98" s="22" t="s">
        <v>1053</v>
      </c>
      <c r="C98" s="23" t="s">
        <v>188</v>
      </c>
      <c r="D98" s="24">
        <v>207.97</v>
      </c>
      <c r="E98" s="3" t="s">
        <v>397</v>
      </c>
      <c r="F98" t="s">
        <v>23</v>
      </c>
      <c r="L98"/>
    </row>
    <row r="99" spans="1:12">
      <c r="A99" s="21">
        <v>46042</v>
      </c>
      <c r="B99" s="22" t="s">
        <v>1054</v>
      </c>
      <c r="C99" s="23" t="s">
        <v>188</v>
      </c>
      <c r="D99" s="24">
        <v>477.44</v>
      </c>
      <c r="E99" s="3" t="s">
        <v>397</v>
      </c>
      <c r="F99" t="s">
        <v>23</v>
      </c>
      <c r="L99"/>
    </row>
    <row r="100" spans="1:12">
      <c r="A100" s="21">
        <v>46042</v>
      </c>
      <c r="B100" s="22" t="s">
        <v>1055</v>
      </c>
      <c r="C100" s="23" t="s">
        <v>188</v>
      </c>
      <c r="D100" s="24">
        <v>1102.52</v>
      </c>
      <c r="E100" s="3" t="s">
        <v>397</v>
      </c>
      <c r="F100" t="s">
        <v>23</v>
      </c>
      <c r="L100"/>
    </row>
    <row r="101" spans="1:12">
      <c r="A101" s="21">
        <v>46042</v>
      </c>
      <c r="B101" s="22" t="s">
        <v>1056</v>
      </c>
      <c r="C101" s="23" t="s">
        <v>188</v>
      </c>
      <c r="D101" s="24">
        <v>720</v>
      </c>
      <c r="E101" s="3" t="s">
        <v>397</v>
      </c>
      <c r="F101" t="s">
        <v>23</v>
      </c>
      <c r="L101"/>
    </row>
    <row r="102" spans="1:12">
      <c r="A102" s="21">
        <v>46042</v>
      </c>
      <c r="B102" s="22" t="s">
        <v>320</v>
      </c>
      <c r="C102" s="23" t="s">
        <v>313</v>
      </c>
      <c r="D102" s="24">
        <v>7456.26</v>
      </c>
      <c r="E102" s="3" t="s">
        <v>397</v>
      </c>
      <c r="F102" t="s">
        <v>23</v>
      </c>
      <c r="L102"/>
    </row>
    <row r="103" spans="1:12">
      <c r="A103" s="21">
        <v>46042</v>
      </c>
      <c r="B103" s="22" t="s">
        <v>1057</v>
      </c>
      <c r="C103" s="23" t="s">
        <v>207</v>
      </c>
      <c r="D103" s="24">
        <v>496.24</v>
      </c>
      <c r="E103" s="3" t="s">
        <v>397</v>
      </c>
      <c r="F103" t="s">
        <v>23</v>
      </c>
      <c r="L103"/>
    </row>
    <row r="104" spans="1:12">
      <c r="A104" s="21">
        <v>46042</v>
      </c>
      <c r="B104" s="22" t="s">
        <v>1057</v>
      </c>
      <c r="C104" s="23" t="s">
        <v>207</v>
      </c>
      <c r="D104" s="24">
        <v>473.47</v>
      </c>
      <c r="E104" s="3" t="s">
        <v>397</v>
      </c>
      <c r="F104" t="s">
        <v>23</v>
      </c>
      <c r="L104"/>
    </row>
    <row r="105" spans="1:12">
      <c r="A105" s="21">
        <v>46043</v>
      </c>
      <c r="B105" s="22" t="s">
        <v>305</v>
      </c>
      <c r="C105" s="23" t="s">
        <v>175</v>
      </c>
      <c r="D105" s="24">
        <v>3.4</v>
      </c>
      <c r="E105" s="3" t="s">
        <v>397</v>
      </c>
      <c r="F105" t="s">
        <v>23</v>
      </c>
      <c r="L105"/>
    </row>
    <row r="106" spans="1:12">
      <c r="A106" s="21">
        <v>46044</v>
      </c>
      <c r="B106" s="22" t="s">
        <v>1058</v>
      </c>
      <c r="C106" s="23" t="s">
        <v>307</v>
      </c>
      <c r="D106" s="24">
        <v>410.87</v>
      </c>
      <c r="E106" s="3" t="s">
        <v>397</v>
      </c>
      <c r="F106" t="s">
        <v>23</v>
      </c>
      <c r="L106"/>
    </row>
    <row r="107" spans="1:12">
      <c r="A107" s="21">
        <v>46044</v>
      </c>
      <c r="B107" s="22" t="s">
        <v>305</v>
      </c>
      <c r="C107" s="23" t="s">
        <v>175</v>
      </c>
      <c r="D107" s="24">
        <v>1.7</v>
      </c>
      <c r="E107" s="3" t="s">
        <v>397</v>
      </c>
      <c r="F107" t="s">
        <v>23</v>
      </c>
      <c r="L107"/>
    </row>
    <row r="108" spans="1:12">
      <c r="A108" s="21">
        <v>46044</v>
      </c>
      <c r="B108" s="22" t="s">
        <v>1052</v>
      </c>
      <c r="C108" s="23" t="s">
        <v>307</v>
      </c>
      <c r="D108" s="24">
        <v>945.24</v>
      </c>
      <c r="E108" s="3" t="s">
        <v>397</v>
      </c>
      <c r="F108" t="s">
        <v>23</v>
      </c>
      <c r="L108"/>
    </row>
    <row r="109" spans="1:12">
      <c r="A109" s="21">
        <v>46044</v>
      </c>
      <c r="B109" s="22" t="s">
        <v>1027</v>
      </c>
      <c r="C109" s="23" t="s">
        <v>307</v>
      </c>
      <c r="D109" s="24">
        <v>1327.43</v>
      </c>
      <c r="E109" s="3" t="s">
        <v>397</v>
      </c>
      <c r="F109" t="s">
        <v>23</v>
      </c>
      <c r="L109"/>
    </row>
    <row r="110" spans="1:12">
      <c r="A110" s="21">
        <v>46045</v>
      </c>
      <c r="B110" s="22" t="s">
        <v>1013</v>
      </c>
      <c r="C110" s="23" t="s">
        <v>307</v>
      </c>
      <c r="D110" s="24">
        <v>533.92999999999995</v>
      </c>
      <c r="E110" s="3" t="s">
        <v>397</v>
      </c>
      <c r="F110" t="s">
        <v>23</v>
      </c>
      <c r="L110"/>
    </row>
    <row r="111" spans="1:12">
      <c r="A111" s="21">
        <v>46045</v>
      </c>
      <c r="B111" s="22" t="s">
        <v>305</v>
      </c>
      <c r="C111" s="23" t="s">
        <v>175</v>
      </c>
      <c r="D111" s="24">
        <v>1.7</v>
      </c>
      <c r="E111" s="3" t="s">
        <v>397</v>
      </c>
      <c r="F111" t="s">
        <v>23</v>
      </c>
      <c r="L111"/>
    </row>
    <row r="112" spans="1:12">
      <c r="A112" s="21">
        <v>46048</v>
      </c>
      <c r="B112" s="22" t="s">
        <v>305</v>
      </c>
      <c r="C112" s="23" t="s">
        <v>175</v>
      </c>
      <c r="D112" s="24">
        <v>8.5</v>
      </c>
      <c r="E112" s="3" t="s">
        <v>397</v>
      </c>
      <c r="F112" t="s">
        <v>23</v>
      </c>
      <c r="L112"/>
    </row>
    <row r="113" spans="1:12">
      <c r="A113" s="21">
        <v>46048</v>
      </c>
      <c r="B113" s="22" t="s">
        <v>1059</v>
      </c>
      <c r="C113" s="23" t="s">
        <v>192</v>
      </c>
      <c r="D113" s="24">
        <v>213.32</v>
      </c>
      <c r="E113" s="3" t="s">
        <v>397</v>
      </c>
      <c r="F113" t="s">
        <v>23</v>
      </c>
      <c r="L113"/>
    </row>
    <row r="114" spans="1:12">
      <c r="A114" s="21">
        <v>46048</v>
      </c>
      <c r="B114" s="22" t="s">
        <v>1060</v>
      </c>
      <c r="C114" s="23" t="s">
        <v>179</v>
      </c>
      <c r="D114" s="24">
        <v>378</v>
      </c>
      <c r="E114" s="3" t="s">
        <v>397</v>
      </c>
      <c r="F114" t="s">
        <v>23</v>
      </c>
      <c r="L114"/>
    </row>
    <row r="115" spans="1:12">
      <c r="A115" s="21">
        <v>46048</v>
      </c>
      <c r="B115" s="22" t="s">
        <v>1031</v>
      </c>
      <c r="C115" s="23" t="s">
        <v>307</v>
      </c>
      <c r="D115" s="24">
        <v>3830</v>
      </c>
      <c r="E115" s="3" t="s">
        <v>397</v>
      </c>
      <c r="F115" t="s">
        <v>23</v>
      </c>
      <c r="L115"/>
    </row>
    <row r="116" spans="1:12">
      <c r="A116" s="21">
        <v>46048</v>
      </c>
      <c r="B116" s="22" t="s">
        <v>1013</v>
      </c>
      <c r="C116" s="23" t="s">
        <v>307</v>
      </c>
      <c r="D116" s="24">
        <v>2064.71</v>
      </c>
      <c r="E116" s="3" t="s">
        <v>397</v>
      </c>
      <c r="F116" t="s">
        <v>23</v>
      </c>
      <c r="L116"/>
    </row>
    <row r="117" spans="1:12">
      <c r="A117" s="21">
        <v>46048</v>
      </c>
      <c r="B117" s="22" t="s">
        <v>1038</v>
      </c>
      <c r="C117" s="23" t="s">
        <v>307</v>
      </c>
      <c r="D117" s="24">
        <v>1426.53</v>
      </c>
      <c r="E117" s="3" t="s">
        <v>397</v>
      </c>
      <c r="F117" t="s">
        <v>23</v>
      </c>
      <c r="L117"/>
    </row>
    <row r="118" spans="1:12">
      <c r="A118" s="21">
        <v>46048</v>
      </c>
      <c r="B118" s="22" t="s">
        <v>1021</v>
      </c>
      <c r="C118" s="23" t="s">
        <v>307</v>
      </c>
      <c r="D118" s="24">
        <v>490.1</v>
      </c>
      <c r="E118" s="3" t="s">
        <v>397</v>
      </c>
      <c r="F118" t="s">
        <v>23</v>
      </c>
      <c r="L118"/>
    </row>
    <row r="119" spans="1:12">
      <c r="A119" s="21">
        <v>46048</v>
      </c>
      <c r="B119" s="22" t="s">
        <v>1061</v>
      </c>
      <c r="C119" s="23" t="s">
        <v>192</v>
      </c>
      <c r="D119" s="24">
        <v>368.11</v>
      </c>
      <c r="E119" s="3" t="s">
        <v>397</v>
      </c>
      <c r="F119" t="s">
        <v>23</v>
      </c>
      <c r="L119"/>
    </row>
    <row r="120" spans="1:12">
      <c r="A120" s="21">
        <v>46048</v>
      </c>
      <c r="B120" s="22" t="s">
        <v>1052</v>
      </c>
      <c r="C120" s="23" t="s">
        <v>307</v>
      </c>
      <c r="D120" s="24">
        <v>1203.6099999999999</v>
      </c>
      <c r="E120" s="3" t="s">
        <v>397</v>
      </c>
      <c r="F120" t="s">
        <v>23</v>
      </c>
      <c r="L120"/>
    </row>
    <row r="121" spans="1:12">
      <c r="A121" s="21">
        <v>46048</v>
      </c>
      <c r="B121" s="22" t="s">
        <v>1013</v>
      </c>
      <c r="C121" s="23" t="s">
        <v>307</v>
      </c>
      <c r="D121" s="24">
        <v>544.29999999999995</v>
      </c>
      <c r="E121" s="3" t="s">
        <v>397</v>
      </c>
      <c r="F121" t="s">
        <v>23</v>
      </c>
      <c r="L121"/>
    </row>
    <row r="122" spans="1:12">
      <c r="A122" s="21">
        <v>46048</v>
      </c>
      <c r="B122" s="22" t="s">
        <v>1062</v>
      </c>
      <c r="C122" s="23" t="s">
        <v>179</v>
      </c>
      <c r="D122" s="24">
        <v>1363.18</v>
      </c>
      <c r="E122" s="3" t="s">
        <v>397</v>
      </c>
      <c r="F122" t="s">
        <v>23</v>
      </c>
      <c r="L122"/>
    </row>
    <row r="123" spans="1:12">
      <c r="A123" s="21">
        <v>46048</v>
      </c>
      <c r="B123" s="22" t="s">
        <v>1010</v>
      </c>
      <c r="C123" s="23" t="s">
        <v>307</v>
      </c>
      <c r="D123" s="24">
        <v>628.5</v>
      </c>
      <c r="E123" s="3" t="s">
        <v>397</v>
      </c>
      <c r="F123" t="s">
        <v>23</v>
      </c>
      <c r="L123"/>
    </row>
    <row r="124" spans="1:12">
      <c r="A124" s="21">
        <v>46048</v>
      </c>
      <c r="B124" s="22" t="s">
        <v>1006</v>
      </c>
      <c r="C124" s="23" t="s">
        <v>307</v>
      </c>
      <c r="D124" s="24">
        <v>272</v>
      </c>
      <c r="E124" s="3" t="s">
        <v>397</v>
      </c>
      <c r="F124" t="s">
        <v>23</v>
      </c>
      <c r="L124"/>
    </row>
    <row r="125" spans="1:12">
      <c r="A125" s="21">
        <v>46048</v>
      </c>
      <c r="B125" s="25" t="s">
        <v>1023</v>
      </c>
      <c r="C125" s="6" t="s">
        <v>199</v>
      </c>
      <c r="D125" s="26">
        <v>800</v>
      </c>
      <c r="E125" s="3" t="s">
        <v>397</v>
      </c>
      <c r="F125" t="s">
        <v>23</v>
      </c>
      <c r="L125"/>
    </row>
    <row r="126" spans="1:12">
      <c r="A126" s="21">
        <v>46048</v>
      </c>
      <c r="B126" s="22" t="s">
        <v>1015</v>
      </c>
      <c r="C126" s="23" t="s">
        <v>307</v>
      </c>
      <c r="D126" s="24">
        <v>95.55</v>
      </c>
      <c r="E126" s="3" t="s">
        <v>397</v>
      </c>
      <c r="F126" t="s">
        <v>23</v>
      </c>
      <c r="L126"/>
    </row>
    <row r="127" spans="1:12">
      <c r="A127" s="21">
        <v>46048</v>
      </c>
      <c r="B127" s="22" t="s">
        <v>1015</v>
      </c>
      <c r="C127" s="23" t="s">
        <v>307</v>
      </c>
      <c r="D127" s="24">
        <v>32.01</v>
      </c>
      <c r="E127" s="3" t="s">
        <v>397</v>
      </c>
      <c r="F127" t="s">
        <v>23</v>
      </c>
      <c r="L127"/>
    </row>
    <row r="128" spans="1:12">
      <c r="A128" s="21">
        <v>46049</v>
      </c>
      <c r="B128" s="22" t="s">
        <v>1063</v>
      </c>
      <c r="C128" s="23" t="s">
        <v>192</v>
      </c>
      <c r="D128" s="24">
        <v>4200</v>
      </c>
      <c r="E128" s="3" t="s">
        <v>397</v>
      </c>
      <c r="F128" t="s">
        <v>23</v>
      </c>
      <c r="L128"/>
    </row>
    <row r="129" spans="1:12">
      <c r="A129" s="21">
        <v>46049</v>
      </c>
      <c r="B129" s="22" t="s">
        <v>305</v>
      </c>
      <c r="C129" s="23" t="s">
        <v>175</v>
      </c>
      <c r="D129" s="24">
        <v>1.7</v>
      </c>
      <c r="E129" s="3" t="s">
        <v>397</v>
      </c>
      <c r="F129" t="s">
        <v>23</v>
      </c>
      <c r="L129"/>
    </row>
    <row r="130" spans="1:12">
      <c r="A130" s="21">
        <v>46050</v>
      </c>
      <c r="B130" s="22" t="s">
        <v>1008</v>
      </c>
      <c r="C130" s="23" t="s">
        <v>307</v>
      </c>
      <c r="D130" s="24">
        <v>53</v>
      </c>
      <c r="E130" s="3" t="s">
        <v>397</v>
      </c>
      <c r="F130" t="s">
        <v>23</v>
      </c>
      <c r="L130"/>
    </row>
    <row r="131" spans="1:12">
      <c r="A131" s="21">
        <v>46050</v>
      </c>
      <c r="B131" s="22" t="s">
        <v>329</v>
      </c>
      <c r="C131" s="23" t="s">
        <v>197</v>
      </c>
      <c r="D131" s="24">
        <v>250</v>
      </c>
      <c r="E131" s="3" t="s">
        <v>397</v>
      </c>
      <c r="F131" t="s">
        <v>23</v>
      </c>
      <c r="L131"/>
    </row>
    <row r="132" spans="1:12">
      <c r="A132" s="21">
        <v>46050</v>
      </c>
      <c r="B132" s="22" t="s">
        <v>1064</v>
      </c>
      <c r="C132" s="23" t="s">
        <v>205</v>
      </c>
      <c r="D132" s="24">
        <v>147</v>
      </c>
      <c r="E132" s="3" t="s">
        <v>397</v>
      </c>
      <c r="F132" t="s">
        <v>23</v>
      </c>
      <c r="L132"/>
    </row>
    <row r="133" spans="1:12">
      <c r="A133" s="21">
        <v>46050</v>
      </c>
      <c r="B133" s="22" t="s">
        <v>1065</v>
      </c>
      <c r="C133" s="23" t="s">
        <v>190</v>
      </c>
      <c r="D133" s="24">
        <v>1000</v>
      </c>
      <c r="E133" s="3" t="s">
        <v>397</v>
      </c>
      <c r="F133" t="s">
        <v>23</v>
      </c>
      <c r="L133"/>
    </row>
    <row r="134" spans="1:12">
      <c r="A134" s="21">
        <v>46051</v>
      </c>
      <c r="B134" s="22" t="s">
        <v>305</v>
      </c>
      <c r="C134" s="23" t="s">
        <v>175</v>
      </c>
      <c r="D134" s="24">
        <v>1.7</v>
      </c>
      <c r="E134" s="3" t="s">
        <v>397</v>
      </c>
      <c r="F134" t="s">
        <v>23</v>
      </c>
      <c r="L134"/>
    </row>
    <row r="135" spans="1:12">
      <c r="A135" s="21">
        <v>46052</v>
      </c>
      <c r="B135" s="22" t="s">
        <v>1066</v>
      </c>
      <c r="C135" s="23" t="s">
        <v>210</v>
      </c>
      <c r="D135" s="24">
        <v>820</v>
      </c>
      <c r="E135" s="3" t="s">
        <v>397</v>
      </c>
      <c r="F135" t="s">
        <v>23</v>
      </c>
      <c r="L135"/>
    </row>
    <row r="136" spans="1:12">
      <c r="A136" s="21">
        <v>46052</v>
      </c>
      <c r="B136" s="22" t="s">
        <v>1006</v>
      </c>
      <c r="C136" s="23" t="s">
        <v>307</v>
      </c>
      <c r="D136" s="24">
        <v>450</v>
      </c>
      <c r="E136" s="3" t="s">
        <v>397</v>
      </c>
      <c r="F136" t="s">
        <v>23</v>
      </c>
      <c r="L136"/>
    </row>
    <row r="137" spans="1:12">
      <c r="A137" s="21">
        <v>46052</v>
      </c>
      <c r="B137" s="22" t="s">
        <v>325</v>
      </c>
      <c r="C137" s="23" t="s">
        <v>209</v>
      </c>
      <c r="D137" s="24">
        <v>2500</v>
      </c>
      <c r="E137" s="3" t="s">
        <v>397</v>
      </c>
      <c r="F137" t="s">
        <v>23</v>
      </c>
      <c r="L137"/>
    </row>
    <row r="138" spans="1:12">
      <c r="A138" s="21">
        <v>46052</v>
      </c>
      <c r="B138" s="22" t="s">
        <v>305</v>
      </c>
      <c r="C138" s="23" t="s">
        <v>175</v>
      </c>
      <c r="D138" s="24">
        <v>3.4</v>
      </c>
      <c r="E138" s="3" t="s">
        <v>397</v>
      </c>
      <c r="F138" t="s">
        <v>23</v>
      </c>
      <c r="L138"/>
    </row>
    <row r="139" spans="1:12" ht="30">
      <c r="A139" s="21">
        <v>46036</v>
      </c>
      <c r="B139" s="3" t="s">
        <v>302</v>
      </c>
      <c r="C139" s="420" t="s">
        <v>186</v>
      </c>
      <c r="D139" s="32">
        <v>6175.89</v>
      </c>
      <c r="E139" s="3" t="s">
        <v>523</v>
      </c>
      <c r="F139" t="s">
        <v>23</v>
      </c>
      <c r="H139">
        <v>40</v>
      </c>
      <c r="L139"/>
    </row>
    <row r="140" spans="1:12">
      <c r="A140" s="21">
        <v>46037</v>
      </c>
      <c r="B140" s="3" t="s">
        <v>1067</v>
      </c>
      <c r="C140" s="23" t="s">
        <v>175</v>
      </c>
      <c r="D140" s="32">
        <v>209.66</v>
      </c>
      <c r="E140" s="3" t="s">
        <v>523</v>
      </c>
      <c r="F140" t="s">
        <v>23</v>
      </c>
      <c r="L140"/>
    </row>
    <row r="141" spans="1:12">
      <c r="A141" s="21">
        <v>46044</v>
      </c>
      <c r="B141" s="3" t="s">
        <v>1068</v>
      </c>
      <c r="C141" s="23" t="s">
        <v>199</v>
      </c>
      <c r="D141" s="32">
        <v>1207</v>
      </c>
      <c r="E141" s="3" t="s">
        <v>523</v>
      </c>
      <c r="F141" t="s">
        <v>23</v>
      </c>
      <c r="L141"/>
    </row>
    <row r="142" spans="1:12">
      <c r="A142" s="126">
        <v>46055</v>
      </c>
      <c r="B142" s="127" t="s">
        <v>1069</v>
      </c>
      <c r="C142" s="133" t="s">
        <v>307</v>
      </c>
      <c r="D142" s="129">
        <v>1176</v>
      </c>
      <c r="E142" s="130" t="s">
        <v>397</v>
      </c>
      <c r="F142" s="124" t="s">
        <v>24</v>
      </c>
      <c r="G142" s="297">
        <f>SUM(D142:D290)</f>
        <v>133410.26</v>
      </c>
      <c r="L142"/>
    </row>
    <row r="143" spans="1:12">
      <c r="A143" s="126">
        <v>46055</v>
      </c>
      <c r="B143" s="131" t="s">
        <v>1070</v>
      </c>
      <c r="C143" s="133" t="s">
        <v>307</v>
      </c>
      <c r="D143" s="132">
        <v>466.5</v>
      </c>
      <c r="E143" s="130" t="s">
        <v>397</v>
      </c>
      <c r="F143" s="124" t="s">
        <v>24</v>
      </c>
      <c r="L143"/>
    </row>
    <row r="144" spans="1:12">
      <c r="A144" s="126">
        <v>46055</v>
      </c>
      <c r="B144" s="127" t="s">
        <v>305</v>
      </c>
      <c r="C144" s="133" t="s">
        <v>175</v>
      </c>
      <c r="D144" s="129">
        <v>5.0999999999999996</v>
      </c>
      <c r="E144" s="130" t="s">
        <v>397</v>
      </c>
      <c r="F144" s="124" t="s">
        <v>24</v>
      </c>
      <c r="L144"/>
    </row>
    <row r="145" spans="1:12">
      <c r="A145" s="126">
        <v>46056</v>
      </c>
      <c r="B145" s="127" t="s">
        <v>305</v>
      </c>
      <c r="C145" s="133" t="s">
        <v>175</v>
      </c>
      <c r="D145" s="129">
        <v>3.4</v>
      </c>
      <c r="E145" s="130" t="s">
        <v>397</v>
      </c>
      <c r="F145" s="124" t="s">
        <v>24</v>
      </c>
      <c r="L145"/>
    </row>
    <row r="146" spans="1:12">
      <c r="A146" s="126">
        <v>46056</v>
      </c>
      <c r="B146" s="131" t="s">
        <v>1071</v>
      </c>
      <c r="C146" s="133" t="s">
        <v>307</v>
      </c>
      <c r="D146" s="132">
        <v>791.35</v>
      </c>
      <c r="E146" s="130" t="s">
        <v>397</v>
      </c>
      <c r="F146" s="124" t="s">
        <v>24</v>
      </c>
      <c r="L146"/>
    </row>
    <row r="147" spans="1:12">
      <c r="A147" s="126">
        <v>46056</v>
      </c>
      <c r="B147" s="127" t="s">
        <v>1072</v>
      </c>
      <c r="C147" s="133" t="s">
        <v>307</v>
      </c>
      <c r="D147" s="129">
        <v>1253.33</v>
      </c>
      <c r="E147" s="130" t="s">
        <v>397</v>
      </c>
      <c r="F147" s="124" t="s">
        <v>24</v>
      </c>
      <c r="L147"/>
    </row>
    <row r="148" spans="1:12">
      <c r="A148" s="126">
        <v>46056</v>
      </c>
      <c r="B148" s="131" t="s">
        <v>1073</v>
      </c>
      <c r="C148" s="133" t="s">
        <v>307</v>
      </c>
      <c r="D148" s="132">
        <v>2064.71</v>
      </c>
      <c r="E148" s="130" t="s">
        <v>397</v>
      </c>
      <c r="F148" s="124" t="s">
        <v>24</v>
      </c>
      <c r="L148"/>
    </row>
    <row r="149" spans="1:12">
      <c r="A149" s="126">
        <v>46056</v>
      </c>
      <c r="B149" s="127" t="s">
        <v>1074</v>
      </c>
      <c r="C149" s="133" t="s">
        <v>307</v>
      </c>
      <c r="D149" s="129">
        <v>181.05</v>
      </c>
      <c r="E149" s="130" t="s">
        <v>397</v>
      </c>
      <c r="F149" s="124" t="s">
        <v>24</v>
      </c>
      <c r="L149"/>
    </row>
    <row r="150" spans="1:12">
      <c r="A150" s="126">
        <v>46056</v>
      </c>
      <c r="B150" s="133" t="s">
        <v>305</v>
      </c>
      <c r="C150" s="133" t="s">
        <v>175</v>
      </c>
      <c r="D150" s="134">
        <v>1.7</v>
      </c>
      <c r="E150" s="130" t="s">
        <v>397</v>
      </c>
      <c r="F150" s="124" t="s">
        <v>24</v>
      </c>
      <c r="L150"/>
    </row>
    <row r="151" spans="1:12">
      <c r="A151" s="126">
        <v>46057</v>
      </c>
      <c r="B151" s="131" t="s">
        <v>674</v>
      </c>
      <c r="C151" s="133" t="s">
        <v>307</v>
      </c>
      <c r="D151" s="132">
        <v>612.5</v>
      </c>
      <c r="E151" s="130" t="s">
        <v>397</v>
      </c>
      <c r="F151" s="124" t="s">
        <v>24</v>
      </c>
      <c r="L151"/>
    </row>
    <row r="152" spans="1:12">
      <c r="A152" s="126">
        <v>46057</v>
      </c>
      <c r="B152" s="127" t="s">
        <v>1075</v>
      </c>
      <c r="C152" s="133" t="s">
        <v>307</v>
      </c>
      <c r="D152" s="129">
        <v>150</v>
      </c>
      <c r="E152" s="130" t="s">
        <v>397</v>
      </c>
      <c r="F152" s="124" t="s">
        <v>24</v>
      </c>
      <c r="L152"/>
    </row>
    <row r="153" spans="1:12">
      <c r="A153" s="126">
        <v>46058</v>
      </c>
      <c r="B153" s="135" t="s">
        <v>1076</v>
      </c>
      <c r="C153" s="135" t="s">
        <v>192</v>
      </c>
      <c r="D153" s="136">
        <v>1270</v>
      </c>
      <c r="E153" s="130" t="s">
        <v>397</v>
      </c>
      <c r="F153" s="124" t="s">
        <v>24</v>
      </c>
      <c r="L153"/>
    </row>
    <row r="154" spans="1:12">
      <c r="A154" s="126">
        <v>46058</v>
      </c>
      <c r="B154" s="135" t="s">
        <v>1077</v>
      </c>
      <c r="C154" s="135" t="s">
        <v>210</v>
      </c>
      <c r="D154" s="136">
        <v>1523.39</v>
      </c>
      <c r="E154" s="130" t="s">
        <v>397</v>
      </c>
      <c r="F154" s="124" t="s">
        <v>24</v>
      </c>
      <c r="L154"/>
    </row>
    <row r="155" spans="1:12">
      <c r="A155" s="126">
        <v>46058</v>
      </c>
      <c r="B155" s="135" t="s">
        <v>1015</v>
      </c>
      <c r="C155" s="135" t="s">
        <v>307</v>
      </c>
      <c r="D155" s="136">
        <v>61.59</v>
      </c>
      <c r="E155" s="130" t="s">
        <v>397</v>
      </c>
      <c r="F155" s="124" t="s">
        <v>24</v>
      </c>
      <c r="L155"/>
    </row>
    <row r="156" spans="1:12">
      <c r="A156" s="126">
        <v>46058</v>
      </c>
      <c r="B156" s="135" t="s">
        <v>1078</v>
      </c>
      <c r="C156" s="135" t="s">
        <v>307</v>
      </c>
      <c r="D156" s="136">
        <v>182.32</v>
      </c>
      <c r="E156" s="130" t="s">
        <v>397</v>
      </c>
      <c r="F156" s="124" t="s">
        <v>24</v>
      </c>
      <c r="L156"/>
    </row>
    <row r="157" spans="1:12" ht="30">
      <c r="A157" s="126">
        <v>46058</v>
      </c>
      <c r="B157" s="135" t="s">
        <v>1079</v>
      </c>
      <c r="C157" s="135" t="s">
        <v>307</v>
      </c>
      <c r="D157" s="136">
        <v>282.85000000000002</v>
      </c>
      <c r="E157" s="130" t="s">
        <v>397</v>
      </c>
      <c r="F157" s="124" t="s">
        <v>24</v>
      </c>
      <c r="L157"/>
    </row>
    <row r="158" spans="1:12">
      <c r="A158" s="126">
        <v>46058</v>
      </c>
      <c r="B158" s="135" t="s">
        <v>1008</v>
      </c>
      <c r="C158" s="135" t="s">
        <v>307</v>
      </c>
      <c r="D158" s="136">
        <v>91.58</v>
      </c>
      <c r="E158" s="130" t="s">
        <v>397</v>
      </c>
      <c r="F158" s="124" t="s">
        <v>24</v>
      </c>
      <c r="L158"/>
    </row>
    <row r="159" spans="1:12">
      <c r="A159" s="126">
        <v>46058</v>
      </c>
      <c r="B159" s="135" t="s">
        <v>1080</v>
      </c>
      <c r="C159" s="135" t="s">
        <v>307</v>
      </c>
      <c r="D159" s="136">
        <v>35</v>
      </c>
      <c r="E159" s="130" t="s">
        <v>397</v>
      </c>
      <c r="F159" s="124" t="s">
        <v>24</v>
      </c>
      <c r="L159"/>
    </row>
    <row r="160" spans="1:12">
      <c r="A160" s="126">
        <v>46058</v>
      </c>
      <c r="B160" s="128" t="s">
        <v>305</v>
      </c>
      <c r="C160" s="133" t="s">
        <v>175</v>
      </c>
      <c r="D160" s="129">
        <v>9.0500000000000007</v>
      </c>
      <c r="E160" s="130" t="s">
        <v>397</v>
      </c>
      <c r="F160" s="124" t="s">
        <v>24</v>
      </c>
      <c r="L160"/>
    </row>
    <row r="161" spans="1:12">
      <c r="A161" s="126">
        <v>46059</v>
      </c>
      <c r="B161" s="131" t="s">
        <v>674</v>
      </c>
      <c r="C161" s="133" t="s">
        <v>307</v>
      </c>
      <c r="D161" s="132">
        <v>816.8</v>
      </c>
      <c r="E161" s="130" t="s">
        <v>397</v>
      </c>
      <c r="F161" s="124" t="s">
        <v>24</v>
      </c>
      <c r="L161"/>
    </row>
    <row r="162" spans="1:12">
      <c r="A162" s="126">
        <v>46059</v>
      </c>
      <c r="B162" s="127" t="s">
        <v>1073</v>
      </c>
      <c r="C162" s="133" t="s">
        <v>307</v>
      </c>
      <c r="D162" s="129">
        <v>536.9</v>
      </c>
      <c r="E162" s="130" t="s">
        <v>397</v>
      </c>
      <c r="F162" s="124" t="s">
        <v>24</v>
      </c>
      <c r="L162"/>
    </row>
    <row r="163" spans="1:12">
      <c r="A163" s="126">
        <v>46059</v>
      </c>
      <c r="B163" s="131" t="s">
        <v>306</v>
      </c>
      <c r="C163" s="133" t="s">
        <v>307</v>
      </c>
      <c r="D163" s="132">
        <v>660.73</v>
      </c>
      <c r="E163" s="130" t="s">
        <v>397</v>
      </c>
      <c r="F163" s="124" t="s">
        <v>24</v>
      </c>
      <c r="L163"/>
    </row>
    <row r="164" spans="1:12">
      <c r="A164" s="126">
        <v>46059</v>
      </c>
      <c r="B164" s="137" t="s">
        <v>1081</v>
      </c>
      <c r="C164" s="133" t="s">
        <v>307</v>
      </c>
      <c r="D164" s="138">
        <v>250</v>
      </c>
      <c r="E164" s="130" t="s">
        <v>397</v>
      </c>
      <c r="F164" s="124" t="s">
        <v>24</v>
      </c>
      <c r="L164"/>
    </row>
    <row r="165" spans="1:12">
      <c r="A165" s="126">
        <v>46059</v>
      </c>
      <c r="B165" s="137" t="s">
        <v>1082</v>
      </c>
      <c r="C165" s="421" t="s">
        <v>208</v>
      </c>
      <c r="D165" s="138">
        <v>931.72</v>
      </c>
      <c r="E165" s="130" t="s">
        <v>397</v>
      </c>
      <c r="F165" s="124" t="s">
        <v>24</v>
      </c>
      <c r="L165"/>
    </row>
    <row r="166" spans="1:12">
      <c r="A166" s="126">
        <v>46059</v>
      </c>
      <c r="B166" s="137" t="s">
        <v>318</v>
      </c>
      <c r="C166" s="133" t="s">
        <v>181</v>
      </c>
      <c r="D166" s="138">
        <v>2500</v>
      </c>
      <c r="E166" s="130" t="s">
        <v>397</v>
      </c>
      <c r="F166" s="124" t="s">
        <v>24</v>
      </c>
      <c r="L166"/>
    </row>
    <row r="167" spans="1:12">
      <c r="A167" s="126">
        <v>46059</v>
      </c>
      <c r="B167" s="137" t="s">
        <v>1083</v>
      </c>
      <c r="C167" s="133" t="s">
        <v>188</v>
      </c>
      <c r="D167" s="138">
        <v>1500</v>
      </c>
      <c r="E167" s="130" t="s">
        <v>397</v>
      </c>
      <c r="F167" s="124" t="s">
        <v>24</v>
      </c>
      <c r="L167"/>
    </row>
    <row r="168" spans="1:12">
      <c r="A168" s="126">
        <v>46059</v>
      </c>
      <c r="B168" s="137" t="s">
        <v>1037</v>
      </c>
      <c r="C168" s="133" t="s">
        <v>188</v>
      </c>
      <c r="D168" s="138">
        <v>1405.87</v>
      </c>
      <c r="E168" s="130" t="s">
        <v>397</v>
      </c>
      <c r="F168" s="124" t="s">
        <v>24</v>
      </c>
      <c r="L168"/>
    </row>
    <row r="169" spans="1:12">
      <c r="A169" s="126">
        <v>46059</v>
      </c>
      <c r="B169" s="137" t="s">
        <v>1084</v>
      </c>
      <c r="C169" s="133" t="s">
        <v>188</v>
      </c>
      <c r="D169" s="138">
        <v>1220.8</v>
      </c>
      <c r="E169" s="130" t="s">
        <v>397</v>
      </c>
      <c r="F169" s="124" t="s">
        <v>24</v>
      </c>
      <c r="L169"/>
    </row>
    <row r="170" spans="1:12">
      <c r="A170" s="126">
        <v>46059</v>
      </c>
      <c r="B170" s="137" t="s">
        <v>1085</v>
      </c>
      <c r="C170" s="133" t="s">
        <v>188</v>
      </c>
      <c r="D170" s="138">
        <v>1163.92</v>
      </c>
      <c r="E170" s="130" t="s">
        <v>397</v>
      </c>
      <c r="F170" s="124" t="s">
        <v>24</v>
      </c>
      <c r="L170"/>
    </row>
    <row r="171" spans="1:12">
      <c r="A171" s="126">
        <v>46059</v>
      </c>
      <c r="B171" s="137" t="s">
        <v>1086</v>
      </c>
      <c r="C171" s="133" t="s">
        <v>210</v>
      </c>
      <c r="D171" s="138">
        <v>5171.87</v>
      </c>
      <c r="E171" s="130" t="s">
        <v>397</v>
      </c>
      <c r="F171" s="124" t="s">
        <v>24</v>
      </c>
      <c r="L171"/>
    </row>
    <row r="172" spans="1:12">
      <c r="A172" s="126">
        <v>46059</v>
      </c>
      <c r="B172" s="137" t="s">
        <v>305</v>
      </c>
      <c r="C172" s="133" t="s">
        <v>175</v>
      </c>
      <c r="D172" s="138">
        <v>12.67</v>
      </c>
      <c r="E172" s="130" t="s">
        <v>397</v>
      </c>
      <c r="F172" s="124" t="s">
        <v>24</v>
      </c>
      <c r="L172"/>
    </row>
    <row r="173" spans="1:12">
      <c r="A173" s="126">
        <v>46062</v>
      </c>
      <c r="B173" s="127" t="s">
        <v>305</v>
      </c>
      <c r="C173" s="133" t="s">
        <v>175</v>
      </c>
      <c r="D173" s="129">
        <v>7.24</v>
      </c>
      <c r="E173" s="130" t="s">
        <v>397</v>
      </c>
      <c r="F173" s="124" t="s">
        <v>24</v>
      </c>
      <c r="L173"/>
    </row>
    <row r="174" spans="1:12">
      <c r="A174" s="126">
        <v>46062</v>
      </c>
      <c r="B174" s="131" t="s">
        <v>1073</v>
      </c>
      <c r="C174" s="133" t="s">
        <v>307</v>
      </c>
      <c r="D174" s="132">
        <v>534.1</v>
      </c>
      <c r="E174" s="130" t="s">
        <v>397</v>
      </c>
      <c r="F174" s="124" t="s">
        <v>24</v>
      </c>
      <c r="L174"/>
    </row>
    <row r="175" spans="1:12">
      <c r="A175" s="126">
        <v>46062</v>
      </c>
      <c r="B175" s="127" t="s">
        <v>343</v>
      </c>
      <c r="C175" s="133" t="s">
        <v>307</v>
      </c>
      <c r="D175" s="129">
        <v>3830</v>
      </c>
      <c r="E175" s="130" t="s">
        <v>397</v>
      </c>
      <c r="F175" s="124" t="s">
        <v>24</v>
      </c>
      <c r="L175"/>
    </row>
    <row r="176" spans="1:12">
      <c r="A176" s="126">
        <v>46062</v>
      </c>
      <c r="B176" s="127" t="s">
        <v>1087</v>
      </c>
      <c r="C176" s="133" t="s">
        <v>307</v>
      </c>
      <c r="D176" s="129">
        <v>1079.58</v>
      </c>
      <c r="E176" s="130" t="s">
        <v>397</v>
      </c>
      <c r="F176" s="124" t="s">
        <v>24</v>
      </c>
      <c r="L176"/>
    </row>
    <row r="177" spans="1:12">
      <c r="A177" s="126">
        <v>46062</v>
      </c>
      <c r="B177" s="127" t="s">
        <v>306</v>
      </c>
      <c r="C177" s="133" t="s">
        <v>307</v>
      </c>
      <c r="D177" s="129">
        <v>1661.55</v>
      </c>
      <c r="E177" s="130" t="s">
        <v>397</v>
      </c>
      <c r="F177" s="124" t="s">
        <v>24</v>
      </c>
      <c r="L177"/>
    </row>
    <row r="178" spans="1:12">
      <c r="A178" s="139">
        <v>46062</v>
      </c>
      <c r="B178" s="140" t="s">
        <v>1088</v>
      </c>
      <c r="C178" s="158" t="s">
        <v>307</v>
      </c>
      <c r="D178" s="142">
        <v>1426.55</v>
      </c>
      <c r="E178" s="130" t="s">
        <v>397</v>
      </c>
      <c r="F178" s="124" t="s">
        <v>24</v>
      </c>
      <c r="L178"/>
    </row>
    <row r="179" spans="1:12">
      <c r="A179" s="126">
        <v>46063</v>
      </c>
      <c r="B179" s="131" t="s">
        <v>305</v>
      </c>
      <c r="C179" s="133" t="s">
        <v>175</v>
      </c>
      <c r="D179" s="132">
        <v>10.86</v>
      </c>
      <c r="E179" s="130" t="s">
        <v>397</v>
      </c>
      <c r="F179" s="124" t="s">
        <v>24</v>
      </c>
      <c r="L179"/>
    </row>
    <row r="180" spans="1:12">
      <c r="A180" s="126">
        <v>46063</v>
      </c>
      <c r="B180" s="131" t="s">
        <v>1089</v>
      </c>
      <c r="C180" s="133" t="s">
        <v>192</v>
      </c>
      <c r="D180" s="132">
        <v>213.16</v>
      </c>
      <c r="E180" s="130" t="s">
        <v>397</v>
      </c>
      <c r="F180" s="124" t="s">
        <v>24</v>
      </c>
      <c r="L180"/>
    </row>
    <row r="181" spans="1:12">
      <c r="A181" s="143">
        <v>46063</v>
      </c>
      <c r="B181" s="127" t="s">
        <v>1046</v>
      </c>
      <c r="C181" s="133" t="s">
        <v>188</v>
      </c>
      <c r="D181" s="129">
        <v>65.37</v>
      </c>
      <c r="E181" s="130" t="s">
        <v>397</v>
      </c>
      <c r="F181" s="124" t="s">
        <v>24</v>
      </c>
      <c r="L181"/>
    </row>
    <row r="182" spans="1:12">
      <c r="A182" s="144">
        <v>46063</v>
      </c>
      <c r="B182" s="131" t="s">
        <v>1090</v>
      </c>
      <c r="C182" s="133" t="s">
        <v>1857</v>
      </c>
      <c r="D182" s="132">
        <v>2620.16</v>
      </c>
      <c r="E182" s="130" t="s">
        <v>397</v>
      </c>
      <c r="F182" s="124" t="s">
        <v>24</v>
      </c>
      <c r="L182"/>
    </row>
    <row r="183" spans="1:12">
      <c r="A183" s="143">
        <v>46063</v>
      </c>
      <c r="B183" s="127" t="s">
        <v>1091</v>
      </c>
      <c r="C183" s="133" t="s">
        <v>307</v>
      </c>
      <c r="D183" s="129">
        <v>490</v>
      </c>
      <c r="E183" s="130" t="s">
        <v>397</v>
      </c>
      <c r="F183" s="124" t="s">
        <v>24</v>
      </c>
      <c r="L183"/>
    </row>
    <row r="184" spans="1:12">
      <c r="A184" s="144">
        <v>46063</v>
      </c>
      <c r="B184" s="131" t="s">
        <v>1013</v>
      </c>
      <c r="C184" s="133" t="s">
        <v>307</v>
      </c>
      <c r="D184" s="132">
        <v>367.17</v>
      </c>
      <c r="E184" s="130" t="s">
        <v>397</v>
      </c>
      <c r="F184" s="124" t="s">
        <v>24</v>
      </c>
      <c r="L184"/>
    </row>
    <row r="185" spans="1:12">
      <c r="A185" s="143">
        <v>46063</v>
      </c>
      <c r="B185" s="127" t="s">
        <v>1015</v>
      </c>
      <c r="C185" s="133" t="s">
        <v>307</v>
      </c>
      <c r="D185" s="129">
        <v>150</v>
      </c>
      <c r="E185" s="130" t="s">
        <v>397</v>
      </c>
      <c r="F185" s="124" t="s">
        <v>24</v>
      </c>
      <c r="L185"/>
    </row>
    <row r="186" spans="1:12">
      <c r="A186" s="144">
        <v>46063</v>
      </c>
      <c r="B186" s="131" t="s">
        <v>1013</v>
      </c>
      <c r="C186" s="133" t="s">
        <v>307</v>
      </c>
      <c r="D186" s="132">
        <v>544.47</v>
      </c>
      <c r="E186" s="130" t="s">
        <v>397</v>
      </c>
      <c r="F186" s="124" t="s">
        <v>24</v>
      </c>
      <c r="L186"/>
    </row>
    <row r="187" spans="1:12">
      <c r="A187" s="143">
        <v>46063</v>
      </c>
      <c r="B187" s="127" t="s">
        <v>1010</v>
      </c>
      <c r="C187" s="133" t="s">
        <v>307</v>
      </c>
      <c r="D187" s="129">
        <v>628.5</v>
      </c>
      <c r="E187" s="130" t="s">
        <v>397</v>
      </c>
      <c r="F187" s="124" t="s">
        <v>24</v>
      </c>
      <c r="L187"/>
    </row>
    <row r="188" spans="1:12" ht="15.75" thickBot="1">
      <c r="A188" s="145">
        <v>46064</v>
      </c>
      <c r="B188" s="146" t="s">
        <v>1009</v>
      </c>
      <c r="C188" s="154" t="s">
        <v>307</v>
      </c>
      <c r="D188" s="147">
        <v>115</v>
      </c>
      <c r="E188" s="130" t="s">
        <v>397</v>
      </c>
      <c r="F188" s="124" t="s">
        <v>24</v>
      </c>
      <c r="L188"/>
    </row>
    <row r="189" spans="1:12" ht="15.75" thickBot="1">
      <c r="A189" s="148">
        <v>46064</v>
      </c>
      <c r="B189" s="149" t="s">
        <v>1038</v>
      </c>
      <c r="C189" s="154" t="s">
        <v>307</v>
      </c>
      <c r="D189" s="150">
        <v>767.23</v>
      </c>
      <c r="E189" s="130" t="s">
        <v>397</v>
      </c>
      <c r="F189" s="124" t="s">
        <v>24</v>
      </c>
      <c r="L189"/>
    </row>
    <row r="190" spans="1:12" ht="15.75" thickBot="1">
      <c r="A190" s="151">
        <v>46064</v>
      </c>
      <c r="B190" s="152" t="s">
        <v>1021</v>
      </c>
      <c r="C190" s="154" t="s">
        <v>307</v>
      </c>
      <c r="D190" s="153">
        <v>697.57</v>
      </c>
      <c r="E190" s="130" t="s">
        <v>397</v>
      </c>
      <c r="F190" s="124" t="s">
        <v>24</v>
      </c>
      <c r="L190"/>
    </row>
    <row r="191" spans="1:12" ht="15.75" thickBot="1">
      <c r="A191" s="148">
        <v>46064</v>
      </c>
      <c r="B191" s="149" t="s">
        <v>1013</v>
      </c>
      <c r="C191" s="154" t="s">
        <v>307</v>
      </c>
      <c r="D191" s="150">
        <v>439.82</v>
      </c>
      <c r="E191" s="130" t="s">
        <v>397</v>
      </c>
      <c r="F191" s="124" t="s">
        <v>24</v>
      </c>
      <c r="L191"/>
    </row>
    <row r="192" spans="1:12" ht="15.75" thickBot="1">
      <c r="A192" s="151">
        <v>46064</v>
      </c>
      <c r="B192" s="152" t="s">
        <v>1092</v>
      </c>
      <c r="C192" s="154" t="s">
        <v>307</v>
      </c>
      <c r="D192" s="153">
        <v>139</v>
      </c>
      <c r="E192" s="130" t="s">
        <v>397</v>
      </c>
      <c r="F192" s="124" t="s">
        <v>24</v>
      </c>
      <c r="L192"/>
    </row>
    <row r="193" spans="1:12" ht="15.75" thickBot="1">
      <c r="A193" s="148">
        <v>46065</v>
      </c>
      <c r="B193" s="152" t="s">
        <v>305</v>
      </c>
      <c r="C193" s="154" t="s">
        <v>175</v>
      </c>
      <c r="D193" s="153">
        <v>18.100000000000001</v>
      </c>
      <c r="E193" s="130" t="s">
        <v>397</v>
      </c>
      <c r="F193" s="124" t="s">
        <v>24</v>
      </c>
      <c r="L193"/>
    </row>
    <row r="194" spans="1:12" ht="15.75" thickBot="1">
      <c r="A194" s="148">
        <v>46065</v>
      </c>
      <c r="B194" s="152" t="s">
        <v>1008</v>
      </c>
      <c r="C194" s="154" t="s">
        <v>307</v>
      </c>
      <c r="D194" s="153">
        <v>74.2</v>
      </c>
      <c r="E194" s="130" t="s">
        <v>397</v>
      </c>
      <c r="F194" s="124" t="s">
        <v>24</v>
      </c>
      <c r="L194"/>
    </row>
    <row r="195" spans="1:12" ht="15.75" thickBot="1">
      <c r="A195" s="148">
        <v>46065</v>
      </c>
      <c r="B195" s="149" t="s">
        <v>1093</v>
      </c>
      <c r="C195" s="154" t="s">
        <v>307</v>
      </c>
      <c r="D195" s="150">
        <v>1912.5</v>
      </c>
      <c r="E195" s="130" t="s">
        <v>397</v>
      </c>
      <c r="F195" s="124" t="s">
        <v>24</v>
      </c>
      <c r="L195"/>
    </row>
    <row r="196" spans="1:12" ht="15.75" thickBot="1">
      <c r="A196" s="151">
        <v>46065</v>
      </c>
      <c r="B196" s="152" t="s">
        <v>1013</v>
      </c>
      <c r="C196" s="154" t="s">
        <v>307</v>
      </c>
      <c r="D196" s="153">
        <v>368.82</v>
      </c>
      <c r="E196" s="130" t="s">
        <v>397</v>
      </c>
      <c r="F196" s="124" t="s">
        <v>24</v>
      </c>
      <c r="L196"/>
    </row>
    <row r="197" spans="1:12" ht="15.75" thickBot="1">
      <c r="A197" s="148">
        <v>46065</v>
      </c>
      <c r="B197" s="149" t="s">
        <v>1006</v>
      </c>
      <c r="C197" s="154" t="s">
        <v>307</v>
      </c>
      <c r="D197" s="150">
        <v>305.75</v>
      </c>
      <c r="E197" s="130" t="s">
        <v>397</v>
      </c>
      <c r="F197" s="124" t="s">
        <v>24</v>
      </c>
      <c r="L197"/>
    </row>
    <row r="198" spans="1:12" ht="15.75" thickBot="1">
      <c r="A198" s="151">
        <v>46065</v>
      </c>
      <c r="B198" s="152" t="s">
        <v>1034</v>
      </c>
      <c r="C198" s="154" t="s">
        <v>307</v>
      </c>
      <c r="D198" s="153">
        <v>315</v>
      </c>
      <c r="E198" s="130" t="s">
        <v>397</v>
      </c>
      <c r="F198" s="124" t="s">
        <v>24</v>
      </c>
      <c r="L198"/>
    </row>
    <row r="199" spans="1:12" ht="15.75" thickBot="1">
      <c r="A199" s="151">
        <v>46065</v>
      </c>
      <c r="B199" s="152" t="s">
        <v>1052</v>
      </c>
      <c r="C199" s="154" t="s">
        <v>307</v>
      </c>
      <c r="D199" s="153">
        <v>3865.92</v>
      </c>
      <c r="E199" s="130" t="s">
        <v>397</v>
      </c>
      <c r="F199" s="124" t="s">
        <v>24</v>
      </c>
      <c r="L199"/>
    </row>
    <row r="200" spans="1:12" ht="15.75" thickBot="1">
      <c r="A200" s="148">
        <v>46066</v>
      </c>
      <c r="B200" s="152" t="s">
        <v>1094</v>
      </c>
      <c r="C200" s="154" t="s">
        <v>192</v>
      </c>
      <c r="D200" s="153">
        <v>1080</v>
      </c>
      <c r="E200" s="130" t="s">
        <v>397</v>
      </c>
      <c r="F200" s="124" t="s">
        <v>24</v>
      </c>
      <c r="L200"/>
    </row>
    <row r="201" spans="1:12" ht="15.75" thickBot="1">
      <c r="A201" s="151">
        <v>46066</v>
      </c>
      <c r="B201" s="152" t="s">
        <v>327</v>
      </c>
      <c r="C201" s="154" t="s">
        <v>188</v>
      </c>
      <c r="D201" s="153">
        <v>613.92999999999995</v>
      </c>
      <c r="E201" s="130" t="s">
        <v>397</v>
      </c>
      <c r="F201" s="124" t="s">
        <v>24</v>
      </c>
      <c r="L201"/>
    </row>
    <row r="202" spans="1:12" ht="15.75" thickBot="1">
      <c r="A202" s="148">
        <v>46066</v>
      </c>
      <c r="B202" s="152" t="s">
        <v>305</v>
      </c>
      <c r="C202" s="154" t="s">
        <v>175</v>
      </c>
      <c r="D202" s="153">
        <v>12.67</v>
      </c>
      <c r="E202" s="130" t="s">
        <v>397</v>
      </c>
      <c r="F202" s="124" t="s">
        <v>24</v>
      </c>
      <c r="L202"/>
    </row>
    <row r="203" spans="1:12" ht="15.75" thickBot="1">
      <c r="A203" s="148">
        <v>46066</v>
      </c>
      <c r="B203" s="149" t="s">
        <v>1009</v>
      </c>
      <c r="C203" s="154" t="s">
        <v>307</v>
      </c>
      <c r="D203" s="150">
        <v>230</v>
      </c>
      <c r="E203" s="130" t="s">
        <v>397</v>
      </c>
      <c r="F203" s="124" t="s">
        <v>24</v>
      </c>
      <c r="L203"/>
    </row>
    <row r="204" spans="1:12" ht="15.75" thickBot="1">
      <c r="A204" s="151">
        <v>46066</v>
      </c>
      <c r="B204" s="152" t="s">
        <v>1015</v>
      </c>
      <c r="C204" s="154" t="s">
        <v>307</v>
      </c>
      <c r="D204" s="153">
        <v>644.1</v>
      </c>
      <c r="E204" s="130" t="s">
        <v>397</v>
      </c>
      <c r="F204" s="124" t="s">
        <v>24</v>
      </c>
      <c r="L204"/>
    </row>
    <row r="205" spans="1:12" ht="15.75" thickBot="1">
      <c r="A205" s="148">
        <v>46066</v>
      </c>
      <c r="B205" s="149" t="s">
        <v>1010</v>
      </c>
      <c r="C205" s="154" t="s">
        <v>307</v>
      </c>
      <c r="D205" s="150">
        <v>682.47</v>
      </c>
      <c r="E205" s="130" t="s">
        <v>397</v>
      </c>
      <c r="F205" s="124" t="s">
        <v>24</v>
      </c>
      <c r="L205"/>
    </row>
    <row r="206" spans="1:12" ht="15.75" thickBot="1">
      <c r="A206" s="151">
        <v>46066</v>
      </c>
      <c r="B206" s="152" t="s">
        <v>1095</v>
      </c>
      <c r="C206" s="154" t="s">
        <v>307</v>
      </c>
      <c r="D206" s="153">
        <v>303.75</v>
      </c>
      <c r="E206" s="130" t="s">
        <v>397</v>
      </c>
      <c r="F206" s="124" t="s">
        <v>24</v>
      </c>
      <c r="L206"/>
    </row>
    <row r="207" spans="1:12" ht="15.75" thickBot="1">
      <c r="A207" s="148">
        <v>46066</v>
      </c>
      <c r="B207" s="149" t="s">
        <v>1078</v>
      </c>
      <c r="C207" s="154" t="s">
        <v>307</v>
      </c>
      <c r="D207" s="150">
        <v>558.62</v>
      </c>
      <c r="E207" s="130" t="s">
        <v>397</v>
      </c>
      <c r="F207" s="124" t="s">
        <v>24</v>
      </c>
      <c r="L207"/>
    </row>
    <row r="208" spans="1:12" ht="15.75" thickBot="1">
      <c r="A208" s="151">
        <v>46066</v>
      </c>
      <c r="B208" s="152" t="s">
        <v>1013</v>
      </c>
      <c r="C208" s="154" t="s">
        <v>307</v>
      </c>
      <c r="D208" s="153">
        <v>2064.71</v>
      </c>
      <c r="E208" s="130" t="s">
        <v>397</v>
      </c>
      <c r="F208" s="124" t="s">
        <v>24</v>
      </c>
      <c r="L208"/>
    </row>
    <row r="209" spans="1:12" ht="15.75" thickBot="1">
      <c r="A209" s="151">
        <v>46071</v>
      </c>
      <c r="B209" s="152" t="s">
        <v>305</v>
      </c>
      <c r="C209" s="154" t="s">
        <v>175</v>
      </c>
      <c r="D209" s="153">
        <v>12.67</v>
      </c>
      <c r="E209" s="130" t="s">
        <v>397</v>
      </c>
      <c r="F209" s="124" t="s">
        <v>24</v>
      </c>
      <c r="L209"/>
    </row>
    <row r="210" spans="1:12" ht="15.75" thickBot="1">
      <c r="A210" s="151">
        <v>46071</v>
      </c>
      <c r="B210" s="149" t="s">
        <v>1006</v>
      </c>
      <c r="C210" s="154" t="s">
        <v>307</v>
      </c>
      <c r="D210" s="150">
        <v>450</v>
      </c>
      <c r="E210" s="130" t="s">
        <v>397</v>
      </c>
      <c r="F210" s="124" t="s">
        <v>24</v>
      </c>
      <c r="L210"/>
    </row>
    <row r="211" spans="1:12" ht="15.75" thickBot="1">
      <c r="A211" s="151">
        <v>46071</v>
      </c>
      <c r="B211" s="152" t="s">
        <v>1096</v>
      </c>
      <c r="C211" s="154" t="s">
        <v>307</v>
      </c>
      <c r="D211" s="153">
        <v>1044</v>
      </c>
      <c r="E211" s="130" t="s">
        <v>397</v>
      </c>
      <c r="F211" s="124" t="s">
        <v>24</v>
      </c>
      <c r="L211"/>
    </row>
    <row r="212" spans="1:12" ht="15.75" thickBot="1">
      <c r="A212" s="151">
        <v>46071</v>
      </c>
      <c r="B212" s="149" t="s">
        <v>1006</v>
      </c>
      <c r="C212" s="154" t="s">
        <v>307</v>
      </c>
      <c r="D212" s="150">
        <v>316.88</v>
      </c>
      <c r="E212" s="130" t="s">
        <v>397</v>
      </c>
      <c r="F212" s="124" t="s">
        <v>24</v>
      </c>
      <c r="L212"/>
    </row>
    <row r="213" spans="1:12" ht="15.75" thickBot="1">
      <c r="A213" s="151">
        <v>46071</v>
      </c>
      <c r="B213" s="152" t="s">
        <v>1097</v>
      </c>
      <c r="C213" s="154" t="s">
        <v>192</v>
      </c>
      <c r="D213" s="153">
        <v>612</v>
      </c>
      <c r="E213" s="130" t="s">
        <v>397</v>
      </c>
      <c r="F213" s="124" t="s">
        <v>24</v>
      </c>
      <c r="L213"/>
    </row>
    <row r="214" spans="1:12" ht="15.75" thickBot="1">
      <c r="A214" s="151">
        <v>46071</v>
      </c>
      <c r="B214" s="149" t="s">
        <v>1010</v>
      </c>
      <c r="C214" s="154" t="s">
        <v>307</v>
      </c>
      <c r="D214" s="150">
        <v>574.75</v>
      </c>
      <c r="E214" s="130" t="s">
        <v>397</v>
      </c>
      <c r="F214" s="124" t="s">
        <v>24</v>
      </c>
      <c r="L214"/>
    </row>
    <row r="215" spans="1:12" ht="15.75" thickBot="1">
      <c r="A215" s="151">
        <v>46071</v>
      </c>
      <c r="B215" s="152" t="s">
        <v>1009</v>
      </c>
      <c r="C215" s="154" t="s">
        <v>307</v>
      </c>
      <c r="D215" s="153">
        <v>425</v>
      </c>
      <c r="E215" s="130" t="s">
        <v>397</v>
      </c>
      <c r="F215" s="124" t="s">
        <v>24</v>
      </c>
      <c r="L215"/>
    </row>
    <row r="216" spans="1:12" ht="15.75" thickBot="1">
      <c r="A216" s="151">
        <v>46071</v>
      </c>
      <c r="B216" s="149" t="s">
        <v>1010</v>
      </c>
      <c r="C216" s="154" t="s">
        <v>307</v>
      </c>
      <c r="D216" s="150">
        <v>470</v>
      </c>
      <c r="E216" s="130" t="s">
        <v>397</v>
      </c>
      <c r="F216" s="124" t="s">
        <v>24</v>
      </c>
      <c r="L216"/>
    </row>
    <row r="217" spans="1:12" ht="15.75" thickBot="1">
      <c r="A217" s="151">
        <v>46071</v>
      </c>
      <c r="B217" s="152" t="s">
        <v>1009</v>
      </c>
      <c r="C217" s="154" t="s">
        <v>307</v>
      </c>
      <c r="D217" s="153">
        <v>120</v>
      </c>
      <c r="E217" s="130" t="s">
        <v>397</v>
      </c>
      <c r="F217" s="124" t="s">
        <v>24</v>
      </c>
      <c r="L217"/>
    </row>
    <row r="218" spans="1:12" ht="15.75" thickBot="1">
      <c r="A218" s="151">
        <v>46071</v>
      </c>
      <c r="B218" s="149" t="s">
        <v>1098</v>
      </c>
      <c r="C218" s="154" t="s">
        <v>307</v>
      </c>
      <c r="D218" s="150">
        <v>464.29</v>
      </c>
      <c r="E218" s="130" t="s">
        <v>397</v>
      </c>
      <c r="F218" s="124" t="s">
        <v>24</v>
      </c>
      <c r="L218"/>
    </row>
    <row r="219" spans="1:12" ht="15.75" thickBot="1">
      <c r="A219" s="151">
        <v>46071</v>
      </c>
      <c r="B219" s="152" t="s">
        <v>1008</v>
      </c>
      <c r="C219" s="154" t="s">
        <v>307</v>
      </c>
      <c r="D219" s="153">
        <v>190.8</v>
      </c>
      <c r="E219" s="130" t="s">
        <v>397</v>
      </c>
      <c r="F219" s="124" t="s">
        <v>24</v>
      </c>
      <c r="L219"/>
    </row>
    <row r="220" spans="1:12" ht="15.75" thickBot="1">
      <c r="A220" s="151">
        <v>46071</v>
      </c>
      <c r="B220" s="149" t="s">
        <v>1079</v>
      </c>
      <c r="C220" s="154" t="s">
        <v>307</v>
      </c>
      <c r="D220" s="150">
        <v>763.1</v>
      </c>
      <c r="E220" s="130" t="s">
        <v>397</v>
      </c>
      <c r="F220" s="124" t="s">
        <v>24</v>
      </c>
      <c r="L220"/>
    </row>
    <row r="221" spans="1:12" ht="15.75" thickBot="1">
      <c r="A221" s="151">
        <v>46071</v>
      </c>
      <c r="B221" s="152" t="s">
        <v>1099</v>
      </c>
      <c r="C221" s="154" t="s">
        <v>307</v>
      </c>
      <c r="D221" s="153">
        <v>550</v>
      </c>
      <c r="E221" s="130" t="s">
        <v>397</v>
      </c>
      <c r="F221" s="124" t="s">
        <v>24</v>
      </c>
      <c r="L221"/>
    </row>
    <row r="222" spans="1:12" ht="15.75" thickBot="1">
      <c r="A222" s="151">
        <v>46071</v>
      </c>
      <c r="B222" s="149" t="s">
        <v>1034</v>
      </c>
      <c r="C222" s="154" t="s">
        <v>307</v>
      </c>
      <c r="D222" s="150">
        <v>333</v>
      </c>
      <c r="E222" s="130" t="s">
        <v>397</v>
      </c>
      <c r="F222" s="124" t="s">
        <v>24</v>
      </c>
      <c r="L222"/>
    </row>
    <row r="223" spans="1:12" ht="15.75" thickBot="1">
      <c r="A223" s="151">
        <v>46071</v>
      </c>
      <c r="B223" s="152" t="s">
        <v>1015</v>
      </c>
      <c r="C223" s="154" t="s">
        <v>307</v>
      </c>
      <c r="D223" s="153">
        <v>271.58</v>
      </c>
      <c r="E223" s="130" t="s">
        <v>397</v>
      </c>
      <c r="F223" s="124" t="s">
        <v>24</v>
      </c>
      <c r="L223"/>
    </row>
    <row r="224" spans="1:12" ht="15.75" thickBot="1">
      <c r="A224" s="151">
        <v>46071</v>
      </c>
      <c r="B224" s="149" t="s">
        <v>1078</v>
      </c>
      <c r="C224" s="154" t="s">
        <v>307</v>
      </c>
      <c r="D224" s="150">
        <v>371</v>
      </c>
      <c r="E224" s="130" t="s">
        <v>397</v>
      </c>
      <c r="F224" s="124" t="s">
        <v>24</v>
      </c>
      <c r="L224"/>
    </row>
    <row r="225" spans="1:12" ht="15.75" thickBot="1">
      <c r="A225" s="151">
        <v>46071</v>
      </c>
      <c r="B225" s="152" t="s">
        <v>1021</v>
      </c>
      <c r="C225" s="154" t="s">
        <v>307</v>
      </c>
      <c r="D225" s="153">
        <v>378.29</v>
      </c>
      <c r="E225" s="130" t="s">
        <v>397</v>
      </c>
      <c r="F225" s="124" t="s">
        <v>24</v>
      </c>
      <c r="L225"/>
    </row>
    <row r="226" spans="1:12" ht="15.75" thickBot="1">
      <c r="A226" s="151">
        <v>46071</v>
      </c>
      <c r="B226" s="149" t="s">
        <v>1008</v>
      </c>
      <c r="C226" s="154" t="s">
        <v>307</v>
      </c>
      <c r="D226" s="150">
        <v>457.8</v>
      </c>
      <c r="E226" s="130" t="s">
        <v>397</v>
      </c>
      <c r="F226" s="124" t="s">
        <v>24</v>
      </c>
      <c r="L226"/>
    </row>
    <row r="227" spans="1:12" ht="15.75" thickBot="1">
      <c r="A227" s="151">
        <v>46071</v>
      </c>
      <c r="B227" s="152" t="s">
        <v>1011</v>
      </c>
      <c r="C227" s="154" t="s">
        <v>307</v>
      </c>
      <c r="D227" s="153">
        <v>466.21</v>
      </c>
      <c r="E227" s="130" t="s">
        <v>397</v>
      </c>
      <c r="F227" s="124" t="s">
        <v>24</v>
      </c>
      <c r="L227"/>
    </row>
    <row r="228" spans="1:12" ht="15.75" thickBot="1">
      <c r="A228" s="148">
        <v>46071</v>
      </c>
      <c r="B228" s="149" t="s">
        <v>1100</v>
      </c>
      <c r="C228" s="154" t="s">
        <v>307</v>
      </c>
      <c r="D228" s="150">
        <v>257</v>
      </c>
      <c r="E228" s="130" t="s">
        <v>397</v>
      </c>
      <c r="F228" s="124" t="s">
        <v>24</v>
      </c>
      <c r="L228"/>
    </row>
    <row r="229" spans="1:12" ht="15.75" thickBot="1">
      <c r="A229" s="151">
        <v>46071</v>
      </c>
      <c r="B229" s="152" t="s">
        <v>1092</v>
      </c>
      <c r="C229" s="154" t="s">
        <v>307</v>
      </c>
      <c r="D229" s="153">
        <v>445</v>
      </c>
      <c r="E229" s="130" t="s">
        <v>397</v>
      </c>
      <c r="F229" s="124" t="s">
        <v>24</v>
      </c>
      <c r="L229"/>
    </row>
    <row r="230" spans="1:12" ht="15.75" thickBot="1">
      <c r="A230" s="151">
        <v>46072</v>
      </c>
      <c r="B230" s="152" t="s">
        <v>1101</v>
      </c>
      <c r="C230" s="154" t="s">
        <v>182</v>
      </c>
      <c r="D230" s="153">
        <v>400</v>
      </c>
      <c r="E230" s="130" t="s">
        <v>397</v>
      </c>
      <c r="F230" s="124" t="s">
        <v>24</v>
      </c>
      <c r="L230"/>
    </row>
    <row r="231" spans="1:12" ht="15.75" thickBot="1">
      <c r="A231" s="151">
        <v>46072</v>
      </c>
      <c r="B231" s="152" t="s">
        <v>1070</v>
      </c>
      <c r="C231" s="154" t="s">
        <v>307</v>
      </c>
      <c r="D231" s="153">
        <v>174.8</v>
      </c>
      <c r="E231" s="130" t="s">
        <v>397</v>
      </c>
      <c r="F231" s="124" t="s">
        <v>24</v>
      </c>
      <c r="L231"/>
    </row>
    <row r="232" spans="1:12" ht="15.75" thickBot="1">
      <c r="A232" s="151">
        <v>46072</v>
      </c>
      <c r="B232" s="152" t="s">
        <v>305</v>
      </c>
      <c r="C232" s="154" t="s">
        <v>175</v>
      </c>
      <c r="D232" s="153">
        <v>7.24</v>
      </c>
      <c r="E232" s="130" t="s">
        <v>397</v>
      </c>
      <c r="F232" s="124" t="s">
        <v>24</v>
      </c>
      <c r="L232"/>
    </row>
    <row r="233" spans="1:12" ht="15.75" thickBot="1">
      <c r="A233" s="148">
        <v>46072</v>
      </c>
      <c r="B233" s="149" t="s">
        <v>1010</v>
      </c>
      <c r="C233" s="154" t="s">
        <v>307</v>
      </c>
      <c r="D233" s="150">
        <v>737</v>
      </c>
      <c r="E233" s="130" t="s">
        <v>397</v>
      </c>
      <c r="F233" s="124" t="s">
        <v>24</v>
      </c>
      <c r="L233"/>
    </row>
    <row r="234" spans="1:12" ht="15.75" thickBot="1">
      <c r="A234" s="151">
        <v>46072</v>
      </c>
      <c r="B234" s="152" t="s">
        <v>1043</v>
      </c>
      <c r="C234" s="154" t="s">
        <v>307</v>
      </c>
      <c r="D234" s="153">
        <v>668.34</v>
      </c>
      <c r="E234" s="130" t="s">
        <v>397</v>
      </c>
      <c r="F234" s="124" t="s">
        <v>24</v>
      </c>
      <c r="L234"/>
    </row>
    <row r="235" spans="1:12" ht="15.75" thickBot="1">
      <c r="A235" s="148">
        <v>46073</v>
      </c>
      <c r="B235" s="149" t="s">
        <v>1013</v>
      </c>
      <c r="C235" s="154" t="s">
        <v>307</v>
      </c>
      <c r="D235" s="150">
        <v>1322.4</v>
      </c>
      <c r="E235" s="130" t="s">
        <v>397</v>
      </c>
      <c r="F235" s="124" t="s">
        <v>24</v>
      </c>
      <c r="L235"/>
    </row>
    <row r="236" spans="1:12" ht="15.75" thickBot="1">
      <c r="A236" s="148">
        <v>46073</v>
      </c>
      <c r="B236" s="133" t="s">
        <v>305</v>
      </c>
      <c r="C236" s="133" t="s">
        <v>175</v>
      </c>
      <c r="D236" s="134">
        <v>12.67</v>
      </c>
      <c r="E236" s="130" t="s">
        <v>397</v>
      </c>
      <c r="F236" s="124" t="s">
        <v>24</v>
      </c>
      <c r="L236"/>
    </row>
    <row r="237" spans="1:12" ht="15.75" thickBot="1">
      <c r="A237" s="148">
        <v>46073</v>
      </c>
      <c r="B237" s="133" t="s">
        <v>320</v>
      </c>
      <c r="C237" s="133" t="s">
        <v>313</v>
      </c>
      <c r="D237" s="134">
        <v>16586.810000000001</v>
      </c>
      <c r="E237" s="130" t="s">
        <v>397</v>
      </c>
      <c r="F237" s="124" t="s">
        <v>24</v>
      </c>
      <c r="L237"/>
    </row>
    <row r="238" spans="1:12" ht="15.75" thickBot="1">
      <c r="A238" s="148">
        <v>46073</v>
      </c>
      <c r="B238" s="133" t="s">
        <v>1055</v>
      </c>
      <c r="C238" s="133" t="s">
        <v>313</v>
      </c>
      <c r="D238" s="134">
        <v>1147.75</v>
      </c>
      <c r="E238" s="130" t="s">
        <v>397</v>
      </c>
      <c r="F238" s="124" t="s">
        <v>24</v>
      </c>
      <c r="L238"/>
    </row>
    <row r="239" spans="1:12" ht="15.75" thickBot="1">
      <c r="A239" s="148">
        <v>46073</v>
      </c>
      <c r="B239" s="133" t="s">
        <v>1102</v>
      </c>
      <c r="C239" s="133" t="s">
        <v>313</v>
      </c>
      <c r="D239" s="134">
        <v>615.52</v>
      </c>
      <c r="E239" s="130" t="s">
        <v>397</v>
      </c>
      <c r="F239" s="124" t="s">
        <v>24</v>
      </c>
      <c r="L239"/>
    </row>
    <row r="240" spans="1:12" ht="15.75" thickBot="1">
      <c r="A240" s="148">
        <v>46073</v>
      </c>
      <c r="B240" s="133" t="s">
        <v>1037</v>
      </c>
      <c r="C240" s="133" t="s">
        <v>188</v>
      </c>
      <c r="D240" s="134">
        <v>855.2</v>
      </c>
      <c r="E240" s="130" t="s">
        <v>397</v>
      </c>
      <c r="F240" s="124" t="s">
        <v>24</v>
      </c>
      <c r="L240"/>
    </row>
    <row r="241" spans="1:12" ht="15.75" thickBot="1">
      <c r="A241" s="148">
        <v>46073</v>
      </c>
      <c r="B241" s="133" t="s">
        <v>1103</v>
      </c>
      <c r="C241" s="133" t="s">
        <v>188</v>
      </c>
      <c r="D241" s="134">
        <v>720</v>
      </c>
      <c r="E241" s="130" t="s">
        <v>397</v>
      </c>
      <c r="F241" s="124" t="s">
        <v>24</v>
      </c>
      <c r="L241"/>
    </row>
    <row r="242" spans="1:12" ht="15.75" thickBot="1">
      <c r="A242" s="148">
        <v>46073</v>
      </c>
      <c r="B242" s="133" t="s">
        <v>325</v>
      </c>
      <c r="C242" s="133" t="s">
        <v>209</v>
      </c>
      <c r="D242" s="134">
        <v>5000</v>
      </c>
      <c r="E242" s="130" t="s">
        <v>397</v>
      </c>
      <c r="F242" s="124" t="s">
        <v>24</v>
      </c>
      <c r="L242"/>
    </row>
    <row r="243" spans="1:12" ht="15.75" thickBot="1">
      <c r="A243" s="148">
        <v>46076</v>
      </c>
      <c r="B243" s="133" t="s">
        <v>305</v>
      </c>
      <c r="C243" s="133" t="s">
        <v>175</v>
      </c>
      <c r="D243" s="134">
        <v>7.24</v>
      </c>
      <c r="E243" s="130" t="s">
        <v>397</v>
      </c>
      <c r="F243" s="124" t="s">
        <v>24</v>
      </c>
      <c r="L243"/>
    </row>
    <row r="244" spans="1:12" ht="15.75" thickBot="1">
      <c r="A244" s="148">
        <v>46076</v>
      </c>
      <c r="B244" s="133" t="s">
        <v>1073</v>
      </c>
      <c r="C244" s="133" t="s">
        <v>307</v>
      </c>
      <c r="D244" s="134">
        <v>536.9</v>
      </c>
      <c r="E244" s="130" t="s">
        <v>397</v>
      </c>
      <c r="F244" s="124" t="s">
        <v>24</v>
      </c>
      <c r="L244"/>
    </row>
    <row r="245" spans="1:12" ht="15.75" thickBot="1">
      <c r="A245" s="148">
        <v>46076</v>
      </c>
      <c r="B245" s="133" t="s">
        <v>1073</v>
      </c>
      <c r="C245" s="133" t="s">
        <v>307</v>
      </c>
      <c r="D245" s="134">
        <v>2062.2600000000002</v>
      </c>
      <c r="E245" s="130" t="s">
        <v>397</v>
      </c>
      <c r="F245" s="124" t="s">
        <v>24</v>
      </c>
      <c r="L245"/>
    </row>
    <row r="246" spans="1:12" ht="15.75" thickBot="1">
      <c r="A246" s="148">
        <v>46076</v>
      </c>
      <c r="B246" s="133" t="s">
        <v>1073</v>
      </c>
      <c r="C246" s="133" t="s">
        <v>307</v>
      </c>
      <c r="D246" s="134">
        <v>842.82</v>
      </c>
      <c r="E246" s="130" t="s">
        <v>397</v>
      </c>
      <c r="F246" s="124" t="s">
        <v>24</v>
      </c>
      <c r="L246"/>
    </row>
    <row r="247" spans="1:12" ht="15.75" thickBot="1">
      <c r="A247" s="148">
        <v>46076</v>
      </c>
      <c r="B247" s="133" t="s">
        <v>306</v>
      </c>
      <c r="C247" s="133" t="s">
        <v>307</v>
      </c>
      <c r="D247" s="134">
        <v>660.73</v>
      </c>
      <c r="E247" s="130" t="s">
        <v>397</v>
      </c>
      <c r="F247" s="124" t="s">
        <v>24</v>
      </c>
      <c r="L247"/>
    </row>
    <row r="248" spans="1:12" ht="15.75" thickBot="1">
      <c r="A248" s="148">
        <v>46076</v>
      </c>
      <c r="B248" s="133" t="s">
        <v>1070</v>
      </c>
      <c r="C248" s="133" t="s">
        <v>307</v>
      </c>
      <c r="D248" s="134">
        <v>299.3</v>
      </c>
      <c r="E248" s="130" t="s">
        <v>397</v>
      </c>
      <c r="F248" s="124" t="s">
        <v>24</v>
      </c>
      <c r="L248"/>
    </row>
    <row r="249" spans="1:12" ht="15.75" thickBot="1">
      <c r="A249" s="148">
        <v>46076</v>
      </c>
      <c r="B249" s="133" t="s">
        <v>1074</v>
      </c>
      <c r="C249" s="133" t="s">
        <v>307</v>
      </c>
      <c r="D249" s="134">
        <v>546.57000000000005</v>
      </c>
      <c r="E249" s="130" t="s">
        <v>397</v>
      </c>
      <c r="F249" s="124" t="s">
        <v>24</v>
      </c>
      <c r="L249"/>
    </row>
    <row r="250" spans="1:12" ht="15.75" thickBot="1">
      <c r="A250" s="148">
        <v>46076</v>
      </c>
      <c r="B250" s="133" t="s">
        <v>1087</v>
      </c>
      <c r="C250" s="133" t="s">
        <v>307</v>
      </c>
      <c r="D250" s="134">
        <v>1694.66</v>
      </c>
      <c r="E250" s="130" t="s">
        <v>397</v>
      </c>
      <c r="F250" s="124" t="s">
        <v>24</v>
      </c>
      <c r="L250"/>
    </row>
    <row r="251" spans="1:12" ht="15.75" thickBot="1">
      <c r="A251" s="148">
        <v>46076</v>
      </c>
      <c r="B251" s="133" t="s">
        <v>306</v>
      </c>
      <c r="C251" s="133" t="s">
        <v>307</v>
      </c>
      <c r="D251" s="134">
        <v>1661.55</v>
      </c>
      <c r="E251" s="130" t="s">
        <v>397</v>
      </c>
      <c r="F251" s="124" t="s">
        <v>24</v>
      </c>
      <c r="L251"/>
    </row>
    <row r="252" spans="1:12" ht="15.75" thickBot="1">
      <c r="A252" s="148">
        <v>46076</v>
      </c>
      <c r="B252" s="133" t="s">
        <v>1104</v>
      </c>
      <c r="C252" s="133" t="s">
        <v>307</v>
      </c>
      <c r="D252" s="134">
        <v>82.6</v>
      </c>
      <c r="E252" s="130" t="s">
        <v>397</v>
      </c>
      <c r="F252" s="124" t="s">
        <v>24</v>
      </c>
      <c r="L252"/>
    </row>
    <row r="253" spans="1:12" ht="17.25" customHeight="1" thickBot="1">
      <c r="A253" s="148">
        <v>46076</v>
      </c>
      <c r="B253" s="133" t="s">
        <v>1057</v>
      </c>
      <c r="C253" s="421" t="s">
        <v>207</v>
      </c>
      <c r="D253" s="134">
        <v>473.47</v>
      </c>
      <c r="E253" s="130" t="s">
        <v>397</v>
      </c>
      <c r="F253" s="124" t="s">
        <v>24</v>
      </c>
      <c r="L253"/>
    </row>
    <row r="254" spans="1:12" ht="15.75" thickBot="1">
      <c r="A254" s="148">
        <v>46076</v>
      </c>
      <c r="B254" s="133" t="s">
        <v>1057</v>
      </c>
      <c r="C254" s="421" t="s">
        <v>207</v>
      </c>
      <c r="D254" s="134">
        <v>496.24</v>
      </c>
      <c r="E254" s="130" t="s">
        <v>397</v>
      </c>
      <c r="F254" s="124" t="s">
        <v>24</v>
      </c>
      <c r="L254"/>
    </row>
    <row r="255" spans="1:12" ht="15.75" thickBot="1">
      <c r="A255" s="148">
        <v>46077</v>
      </c>
      <c r="B255" s="154" t="s">
        <v>305</v>
      </c>
      <c r="C255" s="133" t="s">
        <v>175</v>
      </c>
      <c r="D255" s="155">
        <v>10.86</v>
      </c>
      <c r="E255" s="130" t="s">
        <v>397</v>
      </c>
      <c r="F255" s="124" t="s">
        <v>24</v>
      </c>
      <c r="L255"/>
    </row>
    <row r="256" spans="1:12" ht="15.75" thickBot="1">
      <c r="A256" s="148">
        <v>46077</v>
      </c>
      <c r="B256" s="154" t="s">
        <v>1105</v>
      </c>
      <c r="C256" s="133" t="s">
        <v>307</v>
      </c>
      <c r="D256" s="155">
        <v>60</v>
      </c>
      <c r="E256" s="130" t="s">
        <v>397</v>
      </c>
      <c r="F256" s="124" t="s">
        <v>24</v>
      </c>
      <c r="L256"/>
    </row>
    <row r="257" spans="1:12" ht="15.75" thickBot="1">
      <c r="A257" s="148">
        <v>46077</v>
      </c>
      <c r="B257" s="124" t="s">
        <v>1034</v>
      </c>
      <c r="C257" s="133" t="s">
        <v>307</v>
      </c>
      <c r="D257" s="156">
        <v>414</v>
      </c>
      <c r="E257" s="130" t="s">
        <v>397</v>
      </c>
      <c r="F257" s="124" t="s">
        <v>24</v>
      </c>
      <c r="L257"/>
    </row>
    <row r="258" spans="1:12" ht="15.75" thickBot="1">
      <c r="A258" s="148">
        <v>46077</v>
      </c>
      <c r="B258" s="124" t="s">
        <v>1106</v>
      </c>
      <c r="C258" s="133" t="s">
        <v>307</v>
      </c>
      <c r="D258" s="157">
        <v>600</v>
      </c>
      <c r="E258" s="130" t="s">
        <v>397</v>
      </c>
      <c r="F258" s="124" t="s">
        <v>24</v>
      </c>
      <c r="L258"/>
    </row>
    <row r="259" spans="1:12" ht="15.75" thickBot="1">
      <c r="A259" s="148">
        <v>46077</v>
      </c>
      <c r="B259" s="124" t="s">
        <v>1079</v>
      </c>
      <c r="C259" s="133" t="s">
        <v>307</v>
      </c>
      <c r="D259" s="156">
        <v>675.31</v>
      </c>
      <c r="E259" s="130" t="s">
        <v>397</v>
      </c>
      <c r="F259" s="124" t="s">
        <v>24</v>
      </c>
      <c r="L259"/>
    </row>
    <row r="260" spans="1:12" ht="15.75" thickBot="1">
      <c r="A260" s="148">
        <v>46077</v>
      </c>
      <c r="B260" s="124" t="s">
        <v>1107</v>
      </c>
      <c r="C260" s="133" t="s">
        <v>307</v>
      </c>
      <c r="D260" s="157">
        <v>385</v>
      </c>
      <c r="E260" s="130" t="s">
        <v>397</v>
      </c>
      <c r="F260" s="124" t="s">
        <v>24</v>
      </c>
      <c r="L260"/>
    </row>
    <row r="261" spans="1:12" ht="15.75" thickBot="1">
      <c r="A261" s="148">
        <v>46078</v>
      </c>
      <c r="B261" s="124" t="s">
        <v>305</v>
      </c>
      <c r="C261" s="133" t="s">
        <v>175</v>
      </c>
      <c r="D261" s="157">
        <v>5.43</v>
      </c>
      <c r="E261" s="130" t="s">
        <v>397</v>
      </c>
      <c r="F261" s="124" t="s">
        <v>24</v>
      </c>
      <c r="L261"/>
    </row>
    <row r="262" spans="1:12" ht="15.75" thickBot="1">
      <c r="A262" s="148">
        <v>46078</v>
      </c>
      <c r="B262" s="124" t="s">
        <v>1015</v>
      </c>
      <c r="C262" s="133" t="s">
        <v>307</v>
      </c>
      <c r="D262" s="157">
        <v>97.04</v>
      </c>
      <c r="E262" s="130" t="s">
        <v>397</v>
      </c>
      <c r="F262" s="124" t="s">
        <v>24</v>
      </c>
      <c r="L262"/>
    </row>
    <row r="263" spans="1:12" ht="15.75" thickBot="1">
      <c r="A263" s="148">
        <v>46078</v>
      </c>
      <c r="B263" s="124" t="s">
        <v>1015</v>
      </c>
      <c r="C263" s="133" t="s">
        <v>307</v>
      </c>
      <c r="D263" s="157">
        <v>27.9</v>
      </c>
      <c r="E263" s="130" t="s">
        <v>397</v>
      </c>
      <c r="F263" s="124" t="s">
        <v>24</v>
      </c>
      <c r="L263"/>
    </row>
    <row r="264" spans="1:12" ht="15.75" thickBot="1">
      <c r="A264" s="148">
        <v>46078</v>
      </c>
      <c r="B264" s="124" t="s">
        <v>655</v>
      </c>
      <c r="C264" s="133" t="s">
        <v>307</v>
      </c>
      <c r="D264" s="157">
        <v>278</v>
      </c>
      <c r="E264" s="130" t="s">
        <v>397</v>
      </c>
      <c r="F264" s="124" t="s">
        <v>24</v>
      </c>
      <c r="L264"/>
    </row>
    <row r="265" spans="1:12" ht="15.75" thickBot="1">
      <c r="A265" s="148">
        <v>46078</v>
      </c>
      <c r="B265" s="124" t="s">
        <v>1108</v>
      </c>
      <c r="C265" s="133" t="s">
        <v>192</v>
      </c>
      <c r="D265" s="156">
        <v>368.11</v>
      </c>
      <c r="E265" s="130" t="s">
        <v>397</v>
      </c>
      <c r="F265" s="124" t="s">
        <v>24</v>
      </c>
      <c r="L265"/>
    </row>
    <row r="266" spans="1:12" ht="15.75" thickBot="1">
      <c r="A266" s="148">
        <v>46078</v>
      </c>
      <c r="B266" s="124" t="s">
        <v>1009</v>
      </c>
      <c r="C266" s="133" t="s">
        <v>307</v>
      </c>
      <c r="D266" s="157">
        <v>240</v>
      </c>
      <c r="E266" s="130" t="s">
        <v>397</v>
      </c>
      <c r="F266" s="124" t="s">
        <v>24</v>
      </c>
      <c r="L266"/>
    </row>
    <row r="267" spans="1:12" ht="15.75" thickBot="1">
      <c r="A267" s="148">
        <v>46078</v>
      </c>
      <c r="B267" s="124" t="s">
        <v>1034</v>
      </c>
      <c r="C267" s="133" t="s">
        <v>307</v>
      </c>
      <c r="D267" s="156">
        <v>432.9</v>
      </c>
      <c r="E267" s="130" t="s">
        <v>397</v>
      </c>
      <c r="F267" s="124" t="s">
        <v>24</v>
      </c>
      <c r="L267"/>
    </row>
    <row r="268" spans="1:12" ht="15.75" thickBot="1">
      <c r="A268" s="148">
        <v>46079</v>
      </c>
      <c r="B268" s="124" t="s">
        <v>305</v>
      </c>
      <c r="C268" s="133" t="s">
        <v>175</v>
      </c>
      <c r="D268" s="156">
        <v>7.24</v>
      </c>
      <c r="E268" s="130" t="s">
        <v>397</v>
      </c>
      <c r="F268" s="124" t="s">
        <v>24</v>
      </c>
      <c r="L268"/>
    </row>
    <row r="269" spans="1:12" ht="15.75" thickBot="1">
      <c r="A269" s="148">
        <v>46079</v>
      </c>
      <c r="B269" s="124" t="s">
        <v>1109</v>
      </c>
      <c r="C269" s="133" t="s">
        <v>188</v>
      </c>
      <c r="D269" s="156">
        <v>500</v>
      </c>
      <c r="E269" s="130" t="s">
        <v>397</v>
      </c>
      <c r="F269" s="124" t="s">
        <v>24</v>
      </c>
      <c r="L269"/>
    </row>
    <row r="270" spans="1:12" ht="15.75" thickBot="1">
      <c r="A270" s="148">
        <v>46079</v>
      </c>
      <c r="B270" s="124" t="s">
        <v>1043</v>
      </c>
      <c r="C270" s="133" t="s">
        <v>307</v>
      </c>
      <c r="D270" s="157">
        <v>869.09</v>
      </c>
      <c r="E270" s="130" t="s">
        <v>397</v>
      </c>
      <c r="F270" s="124" t="s">
        <v>24</v>
      </c>
      <c r="L270"/>
    </row>
    <row r="271" spans="1:12" ht="15.75" thickBot="1">
      <c r="A271" s="148">
        <v>46079</v>
      </c>
      <c r="B271" s="124" t="s">
        <v>1038</v>
      </c>
      <c r="C271" s="133" t="s">
        <v>307</v>
      </c>
      <c r="D271" s="156">
        <v>767.23</v>
      </c>
      <c r="E271" s="130" t="s">
        <v>397</v>
      </c>
      <c r="F271" s="124" t="s">
        <v>24</v>
      </c>
      <c r="L271"/>
    </row>
    <row r="272" spans="1:12" ht="15.75" thickBot="1">
      <c r="A272" s="148">
        <v>46079</v>
      </c>
      <c r="B272" s="124" t="s">
        <v>1013</v>
      </c>
      <c r="C272" s="133" t="s">
        <v>307</v>
      </c>
      <c r="D272" s="157">
        <v>439.82</v>
      </c>
      <c r="E272" s="130" t="s">
        <v>397</v>
      </c>
      <c r="F272" s="124" t="s">
        <v>24</v>
      </c>
      <c r="L272"/>
    </row>
    <row r="273" spans="1:12" ht="15.75" thickBot="1">
      <c r="A273" s="148">
        <v>46079</v>
      </c>
      <c r="B273" s="124" t="s">
        <v>1013</v>
      </c>
      <c r="C273" s="133" t="s">
        <v>307</v>
      </c>
      <c r="D273" s="156">
        <v>486.25</v>
      </c>
      <c r="E273" s="130" t="s">
        <v>397</v>
      </c>
      <c r="F273" s="124" t="s">
        <v>24</v>
      </c>
      <c r="L273"/>
    </row>
    <row r="274" spans="1:12" ht="15.75" thickBot="1">
      <c r="A274" s="148">
        <v>46079</v>
      </c>
      <c r="B274" s="124" t="s">
        <v>1006</v>
      </c>
      <c r="C274" s="133" t="s">
        <v>307</v>
      </c>
      <c r="D274" s="157">
        <v>907</v>
      </c>
      <c r="E274" s="130" t="s">
        <v>397</v>
      </c>
      <c r="F274" s="124" t="s">
        <v>24</v>
      </c>
      <c r="L274"/>
    </row>
    <row r="275" spans="1:12" ht="15.75" thickBot="1">
      <c r="A275" s="148">
        <v>46079</v>
      </c>
      <c r="B275" s="124" t="s">
        <v>1029</v>
      </c>
      <c r="C275" s="133" t="s">
        <v>307</v>
      </c>
      <c r="D275" s="156">
        <v>2953.94</v>
      </c>
      <c r="E275" s="130" t="s">
        <v>397</v>
      </c>
      <c r="F275" s="124" t="s">
        <v>24</v>
      </c>
      <c r="L275"/>
    </row>
    <row r="276" spans="1:12" ht="15.75" thickBot="1">
      <c r="A276" s="148">
        <v>46079</v>
      </c>
      <c r="B276" s="124" t="s">
        <v>1015</v>
      </c>
      <c r="C276" s="133" t="s">
        <v>307</v>
      </c>
      <c r="D276" s="157">
        <v>164.01</v>
      </c>
      <c r="E276" s="130" t="s">
        <v>397</v>
      </c>
      <c r="F276" s="124" t="s">
        <v>24</v>
      </c>
      <c r="L276"/>
    </row>
    <row r="277" spans="1:12" ht="15.75" thickBot="1">
      <c r="A277" s="148">
        <v>46079</v>
      </c>
      <c r="B277" s="124" t="s">
        <v>955</v>
      </c>
      <c r="C277" s="133" t="s">
        <v>203</v>
      </c>
      <c r="D277" s="157">
        <v>4000</v>
      </c>
      <c r="E277" s="130" t="s">
        <v>397</v>
      </c>
      <c r="F277" s="124" t="s">
        <v>24</v>
      </c>
      <c r="L277"/>
    </row>
    <row r="278" spans="1:12" ht="15.75" thickBot="1">
      <c r="A278" s="148">
        <v>46079</v>
      </c>
      <c r="B278" s="124" t="s">
        <v>1110</v>
      </c>
      <c r="C278" s="133" t="s">
        <v>192</v>
      </c>
      <c r="D278" s="157">
        <v>4200</v>
      </c>
      <c r="E278" s="130" t="s">
        <v>397</v>
      </c>
      <c r="F278" s="124" t="s">
        <v>24</v>
      </c>
      <c r="L278"/>
    </row>
    <row r="279" spans="1:12" ht="15.75" thickBot="1">
      <c r="A279" s="148">
        <v>46080</v>
      </c>
      <c r="B279" s="124" t="s">
        <v>305</v>
      </c>
      <c r="C279" s="133" t="s">
        <v>175</v>
      </c>
      <c r="D279" s="157">
        <v>19.91</v>
      </c>
      <c r="E279" s="130" t="s">
        <v>397</v>
      </c>
      <c r="F279" s="124" t="s">
        <v>24</v>
      </c>
      <c r="L279"/>
    </row>
    <row r="280" spans="1:12" ht="15.75" thickBot="1">
      <c r="A280" s="148">
        <v>46080</v>
      </c>
      <c r="B280" s="124" t="s">
        <v>1111</v>
      </c>
      <c r="C280" s="133" t="s">
        <v>307</v>
      </c>
      <c r="D280" s="156">
        <v>1912.5</v>
      </c>
      <c r="E280" s="130" t="s">
        <v>397</v>
      </c>
      <c r="F280" s="124" t="s">
        <v>24</v>
      </c>
      <c r="L280"/>
    </row>
    <row r="281" spans="1:12" ht="15.75" thickBot="1">
      <c r="A281" s="148">
        <v>46080</v>
      </c>
      <c r="B281" s="124" t="s">
        <v>1006</v>
      </c>
      <c r="C281" s="133" t="s">
        <v>307</v>
      </c>
      <c r="D281" s="157">
        <v>305.75</v>
      </c>
      <c r="E281" s="130" t="s">
        <v>397</v>
      </c>
      <c r="F281" s="124" t="s">
        <v>24</v>
      </c>
      <c r="L281"/>
    </row>
    <row r="282" spans="1:12" ht="15.75" thickBot="1">
      <c r="A282" s="148">
        <v>46080</v>
      </c>
      <c r="B282" s="124" t="s">
        <v>1010</v>
      </c>
      <c r="C282" s="133" t="s">
        <v>307</v>
      </c>
      <c r="D282" s="156">
        <v>689.67</v>
      </c>
      <c r="E282" s="130" t="s">
        <v>397</v>
      </c>
      <c r="F282" s="124" t="s">
        <v>24</v>
      </c>
      <c r="L282"/>
    </row>
    <row r="283" spans="1:12" ht="15.75" thickBot="1">
      <c r="A283" s="148">
        <v>46080</v>
      </c>
      <c r="B283" s="124" t="s">
        <v>1079</v>
      </c>
      <c r="C283" s="133" t="s">
        <v>307</v>
      </c>
      <c r="D283" s="157">
        <v>333.62</v>
      </c>
      <c r="E283" s="130" t="s">
        <v>397</v>
      </c>
      <c r="F283" s="124" t="s">
        <v>24</v>
      </c>
      <c r="L283"/>
    </row>
    <row r="284" spans="1:12" ht="15.75" thickBot="1">
      <c r="A284" s="148">
        <v>46080</v>
      </c>
      <c r="B284" s="124" t="s">
        <v>1096</v>
      </c>
      <c r="C284" s="133" t="s">
        <v>307</v>
      </c>
      <c r="D284" s="156">
        <v>348</v>
      </c>
      <c r="E284" s="130" t="s">
        <v>397</v>
      </c>
      <c r="F284" s="124" t="s">
        <v>24</v>
      </c>
      <c r="L284"/>
    </row>
    <row r="285" spans="1:12" ht="15.75" thickBot="1">
      <c r="A285" s="148">
        <v>46080</v>
      </c>
      <c r="B285" s="124" t="s">
        <v>1015</v>
      </c>
      <c r="C285" s="133" t="s">
        <v>307</v>
      </c>
      <c r="D285" s="157">
        <v>226.12</v>
      </c>
      <c r="E285" s="130" t="s">
        <v>397</v>
      </c>
      <c r="F285" s="124" t="s">
        <v>24</v>
      </c>
      <c r="L285"/>
    </row>
    <row r="286" spans="1:12">
      <c r="A286" s="126">
        <v>46062</v>
      </c>
      <c r="B286" s="128" t="s">
        <v>1112</v>
      </c>
      <c r="C286" s="133" t="s">
        <v>307</v>
      </c>
      <c r="D286" s="417">
        <v>812.5</v>
      </c>
      <c r="E286" s="130" t="s">
        <v>523</v>
      </c>
      <c r="F286" s="124" t="s">
        <v>24</v>
      </c>
      <c r="L286"/>
    </row>
    <row r="287" spans="1:12">
      <c r="A287" s="126">
        <v>46064</v>
      </c>
      <c r="B287" s="124" t="s">
        <v>1070</v>
      </c>
      <c r="C287" s="154" t="s">
        <v>307</v>
      </c>
      <c r="D287" s="418">
        <v>66</v>
      </c>
      <c r="E287" s="130" t="s">
        <v>523</v>
      </c>
      <c r="F287" s="124" t="s">
        <v>24</v>
      </c>
      <c r="L287"/>
    </row>
    <row r="288" spans="1:12" ht="15.75" thickBot="1">
      <c r="A288" s="126">
        <v>46066</v>
      </c>
      <c r="B288" s="124" t="s">
        <v>1113</v>
      </c>
      <c r="C288" s="154" t="s">
        <v>1114</v>
      </c>
      <c r="D288" s="418">
        <v>1600</v>
      </c>
      <c r="E288" s="130" t="s">
        <v>523</v>
      </c>
      <c r="F288" s="124" t="s">
        <v>24</v>
      </c>
      <c r="L288"/>
    </row>
    <row r="289" spans="1:12" ht="15.75" thickBot="1">
      <c r="A289" s="151">
        <v>46071</v>
      </c>
      <c r="B289" s="128" t="s">
        <v>1067</v>
      </c>
      <c r="C289" s="133" t="s">
        <v>196</v>
      </c>
      <c r="D289" s="417">
        <v>209.66</v>
      </c>
      <c r="E289" s="130" t="s">
        <v>523</v>
      </c>
      <c r="F289" s="124" t="s">
        <v>24</v>
      </c>
      <c r="L289"/>
    </row>
    <row r="290" spans="1:12" ht="30.75" thickBot="1">
      <c r="A290" s="151">
        <v>46071</v>
      </c>
      <c r="B290" s="128" t="s">
        <v>302</v>
      </c>
      <c r="C290" s="421" t="s">
        <v>186</v>
      </c>
      <c r="D290" s="417">
        <v>6241.39</v>
      </c>
      <c r="E290" s="130" t="s">
        <v>523</v>
      </c>
      <c r="F290" s="124" t="s">
        <v>24</v>
      </c>
      <c r="H290">
        <v>41</v>
      </c>
      <c r="L290"/>
    </row>
    <row r="291" spans="1:12">
      <c r="A291" s="126">
        <v>46086</v>
      </c>
      <c r="B291" s="128" t="s">
        <v>1070</v>
      </c>
      <c r="C291" s="133" t="s">
        <v>307</v>
      </c>
      <c r="D291" s="417">
        <v>83</v>
      </c>
      <c r="E291" s="130" t="s">
        <v>523</v>
      </c>
      <c r="F291" s="124" t="s">
        <v>25</v>
      </c>
      <c r="G291" s="297">
        <f>SUM(D291:D492)</f>
        <v>192968.08000000005</v>
      </c>
      <c r="L291"/>
    </row>
    <row r="292" spans="1:12">
      <c r="A292" s="126">
        <v>46092</v>
      </c>
      <c r="B292" s="128" t="s">
        <v>1070</v>
      </c>
      <c r="C292" s="133" t="s">
        <v>307</v>
      </c>
      <c r="D292" s="417">
        <v>50</v>
      </c>
      <c r="E292" s="130" t="s">
        <v>523</v>
      </c>
      <c r="F292" s="124" t="s">
        <v>25</v>
      </c>
      <c r="L292"/>
    </row>
    <row r="293" spans="1:12">
      <c r="A293" s="126">
        <v>46097</v>
      </c>
      <c r="B293" s="128" t="s">
        <v>1067</v>
      </c>
      <c r="C293" s="133" t="s">
        <v>196</v>
      </c>
      <c r="D293" s="417">
        <v>218.6</v>
      </c>
      <c r="E293" s="130" t="s">
        <v>523</v>
      </c>
      <c r="F293" s="124" t="s">
        <v>25</v>
      </c>
      <c r="L293"/>
    </row>
    <row r="294" spans="1:12" ht="30">
      <c r="A294" s="126">
        <v>46097</v>
      </c>
      <c r="B294" s="128" t="s">
        <v>302</v>
      </c>
      <c r="C294" s="421" t="s">
        <v>186</v>
      </c>
      <c r="D294" s="417">
        <v>6303.62</v>
      </c>
      <c r="E294" s="130" t="s">
        <v>523</v>
      </c>
      <c r="F294" s="124" t="s">
        <v>25</v>
      </c>
      <c r="H294">
        <v>42</v>
      </c>
      <c r="L294"/>
    </row>
    <row r="295" spans="1:12">
      <c r="A295" s="126">
        <v>46106</v>
      </c>
      <c r="B295" s="128" t="s">
        <v>655</v>
      </c>
      <c r="C295" s="133" t="s">
        <v>307</v>
      </c>
      <c r="D295" s="417">
        <v>268.5</v>
      </c>
      <c r="E295" s="130" t="s">
        <v>523</v>
      </c>
      <c r="F295" s="124" t="s">
        <v>25</v>
      </c>
      <c r="L295"/>
    </row>
    <row r="296" spans="1:12">
      <c r="A296" s="126">
        <v>46108</v>
      </c>
      <c r="B296" s="141" t="s">
        <v>1070</v>
      </c>
      <c r="C296" s="158" t="s">
        <v>307</v>
      </c>
      <c r="D296" s="419">
        <v>70</v>
      </c>
      <c r="E296" s="130" t="s">
        <v>523</v>
      </c>
      <c r="F296" s="124" t="s">
        <v>25</v>
      </c>
      <c r="L296"/>
    </row>
    <row r="297" spans="1:12">
      <c r="A297" s="126">
        <v>46111</v>
      </c>
      <c r="B297" s="159" t="s">
        <v>1113</v>
      </c>
      <c r="C297" s="160" t="s">
        <v>210</v>
      </c>
      <c r="D297" s="161">
        <v>240</v>
      </c>
      <c r="E297" s="130" t="s">
        <v>523</v>
      </c>
      <c r="F297" s="124" t="s">
        <v>25</v>
      </c>
      <c r="L297"/>
    </row>
    <row r="298" spans="1:12">
      <c r="A298" s="126">
        <v>46083</v>
      </c>
      <c r="B298" s="127" t="s">
        <v>1074</v>
      </c>
      <c r="C298" s="133" t="s">
        <v>307</v>
      </c>
      <c r="D298" s="129">
        <v>90.53</v>
      </c>
      <c r="E298" s="130" t="s">
        <v>397</v>
      </c>
      <c r="F298" s="124" t="s">
        <v>25</v>
      </c>
      <c r="L298"/>
    </row>
    <row r="299" spans="1:12">
      <c r="A299" s="126">
        <v>46083</v>
      </c>
      <c r="B299" s="128" t="s">
        <v>1115</v>
      </c>
      <c r="C299" s="133" t="s">
        <v>307</v>
      </c>
      <c r="D299" s="134">
        <v>682.47</v>
      </c>
      <c r="E299" s="130" t="s">
        <v>397</v>
      </c>
      <c r="F299" s="124" t="s">
        <v>25</v>
      </c>
      <c r="L299"/>
    </row>
    <row r="300" spans="1:12">
      <c r="A300" s="126">
        <v>46083</v>
      </c>
      <c r="B300" s="128" t="s">
        <v>1116</v>
      </c>
      <c r="C300" s="133" t="s">
        <v>307</v>
      </c>
      <c r="D300" s="134">
        <v>316.87</v>
      </c>
      <c r="E300" s="130" t="s">
        <v>397</v>
      </c>
      <c r="F300" s="124" t="s">
        <v>25</v>
      </c>
      <c r="L300"/>
    </row>
    <row r="301" spans="1:12">
      <c r="A301" s="126">
        <v>46083</v>
      </c>
      <c r="B301" s="128" t="s">
        <v>1072</v>
      </c>
      <c r="C301" s="133" t="s">
        <v>307</v>
      </c>
      <c r="D301" s="134">
        <v>570</v>
      </c>
      <c r="E301" s="130" t="s">
        <v>397</v>
      </c>
      <c r="F301" s="124" t="s">
        <v>25</v>
      </c>
      <c r="L301"/>
    </row>
    <row r="302" spans="1:12">
      <c r="A302" s="126">
        <v>46083</v>
      </c>
      <c r="B302" s="128" t="s">
        <v>1117</v>
      </c>
      <c r="C302" s="133" t="s">
        <v>307</v>
      </c>
      <c r="D302" s="134">
        <v>660.8</v>
      </c>
      <c r="E302" s="130" t="s">
        <v>397</v>
      </c>
      <c r="F302" s="124" t="s">
        <v>25</v>
      </c>
      <c r="L302"/>
    </row>
    <row r="303" spans="1:12">
      <c r="A303" s="126">
        <v>46083</v>
      </c>
      <c r="B303" s="128" t="s">
        <v>1116</v>
      </c>
      <c r="C303" s="133" t="s">
        <v>307</v>
      </c>
      <c r="D303" s="134">
        <v>425</v>
      </c>
      <c r="E303" s="130" t="s">
        <v>397</v>
      </c>
      <c r="F303" s="124" t="s">
        <v>25</v>
      </c>
      <c r="L303"/>
    </row>
    <row r="304" spans="1:12">
      <c r="A304" s="126">
        <v>46083</v>
      </c>
      <c r="B304" s="128" t="s">
        <v>1116</v>
      </c>
      <c r="C304" s="133" t="s">
        <v>307</v>
      </c>
      <c r="D304" s="134">
        <v>450</v>
      </c>
      <c r="E304" s="130" t="s">
        <v>397</v>
      </c>
      <c r="F304" s="124" t="s">
        <v>25</v>
      </c>
      <c r="L304"/>
    </row>
    <row r="305" spans="1:12">
      <c r="A305" s="126">
        <v>46083</v>
      </c>
      <c r="B305" s="128" t="s">
        <v>1118</v>
      </c>
      <c r="C305" s="133" t="s">
        <v>307</v>
      </c>
      <c r="D305" s="134">
        <v>890</v>
      </c>
      <c r="E305" s="130" t="s">
        <v>397</v>
      </c>
      <c r="F305" s="124" t="s">
        <v>25</v>
      </c>
      <c r="L305"/>
    </row>
    <row r="306" spans="1:12">
      <c r="A306" s="126">
        <v>46083</v>
      </c>
      <c r="B306" s="128" t="s">
        <v>1072</v>
      </c>
      <c r="C306" s="133" t="s">
        <v>307</v>
      </c>
      <c r="D306" s="134">
        <v>60</v>
      </c>
      <c r="E306" s="130" t="s">
        <v>397</v>
      </c>
      <c r="F306" s="124" t="s">
        <v>25</v>
      </c>
      <c r="L306"/>
    </row>
    <row r="307" spans="1:12">
      <c r="A307" s="126">
        <v>46083</v>
      </c>
      <c r="B307" s="128" t="s">
        <v>1072</v>
      </c>
      <c r="C307" s="133" t="s">
        <v>307</v>
      </c>
      <c r="D307" s="134">
        <v>75.069999999999993</v>
      </c>
      <c r="E307" s="130" t="s">
        <v>397</v>
      </c>
      <c r="F307" s="124" t="s">
        <v>25</v>
      </c>
      <c r="L307"/>
    </row>
    <row r="308" spans="1:12">
      <c r="A308" s="126">
        <v>46083</v>
      </c>
      <c r="B308" s="128" t="s">
        <v>325</v>
      </c>
      <c r="C308" s="133" t="s">
        <v>209</v>
      </c>
      <c r="D308" s="134">
        <v>6280</v>
      </c>
      <c r="E308" s="130" t="s">
        <v>397</v>
      </c>
      <c r="F308" s="124" t="s">
        <v>25</v>
      </c>
      <c r="L308"/>
    </row>
    <row r="309" spans="1:12">
      <c r="A309" s="126">
        <v>46083</v>
      </c>
      <c r="B309" s="128" t="s">
        <v>325</v>
      </c>
      <c r="C309" s="133" t="s">
        <v>194</v>
      </c>
      <c r="D309" s="134">
        <v>10000</v>
      </c>
      <c r="E309" s="130" t="s">
        <v>397</v>
      </c>
      <c r="F309" s="124" t="s">
        <v>25</v>
      </c>
      <c r="L309"/>
    </row>
    <row r="310" spans="1:12">
      <c r="A310" s="126">
        <v>46083</v>
      </c>
      <c r="B310" s="128" t="s">
        <v>1119</v>
      </c>
      <c r="C310" s="133" t="s">
        <v>188</v>
      </c>
      <c r="D310" s="134">
        <v>720</v>
      </c>
      <c r="E310" s="130" t="s">
        <v>397</v>
      </c>
      <c r="F310" s="124" t="s">
        <v>25</v>
      </c>
      <c r="L310"/>
    </row>
    <row r="311" spans="1:12">
      <c r="A311" s="126">
        <v>46083</v>
      </c>
      <c r="B311" s="128" t="s">
        <v>338</v>
      </c>
      <c r="C311" s="133" t="s">
        <v>210</v>
      </c>
      <c r="D311" s="134">
        <v>670</v>
      </c>
      <c r="E311" s="130" t="s">
        <v>397</v>
      </c>
      <c r="F311" s="124" t="s">
        <v>25</v>
      </c>
      <c r="L311"/>
    </row>
    <row r="312" spans="1:12">
      <c r="A312" s="126">
        <v>46083</v>
      </c>
      <c r="B312" s="128" t="s">
        <v>1120</v>
      </c>
      <c r="C312" s="133" t="s">
        <v>210</v>
      </c>
      <c r="D312" s="134">
        <v>100</v>
      </c>
      <c r="E312" s="130" t="s">
        <v>397</v>
      </c>
      <c r="F312" s="124" t="s">
        <v>25</v>
      </c>
      <c r="L312"/>
    </row>
    <row r="313" spans="1:12">
      <c r="A313" s="126">
        <v>46083</v>
      </c>
      <c r="B313" s="128" t="s">
        <v>655</v>
      </c>
      <c r="C313" s="133" t="s">
        <v>307</v>
      </c>
      <c r="D313" s="134">
        <v>278</v>
      </c>
      <c r="E313" s="130" t="s">
        <v>397</v>
      </c>
      <c r="F313" s="124" t="s">
        <v>25</v>
      </c>
      <c r="L313"/>
    </row>
    <row r="314" spans="1:12">
      <c r="A314" s="126">
        <v>46083</v>
      </c>
      <c r="B314" s="128" t="s">
        <v>305</v>
      </c>
      <c r="C314" s="133" t="s">
        <v>175</v>
      </c>
      <c r="D314" s="134">
        <v>9.0500000000000007</v>
      </c>
      <c r="E314" s="130" t="s">
        <v>397</v>
      </c>
      <c r="F314" s="124" t="s">
        <v>25</v>
      </c>
      <c r="L314"/>
    </row>
    <row r="315" spans="1:12">
      <c r="A315" s="126">
        <v>46084</v>
      </c>
      <c r="B315" s="128" t="s">
        <v>1121</v>
      </c>
      <c r="C315" s="133" t="s">
        <v>307</v>
      </c>
      <c r="D315" s="134">
        <v>250</v>
      </c>
      <c r="E315" s="130" t="s">
        <v>397</v>
      </c>
      <c r="F315" s="124" t="s">
        <v>25</v>
      </c>
      <c r="L315"/>
    </row>
    <row r="316" spans="1:12">
      <c r="A316" s="126">
        <v>46084</v>
      </c>
      <c r="B316" s="128" t="s">
        <v>1075</v>
      </c>
      <c r="C316" s="133" t="s">
        <v>307</v>
      </c>
      <c r="D316" s="134">
        <v>32</v>
      </c>
      <c r="E316" s="130" t="s">
        <v>397</v>
      </c>
      <c r="F316" s="124" t="s">
        <v>25</v>
      </c>
      <c r="L316"/>
    </row>
    <row r="317" spans="1:12">
      <c r="A317" s="126">
        <v>46084</v>
      </c>
      <c r="B317" s="128" t="s">
        <v>1122</v>
      </c>
      <c r="C317" s="133" t="s">
        <v>175</v>
      </c>
      <c r="D317" s="134">
        <v>6.76</v>
      </c>
      <c r="E317" s="130" t="s">
        <v>397</v>
      </c>
      <c r="F317" s="124" t="s">
        <v>25</v>
      </c>
      <c r="L317"/>
    </row>
    <row r="318" spans="1:12">
      <c r="A318" s="126">
        <v>46084</v>
      </c>
      <c r="B318" s="128" t="s">
        <v>305</v>
      </c>
      <c r="C318" s="133" t="s">
        <v>175</v>
      </c>
      <c r="D318" s="134">
        <v>3.62</v>
      </c>
      <c r="E318" s="130" t="s">
        <v>397</v>
      </c>
      <c r="F318" s="124" t="s">
        <v>25</v>
      </c>
      <c r="L318"/>
    </row>
    <row r="319" spans="1:12">
      <c r="A319" s="126">
        <v>46084</v>
      </c>
      <c r="B319" s="128" t="s">
        <v>1123</v>
      </c>
      <c r="C319" s="133" t="s">
        <v>307</v>
      </c>
      <c r="D319" s="134">
        <v>600</v>
      </c>
      <c r="E319" s="130" t="s">
        <v>397</v>
      </c>
      <c r="F319" s="124" t="s">
        <v>25</v>
      </c>
      <c r="L319"/>
    </row>
    <row r="320" spans="1:12">
      <c r="A320" s="126">
        <v>46084</v>
      </c>
      <c r="B320" s="128" t="s">
        <v>1124</v>
      </c>
      <c r="C320" s="133" t="s">
        <v>307</v>
      </c>
      <c r="D320" s="134">
        <v>420</v>
      </c>
      <c r="E320" s="130" t="s">
        <v>397</v>
      </c>
      <c r="F320" s="124" t="s">
        <v>25</v>
      </c>
      <c r="L320"/>
    </row>
    <row r="321" spans="1:12">
      <c r="A321" s="126">
        <v>46085</v>
      </c>
      <c r="B321" s="128" t="s">
        <v>305</v>
      </c>
      <c r="C321" s="133" t="s">
        <v>175</v>
      </c>
      <c r="D321" s="134">
        <v>7.24</v>
      </c>
      <c r="E321" s="130" t="s">
        <v>397</v>
      </c>
      <c r="F321" s="124" t="s">
        <v>25</v>
      </c>
      <c r="L321"/>
    </row>
    <row r="322" spans="1:12">
      <c r="A322" s="126">
        <v>46085</v>
      </c>
      <c r="B322" s="128" t="s">
        <v>1125</v>
      </c>
      <c r="C322" s="133" t="s">
        <v>307</v>
      </c>
      <c r="D322" s="134">
        <v>375.23</v>
      </c>
      <c r="E322" s="130" t="s">
        <v>397</v>
      </c>
      <c r="F322" s="124" t="s">
        <v>25</v>
      </c>
      <c r="L322"/>
    </row>
    <row r="323" spans="1:12">
      <c r="A323" s="126">
        <v>46086</v>
      </c>
      <c r="B323" s="128" t="s">
        <v>305</v>
      </c>
      <c r="C323" s="133" t="s">
        <v>175</v>
      </c>
      <c r="D323" s="134">
        <v>5.43</v>
      </c>
      <c r="E323" s="130" t="s">
        <v>397</v>
      </c>
      <c r="F323" s="124" t="s">
        <v>25</v>
      </c>
      <c r="L323"/>
    </row>
    <row r="324" spans="1:12">
      <c r="A324" s="126">
        <v>46086</v>
      </c>
      <c r="B324" s="128" t="s">
        <v>1126</v>
      </c>
      <c r="C324" s="133" t="s">
        <v>307</v>
      </c>
      <c r="D324" s="134">
        <v>124.91</v>
      </c>
      <c r="E324" s="130" t="s">
        <v>397</v>
      </c>
      <c r="F324" s="124" t="s">
        <v>25</v>
      </c>
      <c r="L324"/>
    </row>
    <row r="325" spans="1:12">
      <c r="A325" s="126">
        <v>46086</v>
      </c>
      <c r="B325" s="128" t="s">
        <v>329</v>
      </c>
      <c r="C325" s="133" t="s">
        <v>197</v>
      </c>
      <c r="D325" s="134">
        <v>650</v>
      </c>
      <c r="E325" s="130" t="s">
        <v>397</v>
      </c>
      <c r="F325" s="124" t="s">
        <v>25</v>
      </c>
      <c r="L325"/>
    </row>
    <row r="326" spans="1:12">
      <c r="A326" s="126">
        <v>46086</v>
      </c>
      <c r="B326" s="128" t="s">
        <v>1127</v>
      </c>
      <c r="C326" s="133" t="s">
        <v>192</v>
      </c>
      <c r="D326" s="134">
        <v>1270</v>
      </c>
      <c r="E326" s="130" t="s">
        <v>397</v>
      </c>
      <c r="F326" s="124" t="s">
        <v>25</v>
      </c>
      <c r="L326"/>
    </row>
    <row r="327" spans="1:12">
      <c r="A327" s="126">
        <v>46086</v>
      </c>
      <c r="B327" s="128" t="s">
        <v>1128</v>
      </c>
      <c r="C327" s="133" t="s">
        <v>210</v>
      </c>
      <c r="D327" s="134">
        <v>1802.8</v>
      </c>
      <c r="E327" s="130" t="s">
        <v>397</v>
      </c>
      <c r="F327" s="124" t="s">
        <v>25</v>
      </c>
      <c r="L327"/>
    </row>
    <row r="328" spans="1:12">
      <c r="A328" s="126">
        <v>46086</v>
      </c>
      <c r="B328" s="128" t="s">
        <v>1042</v>
      </c>
      <c r="C328" s="133" t="s">
        <v>307</v>
      </c>
      <c r="D328" s="134">
        <v>261.17</v>
      </c>
      <c r="E328" s="130" t="s">
        <v>397</v>
      </c>
      <c r="F328" s="124" t="s">
        <v>25</v>
      </c>
      <c r="L328"/>
    </row>
    <row r="329" spans="1:12">
      <c r="A329" s="126">
        <v>46086</v>
      </c>
      <c r="B329" s="128" t="s">
        <v>1129</v>
      </c>
      <c r="C329" s="133" t="s">
        <v>307</v>
      </c>
      <c r="D329" s="134">
        <v>842.7</v>
      </c>
      <c r="E329" s="130" t="s">
        <v>397</v>
      </c>
      <c r="F329" s="124" t="s">
        <v>25</v>
      </c>
      <c r="L329"/>
    </row>
    <row r="330" spans="1:12">
      <c r="A330" s="126">
        <v>46086</v>
      </c>
      <c r="B330" s="128" t="s">
        <v>1130</v>
      </c>
      <c r="C330" s="133" t="s">
        <v>307</v>
      </c>
      <c r="D330" s="134">
        <v>398.88</v>
      </c>
      <c r="E330" s="130" t="s">
        <v>397</v>
      </c>
      <c r="F330" s="124" t="s">
        <v>25</v>
      </c>
      <c r="L330"/>
    </row>
    <row r="331" spans="1:12">
      <c r="A331" s="126">
        <v>46086</v>
      </c>
      <c r="B331" s="128" t="s">
        <v>1129</v>
      </c>
      <c r="C331" s="133" t="s">
        <v>307</v>
      </c>
      <c r="D331" s="134">
        <v>201.4</v>
      </c>
      <c r="E331" s="130" t="s">
        <v>397</v>
      </c>
      <c r="F331" s="124" t="s">
        <v>25</v>
      </c>
      <c r="L331"/>
    </row>
    <row r="332" spans="1:12">
      <c r="A332" s="126">
        <v>46086</v>
      </c>
      <c r="B332" s="128" t="s">
        <v>1131</v>
      </c>
      <c r="C332" s="133" t="s">
        <v>307</v>
      </c>
      <c r="D332" s="134">
        <v>402.68</v>
      </c>
      <c r="E332" s="130" t="s">
        <v>397</v>
      </c>
      <c r="F332" s="124" t="s">
        <v>25</v>
      </c>
      <c r="L332"/>
    </row>
    <row r="333" spans="1:12">
      <c r="A333" s="126">
        <v>46086</v>
      </c>
      <c r="B333" s="128" t="s">
        <v>1132</v>
      </c>
      <c r="C333" s="133" t="s">
        <v>307</v>
      </c>
      <c r="D333" s="134">
        <v>390.3</v>
      </c>
      <c r="E333" s="130" t="s">
        <v>397</v>
      </c>
      <c r="F333" s="124" t="s">
        <v>25</v>
      </c>
      <c r="L333"/>
    </row>
    <row r="334" spans="1:12">
      <c r="A334" s="126">
        <v>46087</v>
      </c>
      <c r="B334" s="128" t="s">
        <v>305</v>
      </c>
      <c r="C334" s="133" t="s">
        <v>175</v>
      </c>
      <c r="D334" s="134">
        <v>9.0500000000000007</v>
      </c>
      <c r="E334" s="130" t="s">
        <v>397</v>
      </c>
      <c r="F334" s="124" t="s">
        <v>25</v>
      </c>
      <c r="L334"/>
    </row>
    <row r="335" spans="1:12">
      <c r="A335" s="126">
        <v>46087</v>
      </c>
      <c r="B335" s="128" t="s">
        <v>955</v>
      </c>
      <c r="C335" s="133" t="s">
        <v>203</v>
      </c>
      <c r="D335" s="134">
        <v>7000</v>
      </c>
      <c r="E335" s="130" t="s">
        <v>397</v>
      </c>
      <c r="F335" s="124" t="s">
        <v>25</v>
      </c>
      <c r="L335"/>
    </row>
    <row r="336" spans="1:12">
      <c r="A336" s="126">
        <v>46087</v>
      </c>
      <c r="B336" s="128" t="s">
        <v>1133</v>
      </c>
      <c r="C336" s="133" t="s">
        <v>307</v>
      </c>
      <c r="D336" s="134">
        <v>668.33</v>
      </c>
      <c r="E336" s="130" t="s">
        <v>397</v>
      </c>
      <c r="F336" s="124" t="s">
        <v>25</v>
      </c>
      <c r="L336"/>
    </row>
    <row r="337" spans="1:12">
      <c r="A337" s="126">
        <v>46087</v>
      </c>
      <c r="B337" s="128" t="s">
        <v>1129</v>
      </c>
      <c r="C337" s="133" t="s">
        <v>307</v>
      </c>
      <c r="D337" s="134">
        <v>38.159999999999997</v>
      </c>
      <c r="E337" s="130" t="s">
        <v>397</v>
      </c>
      <c r="F337" s="124" t="s">
        <v>25</v>
      </c>
      <c r="L337"/>
    </row>
    <row r="338" spans="1:12">
      <c r="A338" s="126">
        <v>46087</v>
      </c>
      <c r="B338" s="133" t="s">
        <v>1134</v>
      </c>
      <c r="C338" s="133" t="s">
        <v>188</v>
      </c>
      <c r="D338" s="134">
        <v>2440.6799999999998</v>
      </c>
      <c r="E338" s="130" t="s">
        <v>397</v>
      </c>
      <c r="F338" s="124" t="s">
        <v>25</v>
      </c>
      <c r="L338"/>
    </row>
    <row r="339" spans="1:12">
      <c r="A339" s="126">
        <v>46087</v>
      </c>
      <c r="B339" s="137" t="s">
        <v>1135</v>
      </c>
      <c r="C339" s="133" t="s">
        <v>188</v>
      </c>
      <c r="D339" s="138">
        <v>1554.24</v>
      </c>
      <c r="E339" s="130" t="s">
        <v>397</v>
      </c>
      <c r="F339" s="124" t="s">
        <v>25</v>
      </c>
      <c r="L339"/>
    </row>
    <row r="340" spans="1:12">
      <c r="A340" s="126">
        <v>46087</v>
      </c>
      <c r="B340" s="137" t="s">
        <v>1085</v>
      </c>
      <c r="C340" s="133" t="s">
        <v>188</v>
      </c>
      <c r="D340" s="138">
        <v>1049.52</v>
      </c>
      <c r="E340" s="130" t="s">
        <v>397</v>
      </c>
      <c r="F340" s="124" t="s">
        <v>25</v>
      </c>
      <c r="L340"/>
    </row>
    <row r="341" spans="1:12">
      <c r="A341" s="126">
        <v>46087</v>
      </c>
      <c r="B341" s="137" t="s">
        <v>1136</v>
      </c>
      <c r="C341" s="133" t="s">
        <v>188</v>
      </c>
      <c r="D341" s="138">
        <v>1500</v>
      </c>
      <c r="E341" s="130" t="s">
        <v>397</v>
      </c>
      <c r="F341" s="124" t="s">
        <v>25</v>
      </c>
      <c r="L341"/>
    </row>
    <row r="342" spans="1:12">
      <c r="A342" s="126">
        <v>46087</v>
      </c>
      <c r="B342" s="137" t="s">
        <v>1072</v>
      </c>
      <c r="C342" s="133" t="s">
        <v>307</v>
      </c>
      <c r="D342" s="138">
        <v>86</v>
      </c>
      <c r="E342" s="130" t="s">
        <v>397</v>
      </c>
      <c r="F342" s="124" t="s">
        <v>25</v>
      </c>
      <c r="L342"/>
    </row>
    <row r="343" spans="1:12">
      <c r="A343" s="126">
        <v>46090</v>
      </c>
      <c r="B343" s="137" t="s">
        <v>305</v>
      </c>
      <c r="C343" s="133" t="s">
        <v>175</v>
      </c>
      <c r="D343" s="138">
        <v>10.86</v>
      </c>
      <c r="E343" s="130" t="s">
        <v>397</v>
      </c>
      <c r="F343" s="124" t="s">
        <v>25</v>
      </c>
      <c r="L343"/>
    </row>
    <row r="344" spans="1:12">
      <c r="A344" s="126">
        <v>46090</v>
      </c>
      <c r="B344" s="137" t="s">
        <v>339</v>
      </c>
      <c r="C344" s="133" t="s">
        <v>210</v>
      </c>
      <c r="D344" s="138">
        <v>5145.5</v>
      </c>
      <c r="E344" s="130" t="s">
        <v>397</v>
      </c>
      <c r="F344" s="124" t="s">
        <v>25</v>
      </c>
      <c r="L344"/>
    </row>
    <row r="345" spans="1:12">
      <c r="A345" s="126">
        <v>46090</v>
      </c>
      <c r="B345" s="137" t="s">
        <v>1137</v>
      </c>
      <c r="C345" s="133" t="s">
        <v>307</v>
      </c>
      <c r="D345" s="138">
        <v>535</v>
      </c>
      <c r="E345" s="130" t="s">
        <v>397</v>
      </c>
      <c r="F345" s="124" t="s">
        <v>25</v>
      </c>
      <c r="L345"/>
    </row>
    <row r="346" spans="1:12">
      <c r="A346" s="126">
        <v>46090</v>
      </c>
      <c r="B346" s="137" t="s">
        <v>1138</v>
      </c>
      <c r="C346" s="133" t="s">
        <v>197</v>
      </c>
      <c r="D346" s="138">
        <v>80</v>
      </c>
      <c r="E346" s="130" t="s">
        <v>397</v>
      </c>
      <c r="F346" s="124" t="s">
        <v>25</v>
      </c>
      <c r="L346"/>
    </row>
    <row r="347" spans="1:12">
      <c r="A347" s="126">
        <v>46090</v>
      </c>
      <c r="B347" s="131" t="s">
        <v>1125</v>
      </c>
      <c r="C347" s="133" t="s">
        <v>307</v>
      </c>
      <c r="D347" s="132">
        <v>1322.4</v>
      </c>
      <c r="E347" s="130" t="s">
        <v>397</v>
      </c>
      <c r="F347" s="124" t="s">
        <v>25</v>
      </c>
      <c r="L347"/>
    </row>
    <row r="348" spans="1:12">
      <c r="A348" s="126">
        <v>46090</v>
      </c>
      <c r="B348" s="128" t="s">
        <v>1013</v>
      </c>
      <c r="C348" s="133" t="s">
        <v>307</v>
      </c>
      <c r="D348" s="134">
        <v>537.07000000000005</v>
      </c>
      <c r="E348" s="130" t="s">
        <v>397</v>
      </c>
      <c r="F348" s="124" t="s">
        <v>25</v>
      </c>
      <c r="L348"/>
    </row>
    <row r="349" spans="1:12">
      <c r="A349" s="126">
        <v>46090</v>
      </c>
      <c r="B349" s="128" t="s">
        <v>1010</v>
      </c>
      <c r="C349" s="133" t="s">
        <v>307</v>
      </c>
      <c r="D349" s="134">
        <v>660.73</v>
      </c>
      <c r="E349" s="130" t="s">
        <v>397</v>
      </c>
      <c r="F349" s="124" t="s">
        <v>25</v>
      </c>
      <c r="L349"/>
    </row>
    <row r="350" spans="1:12">
      <c r="A350" s="126">
        <v>46090</v>
      </c>
      <c r="B350" s="128" t="s">
        <v>1006</v>
      </c>
      <c r="C350" s="133" t="s">
        <v>307</v>
      </c>
      <c r="D350" s="134">
        <v>299.3</v>
      </c>
      <c r="E350" s="130" t="s">
        <v>397</v>
      </c>
      <c r="F350" s="124" t="s">
        <v>25</v>
      </c>
      <c r="L350"/>
    </row>
    <row r="351" spans="1:12">
      <c r="A351" s="126">
        <v>46090</v>
      </c>
      <c r="B351" s="128" t="s">
        <v>1003</v>
      </c>
      <c r="C351" s="133" t="s">
        <v>307</v>
      </c>
      <c r="D351" s="134">
        <v>1265</v>
      </c>
      <c r="E351" s="130" t="s">
        <v>397</v>
      </c>
      <c r="F351" s="124" t="s">
        <v>25</v>
      </c>
      <c r="L351"/>
    </row>
    <row r="352" spans="1:12">
      <c r="A352" s="126">
        <v>46090</v>
      </c>
      <c r="B352" s="128" t="s">
        <v>1034</v>
      </c>
      <c r="C352" s="133" t="s">
        <v>307</v>
      </c>
      <c r="D352" s="134">
        <v>342</v>
      </c>
      <c r="E352" s="130" t="s">
        <v>397</v>
      </c>
      <c r="F352" s="124" t="s">
        <v>25</v>
      </c>
      <c r="L352"/>
    </row>
    <row r="353" spans="1:12">
      <c r="A353" s="126">
        <v>46090</v>
      </c>
      <c r="B353" s="128" t="s">
        <v>1026</v>
      </c>
      <c r="C353" s="133" t="s">
        <v>307</v>
      </c>
      <c r="D353" s="134">
        <v>774.38</v>
      </c>
      <c r="E353" s="130" t="s">
        <v>397</v>
      </c>
      <c r="F353" s="124" t="s">
        <v>25</v>
      </c>
      <c r="L353"/>
    </row>
    <row r="354" spans="1:12">
      <c r="A354" s="126">
        <v>46090</v>
      </c>
      <c r="B354" s="128" t="s">
        <v>1013</v>
      </c>
      <c r="C354" s="133" t="s">
        <v>307</v>
      </c>
      <c r="D354" s="134">
        <v>842.82</v>
      </c>
      <c r="E354" s="130" t="s">
        <v>397</v>
      </c>
      <c r="F354" s="124" t="s">
        <v>25</v>
      </c>
      <c r="L354"/>
    </row>
    <row r="355" spans="1:12">
      <c r="A355" s="126">
        <v>46090</v>
      </c>
      <c r="B355" s="128" t="s">
        <v>1139</v>
      </c>
      <c r="C355" s="133" t="s">
        <v>307</v>
      </c>
      <c r="D355" s="134">
        <v>521.04999999999995</v>
      </c>
      <c r="E355" s="130" t="s">
        <v>397</v>
      </c>
      <c r="F355" s="124" t="s">
        <v>25</v>
      </c>
      <c r="L355"/>
    </row>
    <row r="356" spans="1:12">
      <c r="A356" s="126">
        <v>46090</v>
      </c>
      <c r="B356" s="128" t="s">
        <v>1123</v>
      </c>
      <c r="C356" s="133" t="s">
        <v>307</v>
      </c>
      <c r="D356" s="134">
        <v>1725</v>
      </c>
      <c r="E356" s="130" t="s">
        <v>397</v>
      </c>
      <c r="F356" s="124" t="s">
        <v>25</v>
      </c>
      <c r="L356"/>
    </row>
    <row r="357" spans="1:12">
      <c r="A357" s="126">
        <v>46090</v>
      </c>
      <c r="B357" s="128" t="s">
        <v>1123</v>
      </c>
      <c r="C357" s="133" t="s">
        <v>307</v>
      </c>
      <c r="D357" s="134">
        <v>250</v>
      </c>
      <c r="E357" s="130" t="s">
        <v>397</v>
      </c>
      <c r="F357" s="124" t="s">
        <v>25</v>
      </c>
      <c r="L357"/>
    </row>
    <row r="358" spans="1:12">
      <c r="A358" s="126">
        <v>46090</v>
      </c>
      <c r="B358" s="128" t="s">
        <v>1140</v>
      </c>
      <c r="C358" s="133" t="s">
        <v>307</v>
      </c>
      <c r="D358" s="134">
        <v>360</v>
      </c>
      <c r="E358" s="130" t="s">
        <v>397</v>
      </c>
      <c r="F358" s="124" t="s">
        <v>25</v>
      </c>
      <c r="L358"/>
    </row>
    <row r="359" spans="1:12">
      <c r="A359" s="126">
        <v>46090</v>
      </c>
      <c r="B359" s="128" t="s">
        <v>1015</v>
      </c>
      <c r="C359" s="133" t="s">
        <v>307</v>
      </c>
      <c r="D359" s="134">
        <v>179.01</v>
      </c>
      <c r="E359" s="130" t="s">
        <v>397</v>
      </c>
      <c r="F359" s="124" t="s">
        <v>25</v>
      </c>
      <c r="L359"/>
    </row>
    <row r="360" spans="1:12">
      <c r="A360" s="126">
        <v>46091</v>
      </c>
      <c r="B360" s="128" t="s">
        <v>1141</v>
      </c>
      <c r="C360" s="133" t="s">
        <v>307</v>
      </c>
      <c r="D360" s="134">
        <v>983.28</v>
      </c>
      <c r="E360" s="130" t="s">
        <v>397</v>
      </c>
      <c r="F360" s="124" t="s">
        <v>25</v>
      </c>
      <c r="L360"/>
    </row>
    <row r="361" spans="1:12">
      <c r="A361" s="126">
        <v>46091</v>
      </c>
      <c r="B361" s="128" t="s">
        <v>1010</v>
      </c>
      <c r="C361" s="133" t="s">
        <v>307</v>
      </c>
      <c r="D361" s="134">
        <v>1661.55</v>
      </c>
      <c r="E361" s="130" t="s">
        <v>397</v>
      </c>
      <c r="F361" s="124" t="s">
        <v>25</v>
      </c>
      <c r="L361"/>
    </row>
    <row r="362" spans="1:12">
      <c r="A362" s="126">
        <v>46091</v>
      </c>
      <c r="B362" s="128" t="s">
        <v>1090</v>
      </c>
      <c r="C362" s="133" t="s">
        <v>1857</v>
      </c>
      <c r="D362" s="134">
        <v>2620.16</v>
      </c>
      <c r="E362" s="130" t="s">
        <v>397</v>
      </c>
      <c r="F362" s="124" t="s">
        <v>25</v>
      </c>
      <c r="L362"/>
    </row>
    <row r="363" spans="1:12">
      <c r="A363" s="126">
        <v>46091</v>
      </c>
      <c r="B363" s="128" t="s">
        <v>1046</v>
      </c>
      <c r="C363" s="133" t="s">
        <v>188</v>
      </c>
      <c r="D363" s="134">
        <v>65.37</v>
      </c>
      <c r="E363" s="130" t="s">
        <v>397</v>
      </c>
      <c r="F363" s="124" t="s">
        <v>25</v>
      </c>
      <c r="L363"/>
    </row>
    <row r="364" spans="1:12">
      <c r="A364" s="126">
        <v>46091</v>
      </c>
      <c r="B364" s="128" t="s">
        <v>1142</v>
      </c>
      <c r="C364" s="133" t="s">
        <v>208</v>
      </c>
      <c r="D364" s="134">
        <v>931.74</v>
      </c>
      <c r="E364" s="130" t="s">
        <v>397</v>
      </c>
      <c r="F364" s="124" t="s">
        <v>25</v>
      </c>
      <c r="L364"/>
    </row>
    <row r="365" spans="1:12">
      <c r="A365" s="126">
        <v>46091</v>
      </c>
      <c r="B365" s="128" t="s">
        <v>1059</v>
      </c>
      <c r="C365" s="133" t="s">
        <v>192</v>
      </c>
      <c r="D365" s="134">
        <v>176.47</v>
      </c>
      <c r="E365" s="130" t="s">
        <v>397</v>
      </c>
      <c r="F365" s="124" t="s">
        <v>25</v>
      </c>
      <c r="L365"/>
    </row>
    <row r="366" spans="1:12">
      <c r="A366" s="126">
        <v>46091</v>
      </c>
      <c r="B366" s="128" t="s">
        <v>1070</v>
      </c>
      <c r="C366" s="133" t="s">
        <v>307</v>
      </c>
      <c r="D366" s="134">
        <v>54</v>
      </c>
      <c r="E366" s="130" t="s">
        <v>397</v>
      </c>
      <c r="F366" s="124" t="s">
        <v>25</v>
      </c>
      <c r="L366"/>
    </row>
    <row r="367" spans="1:12">
      <c r="A367" s="126">
        <v>46092</v>
      </c>
      <c r="B367" s="128" t="s">
        <v>1021</v>
      </c>
      <c r="C367" s="133" t="s">
        <v>307</v>
      </c>
      <c r="D367" s="134">
        <v>739.08</v>
      </c>
      <c r="E367" s="130" t="s">
        <v>397</v>
      </c>
      <c r="F367" s="124" t="s">
        <v>25</v>
      </c>
      <c r="L367"/>
    </row>
    <row r="368" spans="1:12">
      <c r="A368" s="126">
        <v>46092</v>
      </c>
      <c r="B368" s="128" t="s">
        <v>305</v>
      </c>
      <c r="C368" s="133" t="s">
        <v>175</v>
      </c>
      <c r="D368" s="134">
        <v>14.48</v>
      </c>
      <c r="E368" s="130" t="s">
        <v>397</v>
      </c>
      <c r="F368" s="124" t="s">
        <v>25</v>
      </c>
      <c r="L368"/>
    </row>
    <row r="369" spans="1:12">
      <c r="A369" s="126">
        <v>46093</v>
      </c>
      <c r="B369" s="128" t="s">
        <v>1015</v>
      </c>
      <c r="C369" s="133" t="s">
        <v>307</v>
      </c>
      <c r="D369" s="134">
        <v>517.9</v>
      </c>
      <c r="E369" s="130" t="s">
        <v>397</v>
      </c>
      <c r="F369" s="124" t="s">
        <v>25</v>
      </c>
      <c r="L369"/>
    </row>
    <row r="370" spans="1:12">
      <c r="A370" s="126">
        <v>46093</v>
      </c>
      <c r="B370" s="128" t="s">
        <v>1143</v>
      </c>
      <c r="C370" s="133" t="s">
        <v>307</v>
      </c>
      <c r="D370" s="134">
        <v>235</v>
      </c>
      <c r="E370" s="130" t="s">
        <v>397</v>
      </c>
      <c r="F370" s="124" t="s">
        <v>25</v>
      </c>
      <c r="L370"/>
    </row>
    <row r="371" spans="1:12">
      <c r="A371" s="126">
        <v>46093</v>
      </c>
      <c r="B371" s="128" t="s">
        <v>1013</v>
      </c>
      <c r="C371" s="133" t="s">
        <v>307</v>
      </c>
      <c r="D371" s="134">
        <v>531.16</v>
      </c>
      <c r="E371" s="130" t="s">
        <v>397</v>
      </c>
      <c r="F371" s="124" t="s">
        <v>25</v>
      </c>
      <c r="L371"/>
    </row>
    <row r="372" spans="1:12">
      <c r="A372" s="126">
        <v>46093</v>
      </c>
      <c r="B372" s="128" t="s">
        <v>1079</v>
      </c>
      <c r="C372" s="133" t="s">
        <v>307</v>
      </c>
      <c r="D372" s="134">
        <v>1015.68</v>
      </c>
      <c r="E372" s="130" t="s">
        <v>397</v>
      </c>
      <c r="F372" s="124" t="s">
        <v>25</v>
      </c>
      <c r="L372"/>
    </row>
    <row r="373" spans="1:12">
      <c r="A373" s="126">
        <v>46093</v>
      </c>
      <c r="B373" s="128" t="s">
        <v>1029</v>
      </c>
      <c r="C373" s="133" t="s">
        <v>307</v>
      </c>
      <c r="D373" s="134">
        <v>2953.94</v>
      </c>
      <c r="E373" s="130" t="s">
        <v>397</v>
      </c>
      <c r="F373" s="124" t="s">
        <v>25</v>
      </c>
      <c r="L373"/>
    </row>
    <row r="374" spans="1:12">
      <c r="A374" s="126">
        <v>46093</v>
      </c>
      <c r="B374" s="128" t="s">
        <v>1029</v>
      </c>
      <c r="C374" s="133" t="s">
        <v>307</v>
      </c>
      <c r="D374" s="134">
        <v>4372.1499999999996</v>
      </c>
      <c r="E374" s="130" t="s">
        <v>397</v>
      </c>
      <c r="F374" s="124" t="s">
        <v>25</v>
      </c>
      <c r="L374"/>
    </row>
    <row r="375" spans="1:12">
      <c r="A375" s="126">
        <v>46093</v>
      </c>
      <c r="B375" s="128" t="s">
        <v>305</v>
      </c>
      <c r="C375" s="133" t="s">
        <v>175</v>
      </c>
      <c r="D375" s="134">
        <v>10.86</v>
      </c>
      <c r="E375" s="130" t="s">
        <v>397</v>
      </c>
      <c r="F375" s="124" t="s">
        <v>25</v>
      </c>
      <c r="L375"/>
    </row>
    <row r="376" spans="1:12">
      <c r="A376" s="126">
        <v>46094</v>
      </c>
      <c r="B376" s="128" t="s">
        <v>1038</v>
      </c>
      <c r="C376" s="133" t="s">
        <v>307</v>
      </c>
      <c r="D376" s="134">
        <v>767.23</v>
      </c>
      <c r="E376" s="130" t="s">
        <v>397</v>
      </c>
      <c r="F376" s="124" t="s">
        <v>25</v>
      </c>
      <c r="L376"/>
    </row>
    <row r="377" spans="1:12">
      <c r="A377" s="126">
        <v>46094</v>
      </c>
      <c r="B377" s="128" t="s">
        <v>1008</v>
      </c>
      <c r="C377" s="133" t="s">
        <v>307</v>
      </c>
      <c r="D377" s="134">
        <v>960.62</v>
      </c>
      <c r="E377" s="130" t="s">
        <v>397</v>
      </c>
      <c r="F377" s="124" t="s">
        <v>25</v>
      </c>
      <c r="L377"/>
    </row>
    <row r="378" spans="1:12">
      <c r="A378" s="126">
        <v>46094</v>
      </c>
      <c r="B378" s="128" t="s">
        <v>1078</v>
      </c>
      <c r="C378" s="133" t="s">
        <v>307</v>
      </c>
      <c r="D378" s="134">
        <v>365.7</v>
      </c>
      <c r="E378" s="130" t="s">
        <v>397</v>
      </c>
      <c r="F378" s="124" t="s">
        <v>25</v>
      </c>
      <c r="L378"/>
    </row>
    <row r="379" spans="1:12">
      <c r="A379" s="126">
        <v>46094</v>
      </c>
      <c r="B379" s="128" t="s">
        <v>1095</v>
      </c>
      <c r="C379" s="133" t="s">
        <v>307</v>
      </c>
      <c r="D379" s="134">
        <v>375</v>
      </c>
      <c r="E379" s="130" t="s">
        <v>397</v>
      </c>
      <c r="F379" s="124" t="s">
        <v>25</v>
      </c>
      <c r="L379"/>
    </row>
    <row r="380" spans="1:12">
      <c r="A380" s="126">
        <v>46094</v>
      </c>
      <c r="B380" s="128" t="s">
        <v>1021</v>
      </c>
      <c r="C380" s="133" t="s">
        <v>307</v>
      </c>
      <c r="D380" s="134">
        <v>378.29</v>
      </c>
      <c r="E380" s="130" t="s">
        <v>397</v>
      </c>
      <c r="F380" s="124" t="s">
        <v>25</v>
      </c>
      <c r="L380"/>
    </row>
    <row r="381" spans="1:12">
      <c r="A381" s="126">
        <v>46094</v>
      </c>
      <c r="B381" s="128" t="s">
        <v>1013</v>
      </c>
      <c r="C381" s="133" t="s">
        <v>307</v>
      </c>
      <c r="D381" s="134">
        <v>439.95</v>
      </c>
      <c r="E381" s="130" t="s">
        <v>397</v>
      </c>
      <c r="F381" s="124" t="s">
        <v>25</v>
      </c>
      <c r="L381"/>
    </row>
    <row r="382" spans="1:12">
      <c r="A382" s="126">
        <v>46094</v>
      </c>
      <c r="B382" s="128" t="s">
        <v>1013</v>
      </c>
      <c r="C382" s="133" t="s">
        <v>307</v>
      </c>
      <c r="D382" s="134">
        <v>486.25</v>
      </c>
      <c r="E382" s="130" t="s">
        <v>397</v>
      </c>
      <c r="F382" s="124" t="s">
        <v>25</v>
      </c>
      <c r="L382"/>
    </row>
    <row r="383" spans="1:12">
      <c r="A383" s="126">
        <v>46094</v>
      </c>
      <c r="B383" s="128" t="s">
        <v>1013</v>
      </c>
      <c r="C383" s="133" t="s">
        <v>307</v>
      </c>
      <c r="D383" s="134">
        <v>457.49</v>
      </c>
      <c r="E383" s="130" t="s">
        <v>397</v>
      </c>
      <c r="F383" s="124" t="s">
        <v>25</v>
      </c>
      <c r="L383"/>
    </row>
    <row r="384" spans="1:12">
      <c r="A384" s="126">
        <v>46094</v>
      </c>
      <c r="B384" s="128" t="s">
        <v>305</v>
      </c>
      <c r="C384" s="133" t="s">
        <v>175</v>
      </c>
      <c r="D384" s="134">
        <v>23.53</v>
      </c>
      <c r="E384" s="130" t="s">
        <v>397</v>
      </c>
      <c r="F384" s="124" t="s">
        <v>25</v>
      </c>
      <c r="L384"/>
    </row>
    <row r="385" spans="1:12">
      <c r="A385" s="126">
        <v>46094</v>
      </c>
      <c r="B385" s="128" t="s">
        <v>1144</v>
      </c>
      <c r="C385" s="133" t="s">
        <v>197</v>
      </c>
      <c r="D385" s="134">
        <v>455</v>
      </c>
      <c r="E385" s="130" t="s">
        <v>397</v>
      </c>
      <c r="F385" s="124" t="s">
        <v>25</v>
      </c>
      <c r="L385"/>
    </row>
    <row r="386" spans="1:12">
      <c r="A386" s="126">
        <v>46094</v>
      </c>
      <c r="B386" s="128" t="s">
        <v>1145</v>
      </c>
      <c r="C386" s="133" t="s">
        <v>307</v>
      </c>
      <c r="D386" s="134">
        <v>47.7</v>
      </c>
      <c r="E386" s="130" t="s">
        <v>397</v>
      </c>
      <c r="F386" s="124" t="s">
        <v>25</v>
      </c>
      <c r="L386"/>
    </row>
    <row r="387" spans="1:12">
      <c r="A387" s="126">
        <v>46094</v>
      </c>
      <c r="B387" s="128" t="s">
        <v>1070</v>
      </c>
      <c r="C387" s="133" t="s">
        <v>307</v>
      </c>
      <c r="D387" s="134">
        <v>21.3</v>
      </c>
      <c r="E387" s="130" t="s">
        <v>397</v>
      </c>
      <c r="F387" s="124" t="s">
        <v>25</v>
      </c>
      <c r="L387"/>
    </row>
    <row r="388" spans="1:12">
      <c r="A388" s="126">
        <v>46097</v>
      </c>
      <c r="B388" s="128" t="s">
        <v>1072</v>
      </c>
      <c r="C388" s="133" t="s">
        <v>307</v>
      </c>
      <c r="D388" s="134">
        <v>135</v>
      </c>
      <c r="E388" s="130" t="s">
        <v>397</v>
      </c>
      <c r="F388" s="124" t="s">
        <v>25</v>
      </c>
      <c r="L388"/>
    </row>
    <row r="389" spans="1:12">
      <c r="A389" s="126">
        <v>46097</v>
      </c>
      <c r="B389" s="128" t="s">
        <v>1072</v>
      </c>
      <c r="C389" s="133" t="s">
        <v>307</v>
      </c>
      <c r="D389" s="134">
        <v>95.67</v>
      </c>
      <c r="E389" s="130" t="s">
        <v>397</v>
      </c>
      <c r="F389" s="124" t="s">
        <v>25</v>
      </c>
      <c r="L389"/>
    </row>
    <row r="390" spans="1:12">
      <c r="A390" s="126">
        <v>46097</v>
      </c>
      <c r="B390" s="131" t="s">
        <v>305</v>
      </c>
      <c r="C390" s="133" t="s">
        <v>175</v>
      </c>
      <c r="D390" s="132">
        <v>14.48</v>
      </c>
      <c r="E390" s="130" t="s">
        <v>397</v>
      </c>
      <c r="F390" s="124" t="s">
        <v>25</v>
      </c>
      <c r="L390"/>
    </row>
    <row r="391" spans="1:12">
      <c r="A391" s="126">
        <v>46097</v>
      </c>
      <c r="B391" s="128" t="s">
        <v>1013</v>
      </c>
      <c r="C391" s="133" t="s">
        <v>307</v>
      </c>
      <c r="D391" s="162">
        <v>576.91999999999996</v>
      </c>
      <c r="E391" s="130" t="s">
        <v>397</v>
      </c>
      <c r="F391" s="124" t="s">
        <v>25</v>
      </c>
      <c r="L391"/>
    </row>
    <row r="392" spans="1:12">
      <c r="A392" s="126">
        <v>46097</v>
      </c>
      <c r="B392" s="128" t="s">
        <v>1010</v>
      </c>
      <c r="C392" s="133" t="s">
        <v>307</v>
      </c>
      <c r="D392" s="162">
        <v>689.67</v>
      </c>
      <c r="E392" s="130" t="s">
        <v>397</v>
      </c>
      <c r="F392" s="124" t="s">
        <v>25</v>
      </c>
      <c r="L392"/>
    </row>
    <row r="393" spans="1:12">
      <c r="A393" s="126">
        <v>46097</v>
      </c>
      <c r="B393" s="128" t="s">
        <v>1010</v>
      </c>
      <c r="C393" s="133" t="s">
        <v>307</v>
      </c>
      <c r="D393" s="162">
        <v>682.47</v>
      </c>
      <c r="E393" s="130" t="s">
        <v>397</v>
      </c>
      <c r="F393" s="124" t="s">
        <v>25</v>
      </c>
    </row>
    <row r="394" spans="1:12">
      <c r="A394" s="126">
        <v>46097</v>
      </c>
      <c r="B394" s="128" t="s">
        <v>1010</v>
      </c>
      <c r="C394" s="133" t="s">
        <v>307</v>
      </c>
      <c r="D394" s="162">
        <v>576.75</v>
      </c>
      <c r="E394" s="130" t="s">
        <v>397</v>
      </c>
      <c r="F394" s="124" t="s">
        <v>25</v>
      </c>
    </row>
    <row r="395" spans="1:12">
      <c r="A395" s="126">
        <v>46097</v>
      </c>
      <c r="B395" s="128" t="s">
        <v>1097</v>
      </c>
      <c r="C395" s="133" t="s">
        <v>192</v>
      </c>
      <c r="D395" s="162">
        <v>612</v>
      </c>
      <c r="E395" s="130" t="s">
        <v>397</v>
      </c>
      <c r="F395" s="124" t="s">
        <v>25</v>
      </c>
    </row>
    <row r="396" spans="1:12">
      <c r="A396" s="126">
        <v>46097</v>
      </c>
      <c r="B396" s="128" t="s">
        <v>1012</v>
      </c>
      <c r="C396" s="133" t="s">
        <v>307</v>
      </c>
      <c r="D396" s="162">
        <v>855</v>
      </c>
      <c r="E396" s="130" t="s">
        <v>397</v>
      </c>
      <c r="F396" s="124" t="s">
        <v>25</v>
      </c>
    </row>
    <row r="397" spans="1:12">
      <c r="A397" s="126">
        <v>46097</v>
      </c>
      <c r="B397" s="128" t="s">
        <v>1015</v>
      </c>
      <c r="C397" s="133" t="s">
        <v>307</v>
      </c>
      <c r="D397" s="162">
        <v>537.27</v>
      </c>
      <c r="E397" s="130" t="s">
        <v>397</v>
      </c>
      <c r="F397" s="124" t="s">
        <v>25</v>
      </c>
    </row>
    <row r="398" spans="1:12">
      <c r="A398" s="126">
        <v>46097</v>
      </c>
      <c r="B398" s="128" t="s">
        <v>1123</v>
      </c>
      <c r="C398" s="133" t="s">
        <v>307</v>
      </c>
      <c r="D398" s="162">
        <v>1912.5</v>
      </c>
      <c r="E398" s="130" t="s">
        <v>397</v>
      </c>
      <c r="F398" s="124" t="s">
        <v>25</v>
      </c>
    </row>
    <row r="399" spans="1:12">
      <c r="A399" s="126">
        <v>46097</v>
      </c>
      <c r="B399" s="128" t="s">
        <v>1146</v>
      </c>
      <c r="C399" s="133" t="s">
        <v>203</v>
      </c>
      <c r="D399" s="162">
        <v>7000</v>
      </c>
      <c r="E399" s="130" t="s">
        <v>397</v>
      </c>
      <c r="F399" s="124" t="s">
        <v>25</v>
      </c>
    </row>
    <row r="400" spans="1:12">
      <c r="A400" s="126">
        <v>46098</v>
      </c>
      <c r="B400" s="128" t="s">
        <v>1147</v>
      </c>
      <c r="C400" s="133" t="s">
        <v>307</v>
      </c>
      <c r="D400" s="162">
        <v>105.79</v>
      </c>
      <c r="E400" s="130" t="s">
        <v>397</v>
      </c>
      <c r="F400" s="124" t="s">
        <v>25</v>
      </c>
    </row>
    <row r="401" spans="1:6">
      <c r="A401" s="126">
        <v>46098</v>
      </c>
      <c r="B401" s="128" t="s">
        <v>354</v>
      </c>
      <c r="C401" s="133" t="s">
        <v>188</v>
      </c>
      <c r="D401" s="162">
        <v>116.6</v>
      </c>
      <c r="E401" s="130" t="s">
        <v>397</v>
      </c>
      <c r="F401" s="124" t="s">
        <v>25</v>
      </c>
    </row>
    <row r="402" spans="1:6">
      <c r="A402" s="126">
        <v>46098</v>
      </c>
      <c r="B402" s="128" t="s">
        <v>356</v>
      </c>
      <c r="C402" s="133" t="s">
        <v>188</v>
      </c>
      <c r="D402" s="162">
        <v>116.6</v>
      </c>
      <c r="E402" s="130" t="s">
        <v>397</v>
      </c>
      <c r="F402" s="124" t="s">
        <v>25</v>
      </c>
    </row>
    <row r="403" spans="1:6">
      <c r="A403" s="126">
        <v>46098</v>
      </c>
      <c r="B403" s="128" t="s">
        <v>338</v>
      </c>
      <c r="C403" s="133" t="s">
        <v>210</v>
      </c>
      <c r="D403" s="162">
        <v>910</v>
      </c>
      <c r="E403" s="130" t="s">
        <v>397</v>
      </c>
      <c r="F403" s="124" t="s">
        <v>25</v>
      </c>
    </row>
    <row r="404" spans="1:6">
      <c r="A404" s="126">
        <v>46098</v>
      </c>
      <c r="B404" s="128" t="s">
        <v>1148</v>
      </c>
      <c r="C404" s="133" t="s">
        <v>188</v>
      </c>
      <c r="D404" s="162">
        <v>1200</v>
      </c>
      <c r="E404" s="130" t="s">
        <v>397</v>
      </c>
      <c r="F404" s="124" t="s">
        <v>25</v>
      </c>
    </row>
    <row r="405" spans="1:6">
      <c r="A405" s="126">
        <v>46098</v>
      </c>
      <c r="B405" s="128" t="s">
        <v>305</v>
      </c>
      <c r="C405" s="133" t="s">
        <v>175</v>
      </c>
      <c r="D405" s="162">
        <v>7.24</v>
      </c>
      <c r="E405" s="130" t="s">
        <v>397</v>
      </c>
      <c r="F405" s="124" t="s">
        <v>25</v>
      </c>
    </row>
    <row r="406" spans="1:6">
      <c r="A406" s="126">
        <v>46099</v>
      </c>
      <c r="B406" s="128" t="s">
        <v>1149</v>
      </c>
      <c r="C406" s="133" t="s">
        <v>194</v>
      </c>
      <c r="D406" s="162">
        <v>20000</v>
      </c>
      <c r="E406" s="130" t="s">
        <v>397</v>
      </c>
      <c r="F406" s="124" t="s">
        <v>25</v>
      </c>
    </row>
    <row r="407" spans="1:6">
      <c r="A407" s="126">
        <v>46099</v>
      </c>
      <c r="B407" s="128" t="s">
        <v>1026</v>
      </c>
      <c r="C407" s="133" t="s">
        <v>307</v>
      </c>
      <c r="D407" s="162">
        <v>749.09</v>
      </c>
      <c r="E407" s="130" t="s">
        <v>397</v>
      </c>
      <c r="F407" s="124" t="s">
        <v>25</v>
      </c>
    </row>
    <row r="408" spans="1:6">
      <c r="A408" s="126">
        <v>46099</v>
      </c>
      <c r="B408" s="128" t="s">
        <v>1100</v>
      </c>
      <c r="C408" s="133" t="s">
        <v>307</v>
      </c>
      <c r="D408" s="162">
        <v>264</v>
      </c>
      <c r="E408" s="130" t="s">
        <v>397</v>
      </c>
      <c r="F408" s="124" t="s">
        <v>25</v>
      </c>
    </row>
    <row r="409" spans="1:6">
      <c r="A409" s="126">
        <v>46099</v>
      </c>
      <c r="B409" s="128" t="s">
        <v>1150</v>
      </c>
      <c r="C409" s="133" t="s">
        <v>307</v>
      </c>
      <c r="D409" s="162">
        <v>317</v>
      </c>
      <c r="E409" s="130" t="s">
        <v>397</v>
      </c>
      <c r="F409" s="124" t="s">
        <v>25</v>
      </c>
    </row>
    <row r="410" spans="1:6">
      <c r="A410" s="126">
        <v>46099</v>
      </c>
      <c r="B410" s="128" t="s">
        <v>1151</v>
      </c>
      <c r="C410" s="133" t="s">
        <v>307</v>
      </c>
      <c r="D410" s="162">
        <v>60</v>
      </c>
      <c r="E410" s="130" t="s">
        <v>397</v>
      </c>
      <c r="F410" s="124" t="s">
        <v>25</v>
      </c>
    </row>
    <row r="411" spans="1:6">
      <c r="A411" s="126">
        <v>46099</v>
      </c>
      <c r="B411" s="128" t="s">
        <v>305</v>
      </c>
      <c r="C411" s="133" t="s">
        <v>175</v>
      </c>
      <c r="D411" s="162">
        <v>23.62</v>
      </c>
      <c r="E411" s="130" t="s">
        <v>397</v>
      </c>
      <c r="F411" s="124" t="s">
        <v>25</v>
      </c>
    </row>
    <row r="412" spans="1:6">
      <c r="A412" s="126">
        <v>46100</v>
      </c>
      <c r="B412" s="128" t="s">
        <v>1152</v>
      </c>
      <c r="C412" s="133" t="s">
        <v>307</v>
      </c>
      <c r="D412" s="162">
        <v>546.35</v>
      </c>
      <c r="E412" s="130" t="s">
        <v>397</v>
      </c>
      <c r="F412" s="124" t="s">
        <v>25</v>
      </c>
    </row>
    <row r="413" spans="1:6">
      <c r="A413" s="126">
        <v>46100</v>
      </c>
      <c r="B413" s="128" t="s">
        <v>305</v>
      </c>
      <c r="C413" s="133" t="s">
        <v>175</v>
      </c>
      <c r="D413" s="162">
        <v>7.24</v>
      </c>
      <c r="E413" s="130" t="s">
        <v>397</v>
      </c>
      <c r="F413" s="124" t="s">
        <v>25</v>
      </c>
    </row>
    <row r="414" spans="1:6">
      <c r="A414" s="126">
        <v>46100</v>
      </c>
      <c r="B414" s="128" t="s">
        <v>1153</v>
      </c>
      <c r="C414" s="133"/>
      <c r="D414" s="162">
        <v>40</v>
      </c>
      <c r="E414" s="130" t="s">
        <v>397</v>
      </c>
      <c r="F414" s="124" t="s">
        <v>25</v>
      </c>
    </row>
    <row r="415" spans="1:6">
      <c r="A415" s="126">
        <v>46101</v>
      </c>
      <c r="B415" s="128" t="s">
        <v>1008</v>
      </c>
      <c r="C415" s="133" t="s">
        <v>307</v>
      </c>
      <c r="D415" s="162">
        <v>328.6</v>
      </c>
      <c r="E415" s="130" t="s">
        <v>397</v>
      </c>
      <c r="F415" s="124" t="s">
        <v>25</v>
      </c>
    </row>
    <row r="416" spans="1:6">
      <c r="A416" s="126">
        <v>46101</v>
      </c>
      <c r="B416" s="128" t="s">
        <v>1025</v>
      </c>
      <c r="C416" s="133" t="s">
        <v>307</v>
      </c>
      <c r="D416" s="162">
        <v>575</v>
      </c>
      <c r="E416" s="130" t="s">
        <v>397</v>
      </c>
      <c r="F416" s="124" t="s">
        <v>25</v>
      </c>
    </row>
    <row r="417" spans="1:6">
      <c r="A417" s="126">
        <v>46101</v>
      </c>
      <c r="B417" s="127" t="s">
        <v>1154</v>
      </c>
      <c r="C417" s="133" t="s">
        <v>313</v>
      </c>
      <c r="D417" s="129">
        <v>13588.94</v>
      </c>
      <c r="E417" s="130" t="s">
        <v>397</v>
      </c>
      <c r="F417" s="124" t="s">
        <v>25</v>
      </c>
    </row>
    <row r="418" spans="1:6">
      <c r="A418" s="126">
        <v>46101</v>
      </c>
      <c r="B418" s="131" t="s">
        <v>1055</v>
      </c>
      <c r="C418" s="133" t="s">
        <v>313</v>
      </c>
      <c r="D418" s="132">
        <v>1046.45</v>
      </c>
      <c r="E418" s="130" t="s">
        <v>397</v>
      </c>
      <c r="F418" s="124" t="s">
        <v>25</v>
      </c>
    </row>
    <row r="419" spans="1:6">
      <c r="A419" s="126">
        <v>46101</v>
      </c>
      <c r="B419" s="127" t="s">
        <v>1053</v>
      </c>
      <c r="C419" s="133" t="s">
        <v>313</v>
      </c>
      <c r="D419" s="129">
        <v>554.25</v>
      </c>
      <c r="E419" s="130" t="s">
        <v>397</v>
      </c>
      <c r="F419" s="124" t="s">
        <v>25</v>
      </c>
    </row>
    <row r="420" spans="1:6">
      <c r="A420" s="126">
        <v>46101</v>
      </c>
      <c r="B420" s="131" t="s">
        <v>1056</v>
      </c>
      <c r="C420" s="133" t="s">
        <v>188</v>
      </c>
      <c r="D420" s="132">
        <v>720</v>
      </c>
      <c r="E420" s="130" t="s">
        <v>397</v>
      </c>
      <c r="F420" s="124" t="s">
        <v>25</v>
      </c>
    </row>
    <row r="421" spans="1:6">
      <c r="A421" s="126">
        <v>46101</v>
      </c>
      <c r="B421" s="127" t="s">
        <v>1155</v>
      </c>
      <c r="C421" s="133" t="s">
        <v>188</v>
      </c>
      <c r="D421" s="129">
        <v>855.2</v>
      </c>
      <c r="E421" s="130" t="s">
        <v>397</v>
      </c>
      <c r="F421" s="124" t="s">
        <v>25</v>
      </c>
    </row>
    <row r="422" spans="1:6">
      <c r="A422" s="126">
        <v>46101</v>
      </c>
      <c r="B422" s="131" t="s">
        <v>1057</v>
      </c>
      <c r="C422" s="133" t="s">
        <v>196</v>
      </c>
      <c r="D422" s="132">
        <v>473.47</v>
      </c>
      <c r="E422" s="130" t="s">
        <v>397</v>
      </c>
      <c r="F422" s="124" t="s">
        <v>25</v>
      </c>
    </row>
    <row r="423" spans="1:6">
      <c r="A423" s="126">
        <v>46101</v>
      </c>
      <c r="B423" s="127" t="s">
        <v>1057</v>
      </c>
      <c r="C423" s="133" t="s">
        <v>196</v>
      </c>
      <c r="D423" s="129">
        <v>496.24</v>
      </c>
      <c r="E423" s="130" t="s">
        <v>397</v>
      </c>
      <c r="F423" s="124" t="s">
        <v>25</v>
      </c>
    </row>
    <row r="424" spans="1:6">
      <c r="A424" s="126">
        <v>46101</v>
      </c>
      <c r="B424" s="131" t="s">
        <v>305</v>
      </c>
      <c r="C424" s="133" t="s">
        <v>175</v>
      </c>
      <c r="D424" s="132">
        <v>12.67</v>
      </c>
      <c r="E424" s="130" t="s">
        <v>397</v>
      </c>
      <c r="F424" s="124" t="s">
        <v>25</v>
      </c>
    </row>
    <row r="425" spans="1:6">
      <c r="A425" s="126">
        <v>46104</v>
      </c>
      <c r="B425" s="131" t="s">
        <v>305</v>
      </c>
      <c r="C425" s="133" t="s">
        <v>175</v>
      </c>
      <c r="D425" s="132">
        <v>19.91</v>
      </c>
      <c r="E425" s="130" t="s">
        <v>397</v>
      </c>
      <c r="F425" s="124" t="s">
        <v>25</v>
      </c>
    </row>
    <row r="426" spans="1:6">
      <c r="A426" s="126">
        <v>46104</v>
      </c>
      <c r="B426" s="131" t="s">
        <v>1073</v>
      </c>
      <c r="C426" s="133" t="s">
        <v>307</v>
      </c>
      <c r="D426" s="132">
        <v>500.48</v>
      </c>
      <c r="E426" s="130" t="s">
        <v>397</v>
      </c>
      <c r="F426" s="124" t="s">
        <v>25</v>
      </c>
    </row>
    <row r="427" spans="1:6">
      <c r="A427" s="126">
        <v>46104</v>
      </c>
      <c r="B427" s="127" t="s">
        <v>1073</v>
      </c>
      <c r="C427" s="133" t="s">
        <v>307</v>
      </c>
      <c r="D427" s="129">
        <v>1322.79</v>
      </c>
      <c r="E427" s="130" t="s">
        <v>397</v>
      </c>
      <c r="F427" s="124" t="s">
        <v>25</v>
      </c>
    </row>
    <row r="428" spans="1:6">
      <c r="A428" s="126">
        <v>46104</v>
      </c>
      <c r="B428" s="131" t="s">
        <v>1029</v>
      </c>
      <c r="C428" s="133" t="s">
        <v>307</v>
      </c>
      <c r="D428" s="132">
        <v>3137.75</v>
      </c>
      <c r="E428" s="130" t="s">
        <v>397</v>
      </c>
      <c r="F428" s="124" t="s">
        <v>25</v>
      </c>
    </row>
    <row r="429" spans="1:6">
      <c r="A429" s="126">
        <v>46104</v>
      </c>
      <c r="B429" s="127" t="s">
        <v>1029</v>
      </c>
      <c r="C429" s="133" t="s">
        <v>307</v>
      </c>
      <c r="D429" s="129">
        <v>873.59</v>
      </c>
      <c r="E429" s="130" t="s">
        <v>397</v>
      </c>
      <c r="F429" s="124" t="s">
        <v>25</v>
      </c>
    </row>
    <row r="430" spans="1:6">
      <c r="A430" s="126">
        <v>46104</v>
      </c>
      <c r="B430" s="131" t="s">
        <v>1126</v>
      </c>
      <c r="C430" s="133" t="s">
        <v>307</v>
      </c>
      <c r="D430" s="132">
        <v>262.83</v>
      </c>
      <c r="E430" s="130" t="s">
        <v>397</v>
      </c>
      <c r="F430" s="124" t="s">
        <v>25</v>
      </c>
    </row>
    <row r="431" spans="1:6">
      <c r="A431" s="126">
        <v>46104</v>
      </c>
      <c r="B431" s="131" t="s">
        <v>1156</v>
      </c>
      <c r="C431" s="133" t="s">
        <v>307</v>
      </c>
      <c r="D431" s="132">
        <v>174.66</v>
      </c>
      <c r="E431" s="130" t="s">
        <v>397</v>
      </c>
      <c r="F431" s="124" t="s">
        <v>25</v>
      </c>
    </row>
    <row r="432" spans="1:6">
      <c r="A432" s="126">
        <v>46104</v>
      </c>
      <c r="B432" s="131" t="s">
        <v>1026</v>
      </c>
      <c r="C432" s="133" t="s">
        <v>307</v>
      </c>
      <c r="D432" s="132">
        <v>774.37</v>
      </c>
      <c r="E432" s="130" t="s">
        <v>397</v>
      </c>
      <c r="F432" s="124" t="s">
        <v>25</v>
      </c>
    </row>
    <row r="433" spans="1:6">
      <c r="A433" s="126">
        <v>46104</v>
      </c>
      <c r="B433" s="131" t="s">
        <v>1157</v>
      </c>
      <c r="C433" s="133" t="s">
        <v>307</v>
      </c>
      <c r="D433" s="132">
        <v>384.53</v>
      </c>
      <c r="E433" s="130" t="s">
        <v>397</v>
      </c>
      <c r="F433" s="124" t="s">
        <v>25</v>
      </c>
    </row>
    <row r="434" spans="1:6">
      <c r="A434" s="126">
        <v>46104</v>
      </c>
      <c r="B434" s="127" t="s">
        <v>1158</v>
      </c>
      <c r="C434" s="133" t="s">
        <v>307</v>
      </c>
      <c r="D434" s="129">
        <v>1725</v>
      </c>
      <c r="E434" s="130" t="s">
        <v>397</v>
      </c>
      <c r="F434" s="124" t="s">
        <v>25</v>
      </c>
    </row>
    <row r="435" spans="1:6" ht="30">
      <c r="A435" s="126">
        <v>46104</v>
      </c>
      <c r="B435" s="131" t="s">
        <v>302</v>
      </c>
      <c r="C435" s="421" t="s">
        <v>1159</v>
      </c>
      <c r="D435" s="132">
        <v>2537.21</v>
      </c>
      <c r="E435" s="130" t="s">
        <v>397</v>
      </c>
      <c r="F435" s="124" t="s">
        <v>25</v>
      </c>
    </row>
    <row r="436" spans="1:6">
      <c r="A436" s="126">
        <v>46105</v>
      </c>
      <c r="B436" s="127" t="s">
        <v>1073</v>
      </c>
      <c r="C436" s="133" t="s">
        <v>307</v>
      </c>
      <c r="D436" s="129">
        <v>843.06</v>
      </c>
      <c r="E436" s="130" t="s">
        <v>397</v>
      </c>
      <c r="F436" s="124" t="s">
        <v>25</v>
      </c>
    </row>
    <row r="437" spans="1:6">
      <c r="A437" s="126">
        <v>46105</v>
      </c>
      <c r="B437" s="133" t="s">
        <v>1141</v>
      </c>
      <c r="C437" s="133" t="s">
        <v>307</v>
      </c>
      <c r="D437" s="134">
        <v>983.28</v>
      </c>
      <c r="E437" s="130" t="s">
        <v>397</v>
      </c>
      <c r="F437" s="124" t="s">
        <v>25</v>
      </c>
    </row>
    <row r="438" spans="1:6">
      <c r="A438" s="126">
        <v>46105</v>
      </c>
      <c r="B438" s="133" t="s">
        <v>1160</v>
      </c>
      <c r="C438" s="133" t="s">
        <v>307</v>
      </c>
      <c r="D438" s="134">
        <v>106</v>
      </c>
      <c r="E438" s="130" t="s">
        <v>397</v>
      </c>
      <c r="F438" s="124" t="s">
        <v>25</v>
      </c>
    </row>
    <row r="439" spans="1:6">
      <c r="A439" s="126">
        <v>46105</v>
      </c>
      <c r="B439" s="133" t="s">
        <v>1003</v>
      </c>
      <c r="C439" s="133" t="s">
        <v>307</v>
      </c>
      <c r="D439" s="134">
        <v>1265.01</v>
      </c>
      <c r="E439" s="130" t="s">
        <v>397</v>
      </c>
      <c r="F439" s="124" t="s">
        <v>25</v>
      </c>
    </row>
    <row r="440" spans="1:6">
      <c r="A440" s="126">
        <v>46105</v>
      </c>
      <c r="B440" s="133" t="s">
        <v>305</v>
      </c>
      <c r="C440" s="133" t="s">
        <v>175</v>
      </c>
      <c r="D440" s="134">
        <v>7.24</v>
      </c>
      <c r="E440" s="130" t="s">
        <v>397</v>
      </c>
      <c r="F440" s="124" t="s">
        <v>25</v>
      </c>
    </row>
    <row r="441" spans="1:6">
      <c r="A441" s="126">
        <v>46106</v>
      </c>
      <c r="B441" s="133" t="s">
        <v>305</v>
      </c>
      <c r="C441" s="133" t="s">
        <v>175</v>
      </c>
      <c r="D441" s="134">
        <v>12.67</v>
      </c>
      <c r="E441" s="130" t="s">
        <v>397</v>
      </c>
      <c r="F441" s="124" t="s">
        <v>25</v>
      </c>
    </row>
    <row r="442" spans="1:6">
      <c r="A442" s="126">
        <v>46106</v>
      </c>
      <c r="B442" s="133" t="s">
        <v>1126</v>
      </c>
      <c r="C442" s="133" t="s">
        <v>307</v>
      </c>
      <c r="D442" s="134">
        <v>651.03</v>
      </c>
      <c r="E442" s="130" t="s">
        <v>397</v>
      </c>
      <c r="F442" s="124" t="s">
        <v>25</v>
      </c>
    </row>
    <row r="443" spans="1:6">
      <c r="A443" s="126">
        <v>46106</v>
      </c>
      <c r="B443" s="133" t="s">
        <v>1161</v>
      </c>
      <c r="C443" s="133" t="s">
        <v>307</v>
      </c>
      <c r="D443" s="134">
        <v>297</v>
      </c>
      <c r="E443" s="130" t="s">
        <v>397</v>
      </c>
      <c r="F443" s="124" t="s">
        <v>25</v>
      </c>
    </row>
    <row r="444" spans="1:6">
      <c r="A444" s="126">
        <v>46106</v>
      </c>
      <c r="B444" s="133" t="s">
        <v>1160</v>
      </c>
      <c r="C444" s="133" t="s">
        <v>307</v>
      </c>
      <c r="D444" s="134">
        <v>500</v>
      </c>
      <c r="E444" s="130" t="s">
        <v>397</v>
      </c>
      <c r="F444" s="124" t="s">
        <v>25</v>
      </c>
    </row>
    <row r="445" spans="1:6">
      <c r="A445" s="126">
        <v>46106</v>
      </c>
      <c r="B445" s="133" t="s">
        <v>655</v>
      </c>
      <c r="C445" s="133" t="s">
        <v>307</v>
      </c>
      <c r="D445" s="134">
        <v>324</v>
      </c>
      <c r="E445" s="130" t="s">
        <v>397</v>
      </c>
      <c r="F445" s="124" t="s">
        <v>25</v>
      </c>
    </row>
    <row r="446" spans="1:6">
      <c r="A446" s="126">
        <v>46106</v>
      </c>
      <c r="B446" s="133" t="s">
        <v>1010</v>
      </c>
      <c r="C446" s="133" t="s">
        <v>307</v>
      </c>
      <c r="D446" s="134">
        <v>1661.55</v>
      </c>
      <c r="E446" s="130" t="s">
        <v>397</v>
      </c>
      <c r="F446" s="124" t="s">
        <v>25</v>
      </c>
    </row>
    <row r="447" spans="1:6">
      <c r="A447" s="126">
        <v>46106</v>
      </c>
      <c r="B447" s="133" t="s">
        <v>1010</v>
      </c>
      <c r="C447" s="133" t="s">
        <v>307</v>
      </c>
      <c r="D447" s="134">
        <v>720</v>
      </c>
      <c r="E447" s="130" t="s">
        <v>397</v>
      </c>
      <c r="F447" s="124" t="s">
        <v>25</v>
      </c>
    </row>
    <row r="448" spans="1:6">
      <c r="A448" s="126">
        <v>46106</v>
      </c>
      <c r="B448" s="133" t="s">
        <v>1061</v>
      </c>
      <c r="C448" s="133" t="s">
        <v>192</v>
      </c>
      <c r="D448" s="134">
        <v>644.19000000000005</v>
      </c>
      <c r="E448" s="130" t="s">
        <v>397</v>
      </c>
      <c r="F448" s="124" t="s">
        <v>25</v>
      </c>
    </row>
    <row r="449" spans="1:6">
      <c r="A449" s="126">
        <v>46106</v>
      </c>
      <c r="B449" s="133" t="s">
        <v>1029</v>
      </c>
      <c r="C449" s="133" t="s">
        <v>307</v>
      </c>
      <c r="D449" s="134">
        <v>2946.7</v>
      </c>
      <c r="E449" s="130" t="s">
        <v>397</v>
      </c>
      <c r="F449" s="124" t="s">
        <v>25</v>
      </c>
    </row>
    <row r="450" spans="1:6">
      <c r="A450" s="126">
        <v>46106</v>
      </c>
      <c r="B450" s="163" t="s">
        <v>1072</v>
      </c>
      <c r="C450" s="133" t="s">
        <v>307</v>
      </c>
      <c r="D450" s="134">
        <v>123.54</v>
      </c>
      <c r="E450" s="130" t="s">
        <v>397</v>
      </c>
      <c r="F450" s="124" t="s">
        <v>25</v>
      </c>
    </row>
    <row r="451" spans="1:6">
      <c r="A451" s="126">
        <v>46107</v>
      </c>
      <c r="B451" s="163" t="s">
        <v>305</v>
      </c>
      <c r="C451" s="133" t="s">
        <v>175</v>
      </c>
      <c r="D451" s="134">
        <v>18.100000000000001</v>
      </c>
      <c r="E451" s="130" t="s">
        <v>397</v>
      </c>
      <c r="F451" s="124" t="s">
        <v>25</v>
      </c>
    </row>
    <row r="452" spans="1:6">
      <c r="A452" s="126">
        <v>46107</v>
      </c>
      <c r="B452" s="133" t="s">
        <v>1152</v>
      </c>
      <c r="C452" s="133" t="s">
        <v>307</v>
      </c>
      <c r="D452" s="134">
        <v>546.36</v>
      </c>
      <c r="E452" s="130" t="s">
        <v>397</v>
      </c>
      <c r="F452" s="124" t="s">
        <v>25</v>
      </c>
    </row>
    <row r="453" spans="1:6">
      <c r="A453" s="126">
        <v>46107</v>
      </c>
      <c r="B453" s="133" t="s">
        <v>1162</v>
      </c>
      <c r="C453" s="133" t="s">
        <v>307</v>
      </c>
      <c r="D453" s="134">
        <v>449.58</v>
      </c>
      <c r="E453" s="130" t="s">
        <v>397</v>
      </c>
      <c r="F453" s="124" t="s">
        <v>25</v>
      </c>
    </row>
    <row r="454" spans="1:6">
      <c r="A454" s="126">
        <v>46107</v>
      </c>
      <c r="B454" s="133" t="s">
        <v>1025</v>
      </c>
      <c r="C454" s="133" t="s">
        <v>307</v>
      </c>
      <c r="D454" s="134">
        <v>477.6</v>
      </c>
      <c r="E454" s="130" t="s">
        <v>397</v>
      </c>
      <c r="F454" s="124" t="s">
        <v>25</v>
      </c>
    </row>
    <row r="455" spans="1:6">
      <c r="A455" s="126">
        <v>46107</v>
      </c>
      <c r="B455" s="133" t="s">
        <v>1073</v>
      </c>
      <c r="C455" s="133" t="s">
        <v>307</v>
      </c>
      <c r="D455" s="134">
        <v>573.73</v>
      </c>
      <c r="E455" s="130" t="s">
        <v>397</v>
      </c>
      <c r="F455" s="124" t="s">
        <v>25</v>
      </c>
    </row>
    <row r="456" spans="1:6">
      <c r="A456" s="126">
        <v>46107</v>
      </c>
      <c r="B456" s="133" t="s">
        <v>1163</v>
      </c>
      <c r="C456" s="133" t="s">
        <v>307</v>
      </c>
      <c r="D456" s="134">
        <v>743.85</v>
      </c>
      <c r="E456" s="130" t="s">
        <v>397</v>
      </c>
      <c r="F456" s="124" t="s">
        <v>25</v>
      </c>
    </row>
    <row r="457" spans="1:6">
      <c r="A457" s="126">
        <v>46107</v>
      </c>
      <c r="B457" s="133" t="s">
        <v>1164</v>
      </c>
      <c r="C457" s="133" t="s">
        <v>307</v>
      </c>
      <c r="D457" s="134">
        <v>596.70000000000005</v>
      </c>
      <c r="E457" s="130" t="s">
        <v>397</v>
      </c>
      <c r="F457" s="124" t="s">
        <v>25</v>
      </c>
    </row>
    <row r="458" spans="1:6">
      <c r="A458" s="126">
        <v>46107</v>
      </c>
      <c r="B458" s="133" t="s">
        <v>1161</v>
      </c>
      <c r="C458" s="133" t="s">
        <v>307</v>
      </c>
      <c r="D458" s="134">
        <v>21</v>
      </c>
      <c r="E458" s="130" t="s">
        <v>397</v>
      </c>
      <c r="F458" s="124" t="s">
        <v>25</v>
      </c>
    </row>
    <row r="459" spans="1:6">
      <c r="A459" s="126">
        <v>46107</v>
      </c>
      <c r="B459" s="133" t="s">
        <v>1121</v>
      </c>
      <c r="C459" s="133" t="s">
        <v>307</v>
      </c>
      <c r="D459" s="164">
        <v>385</v>
      </c>
      <c r="E459" s="130" t="s">
        <v>397</v>
      </c>
      <c r="F459" s="124" t="s">
        <v>25</v>
      </c>
    </row>
    <row r="460" spans="1:6">
      <c r="A460" s="126">
        <v>46107</v>
      </c>
      <c r="B460" s="133" t="s">
        <v>1046</v>
      </c>
      <c r="C460" s="133" t="s">
        <v>313</v>
      </c>
      <c r="D460" s="165">
        <v>432.26</v>
      </c>
      <c r="E460" s="130" t="s">
        <v>397</v>
      </c>
      <c r="F460" s="124" t="s">
        <v>25</v>
      </c>
    </row>
    <row r="461" spans="1:6">
      <c r="A461" s="126">
        <v>46108</v>
      </c>
      <c r="B461" s="133" t="s">
        <v>1163</v>
      </c>
      <c r="C461" s="133" t="s">
        <v>307</v>
      </c>
      <c r="D461" s="165">
        <v>159.16999999999999</v>
      </c>
      <c r="E461" s="130" t="s">
        <v>397</v>
      </c>
      <c r="F461" s="124" t="s">
        <v>25</v>
      </c>
    </row>
    <row r="462" spans="1:6">
      <c r="A462" s="126">
        <v>46108</v>
      </c>
      <c r="B462" s="133" t="s">
        <v>1165</v>
      </c>
      <c r="C462" s="133" t="s">
        <v>192</v>
      </c>
      <c r="D462" s="164">
        <v>4200</v>
      </c>
      <c r="E462" s="130" t="s">
        <v>397</v>
      </c>
      <c r="F462" s="124" t="s">
        <v>25</v>
      </c>
    </row>
    <row r="463" spans="1:6">
      <c r="A463" s="126">
        <v>46108</v>
      </c>
      <c r="B463" s="133" t="s">
        <v>1010</v>
      </c>
      <c r="C463" s="133" t="s">
        <v>307</v>
      </c>
      <c r="D463" s="165">
        <v>772.73</v>
      </c>
      <c r="E463" s="130" t="s">
        <v>397</v>
      </c>
      <c r="F463" s="124" t="s">
        <v>25</v>
      </c>
    </row>
    <row r="464" spans="1:6">
      <c r="A464" s="126">
        <v>46108</v>
      </c>
      <c r="B464" s="133" t="s">
        <v>1156</v>
      </c>
      <c r="C464" s="133" t="s">
        <v>307</v>
      </c>
      <c r="D464" s="165">
        <v>497.1</v>
      </c>
      <c r="E464" s="130" t="s">
        <v>397</v>
      </c>
      <c r="F464" s="124" t="s">
        <v>25</v>
      </c>
    </row>
    <row r="465" spans="1:6">
      <c r="A465" s="126">
        <v>46108</v>
      </c>
      <c r="B465" s="133" t="s">
        <v>1156</v>
      </c>
      <c r="C465" s="133" t="s">
        <v>307</v>
      </c>
      <c r="D465" s="165">
        <v>399.55</v>
      </c>
      <c r="E465" s="130" t="s">
        <v>397</v>
      </c>
      <c r="F465" s="124" t="s">
        <v>25</v>
      </c>
    </row>
    <row r="466" spans="1:6">
      <c r="A466" s="126">
        <v>46108</v>
      </c>
      <c r="B466" s="133" t="s">
        <v>1145</v>
      </c>
      <c r="C466" s="133" t="s">
        <v>307</v>
      </c>
      <c r="D466" s="165">
        <v>708.4</v>
      </c>
      <c r="E466" s="130" t="s">
        <v>397</v>
      </c>
      <c r="F466" s="124" t="s">
        <v>25</v>
      </c>
    </row>
    <row r="467" spans="1:6">
      <c r="A467" s="126">
        <v>46108</v>
      </c>
      <c r="B467" s="133" t="s">
        <v>1166</v>
      </c>
      <c r="C467" s="133" t="s">
        <v>307</v>
      </c>
      <c r="D467" s="165">
        <v>374.15</v>
      </c>
      <c r="E467" s="130" t="s">
        <v>397</v>
      </c>
      <c r="F467" s="124" t="s">
        <v>25</v>
      </c>
    </row>
    <row r="468" spans="1:6">
      <c r="A468" s="126">
        <v>46108</v>
      </c>
      <c r="B468" s="133" t="s">
        <v>1073</v>
      </c>
      <c r="C468" s="133" t="s">
        <v>307</v>
      </c>
      <c r="D468" s="164">
        <v>531.16</v>
      </c>
      <c r="E468" s="130" t="s">
        <v>397</v>
      </c>
      <c r="F468" s="124" t="s">
        <v>25</v>
      </c>
    </row>
    <row r="469" spans="1:6">
      <c r="A469" s="126">
        <v>46108</v>
      </c>
      <c r="B469" s="133" t="s">
        <v>1126</v>
      </c>
      <c r="C469" s="133" t="s">
        <v>307</v>
      </c>
      <c r="D469" s="165">
        <v>898.83</v>
      </c>
      <c r="E469" s="130" t="s">
        <v>397</v>
      </c>
      <c r="F469" s="124" t="s">
        <v>25</v>
      </c>
    </row>
    <row r="470" spans="1:6">
      <c r="A470" s="139">
        <v>46108</v>
      </c>
      <c r="B470" s="166" t="s">
        <v>305</v>
      </c>
      <c r="C470" s="166" t="s">
        <v>175</v>
      </c>
      <c r="D470" s="167">
        <v>12.67</v>
      </c>
      <c r="E470" s="130" t="s">
        <v>397</v>
      </c>
      <c r="F470" s="124" t="s">
        <v>25</v>
      </c>
    </row>
    <row r="471" spans="1:6">
      <c r="A471" s="126">
        <v>46111</v>
      </c>
      <c r="B471" s="133" t="s">
        <v>305</v>
      </c>
      <c r="C471" s="133" t="s">
        <v>175</v>
      </c>
      <c r="D471" s="164">
        <v>18.100000000000001</v>
      </c>
      <c r="E471" s="130" t="s">
        <v>397</v>
      </c>
      <c r="F471" s="124" t="s">
        <v>25</v>
      </c>
    </row>
    <row r="472" spans="1:6">
      <c r="A472" s="126">
        <v>46111</v>
      </c>
      <c r="B472" s="133" t="s">
        <v>1167</v>
      </c>
      <c r="C472" s="133" t="s">
        <v>307</v>
      </c>
      <c r="D472" s="164">
        <v>327.5</v>
      </c>
      <c r="E472" s="130" t="s">
        <v>397</v>
      </c>
      <c r="F472" s="124" t="s">
        <v>25</v>
      </c>
    </row>
    <row r="473" spans="1:6">
      <c r="A473" s="126">
        <v>46111</v>
      </c>
      <c r="B473" s="133" t="s">
        <v>1012</v>
      </c>
      <c r="C473" s="133" t="s">
        <v>307</v>
      </c>
      <c r="D473" s="165">
        <v>707.05</v>
      </c>
      <c r="E473" s="130" t="s">
        <v>397</v>
      </c>
      <c r="F473" s="124" t="s">
        <v>25</v>
      </c>
    </row>
    <row r="474" spans="1:6">
      <c r="A474" s="126">
        <v>46111</v>
      </c>
      <c r="B474" s="133" t="s">
        <v>1012</v>
      </c>
      <c r="C474" s="133" t="s">
        <v>307</v>
      </c>
      <c r="D474" s="164">
        <v>855</v>
      </c>
      <c r="E474" s="130" t="s">
        <v>397</v>
      </c>
      <c r="F474" s="124" t="s">
        <v>25</v>
      </c>
    </row>
    <row r="475" spans="1:6">
      <c r="A475" s="126">
        <v>46111</v>
      </c>
      <c r="B475" s="133" t="s">
        <v>1073</v>
      </c>
      <c r="C475" s="133" t="s">
        <v>307</v>
      </c>
      <c r="D475" s="165">
        <v>698.96</v>
      </c>
      <c r="E475" s="130" t="s">
        <v>397</v>
      </c>
      <c r="F475" s="124" t="s">
        <v>25</v>
      </c>
    </row>
    <row r="476" spans="1:6">
      <c r="A476" s="126">
        <v>46111</v>
      </c>
      <c r="B476" s="133" t="s">
        <v>1073</v>
      </c>
      <c r="C476" s="133" t="s">
        <v>307</v>
      </c>
      <c r="D476" s="164">
        <v>576.91999999999996</v>
      </c>
      <c r="E476" s="130" t="s">
        <v>397</v>
      </c>
      <c r="F476" s="124" t="s">
        <v>25</v>
      </c>
    </row>
    <row r="477" spans="1:6">
      <c r="A477" s="126">
        <v>46111</v>
      </c>
      <c r="B477" s="133" t="s">
        <v>1073</v>
      </c>
      <c r="C477" s="133" t="s">
        <v>307</v>
      </c>
      <c r="D477" s="165">
        <v>478.91</v>
      </c>
      <c r="E477" s="130" t="s">
        <v>397</v>
      </c>
      <c r="F477" s="124" t="s">
        <v>25</v>
      </c>
    </row>
    <row r="478" spans="1:6">
      <c r="A478" s="126">
        <v>46111</v>
      </c>
      <c r="B478" s="133" t="s">
        <v>1010</v>
      </c>
      <c r="C478" s="133" t="s">
        <v>307</v>
      </c>
      <c r="D478" s="164">
        <v>689.67</v>
      </c>
      <c r="E478" s="130" t="s">
        <v>397</v>
      </c>
      <c r="F478" s="124" t="s">
        <v>25</v>
      </c>
    </row>
    <row r="479" spans="1:6">
      <c r="A479" s="126">
        <v>46111</v>
      </c>
      <c r="B479" s="133" t="s">
        <v>1010</v>
      </c>
      <c r="C479" s="133" t="s">
        <v>307</v>
      </c>
      <c r="D479" s="165">
        <v>575.33000000000004</v>
      </c>
      <c r="E479" s="130" t="s">
        <v>397</v>
      </c>
      <c r="F479" s="124" t="s">
        <v>25</v>
      </c>
    </row>
    <row r="480" spans="1:6">
      <c r="A480" s="126">
        <v>46111</v>
      </c>
      <c r="B480" s="133" t="s">
        <v>1029</v>
      </c>
      <c r="C480" s="133" t="s">
        <v>307</v>
      </c>
      <c r="D480" s="165">
        <v>730</v>
      </c>
      <c r="E480" s="130" t="s">
        <v>397</v>
      </c>
      <c r="F480" s="124" t="s">
        <v>25</v>
      </c>
    </row>
    <row r="481" spans="1:7">
      <c r="A481" s="126">
        <v>46111</v>
      </c>
      <c r="B481" s="133" t="s">
        <v>1072</v>
      </c>
      <c r="C481" s="133" t="s">
        <v>307</v>
      </c>
      <c r="D481" s="165">
        <v>533.5</v>
      </c>
      <c r="E481" s="130" t="s">
        <v>397</v>
      </c>
      <c r="F481" s="124" t="s">
        <v>25</v>
      </c>
    </row>
    <row r="482" spans="1:7">
      <c r="A482" s="126">
        <v>46111</v>
      </c>
      <c r="B482" s="133" t="s">
        <v>1160</v>
      </c>
      <c r="C482" s="133" t="s">
        <v>307</v>
      </c>
      <c r="D482" s="165">
        <v>139.69999999999999</v>
      </c>
      <c r="E482" s="130" t="s">
        <v>397</v>
      </c>
      <c r="F482" s="124" t="s">
        <v>25</v>
      </c>
    </row>
    <row r="483" spans="1:7">
      <c r="A483" s="126">
        <v>46111</v>
      </c>
      <c r="B483" s="133" t="s">
        <v>1168</v>
      </c>
      <c r="C483" s="133" t="s">
        <v>307</v>
      </c>
      <c r="D483" s="164">
        <v>650</v>
      </c>
      <c r="E483" s="130" t="s">
        <v>397</v>
      </c>
      <c r="F483" s="124" t="s">
        <v>25</v>
      </c>
    </row>
    <row r="484" spans="1:7">
      <c r="A484" s="126">
        <v>46111</v>
      </c>
      <c r="B484" s="133" t="s">
        <v>1158</v>
      </c>
      <c r="C484" s="133" t="s">
        <v>307</v>
      </c>
      <c r="D484" s="165">
        <v>1912.5</v>
      </c>
      <c r="E484" s="130" t="s">
        <v>397</v>
      </c>
      <c r="F484" s="124" t="s">
        <v>25</v>
      </c>
    </row>
    <row r="485" spans="1:7">
      <c r="A485" s="126">
        <v>46112</v>
      </c>
      <c r="B485" s="133" t="s">
        <v>1126</v>
      </c>
      <c r="C485" s="133" t="s">
        <v>307</v>
      </c>
      <c r="D485" s="164">
        <v>659.39</v>
      </c>
      <c r="E485" s="130" t="s">
        <v>397</v>
      </c>
      <c r="F485" s="124" t="s">
        <v>25</v>
      </c>
    </row>
    <row r="486" spans="1:7">
      <c r="A486" s="126">
        <v>46112</v>
      </c>
      <c r="B486" s="133" t="s">
        <v>1075</v>
      </c>
      <c r="C486" s="133" t="s">
        <v>307</v>
      </c>
      <c r="D486" s="165">
        <v>312</v>
      </c>
      <c r="E486" s="130" t="s">
        <v>397</v>
      </c>
      <c r="F486" s="124" t="s">
        <v>25</v>
      </c>
    </row>
    <row r="487" spans="1:7">
      <c r="A487" s="126">
        <v>46112</v>
      </c>
      <c r="B487" s="133" t="s">
        <v>1123</v>
      </c>
      <c r="C487" s="133" t="s">
        <v>307</v>
      </c>
      <c r="D487" s="164">
        <v>500</v>
      </c>
      <c r="E487" s="130" t="s">
        <v>397</v>
      </c>
      <c r="F487" s="124" t="s">
        <v>25</v>
      </c>
    </row>
    <row r="488" spans="1:7">
      <c r="A488" s="126">
        <v>46112</v>
      </c>
      <c r="B488" s="133" t="s">
        <v>1169</v>
      </c>
      <c r="C488" s="133" t="s">
        <v>307</v>
      </c>
      <c r="D488" s="165">
        <v>385.84</v>
      </c>
      <c r="E488" s="130" t="s">
        <v>397</v>
      </c>
      <c r="F488" s="124" t="s">
        <v>25</v>
      </c>
    </row>
    <row r="489" spans="1:7">
      <c r="A489" s="126">
        <v>46112</v>
      </c>
      <c r="B489" s="133" t="s">
        <v>1152</v>
      </c>
      <c r="C489" s="133" t="s">
        <v>307</v>
      </c>
      <c r="D489" s="134">
        <v>755.05</v>
      </c>
      <c r="E489" s="130" t="s">
        <v>397</v>
      </c>
      <c r="F489" s="124" t="s">
        <v>25</v>
      </c>
    </row>
    <row r="490" spans="1:7">
      <c r="A490" s="126">
        <v>46112</v>
      </c>
      <c r="B490" s="133" t="s">
        <v>1104</v>
      </c>
      <c r="C490" s="133" t="s">
        <v>307</v>
      </c>
      <c r="D490" s="134">
        <v>383.4</v>
      </c>
      <c r="E490" s="130" t="s">
        <v>397</v>
      </c>
      <c r="F490" s="124" t="s">
        <v>25</v>
      </c>
    </row>
    <row r="491" spans="1:7">
      <c r="A491" s="126">
        <v>46112</v>
      </c>
      <c r="B491" s="133" t="s">
        <v>1025</v>
      </c>
      <c r="C491" s="133" t="s">
        <v>307</v>
      </c>
      <c r="D491" s="134">
        <v>260</v>
      </c>
      <c r="E491" s="130" t="s">
        <v>397</v>
      </c>
      <c r="F491" s="124" t="s">
        <v>25</v>
      </c>
    </row>
    <row r="492" spans="1:7">
      <c r="A492" s="126">
        <v>46112</v>
      </c>
      <c r="B492" s="127" t="s">
        <v>305</v>
      </c>
      <c r="C492" s="133" t="s">
        <v>175</v>
      </c>
      <c r="D492" s="129">
        <v>7.24</v>
      </c>
      <c r="E492" s="130" t="s">
        <v>397</v>
      </c>
      <c r="F492" s="124" t="s">
        <v>25</v>
      </c>
    </row>
    <row r="493" spans="1:7">
      <c r="A493" s="258">
        <v>46113</v>
      </c>
      <c r="B493" s="81" t="s">
        <v>1052</v>
      </c>
      <c r="C493" s="248" t="s">
        <v>307</v>
      </c>
      <c r="D493" s="82">
        <v>3137.75</v>
      </c>
      <c r="E493" s="272" t="s">
        <v>397</v>
      </c>
      <c r="F493" t="s">
        <v>26</v>
      </c>
      <c r="G493" s="257">
        <f>SUM(D493:D712)</f>
        <v>231574.29999999984</v>
      </c>
    </row>
    <row r="494" spans="1:7">
      <c r="A494" s="258">
        <v>46113</v>
      </c>
      <c r="B494" s="242" t="s">
        <v>1126</v>
      </c>
      <c r="C494" s="248" t="s">
        <v>307</v>
      </c>
      <c r="D494" s="245">
        <v>605.13</v>
      </c>
      <c r="E494" s="272" t="s">
        <v>397</v>
      </c>
      <c r="F494" t="s">
        <v>26</v>
      </c>
    </row>
    <row r="495" spans="1:7">
      <c r="A495" s="258">
        <v>46113</v>
      </c>
      <c r="B495" s="242" t="s">
        <v>343</v>
      </c>
      <c r="C495" s="248" t="s">
        <v>307</v>
      </c>
      <c r="D495" s="245">
        <v>1495</v>
      </c>
      <c r="E495" s="272" t="s">
        <v>397</v>
      </c>
      <c r="F495" t="s">
        <v>26</v>
      </c>
    </row>
    <row r="496" spans="1:7">
      <c r="A496" s="258">
        <v>46113</v>
      </c>
      <c r="B496" s="242" t="s">
        <v>306</v>
      </c>
      <c r="C496" s="248" t="s">
        <v>307</v>
      </c>
      <c r="D496" s="245">
        <v>1243.68</v>
      </c>
      <c r="E496" s="272" t="s">
        <v>397</v>
      </c>
      <c r="F496" t="s">
        <v>26</v>
      </c>
    </row>
    <row r="497" spans="1:6">
      <c r="A497" s="258">
        <v>46113</v>
      </c>
      <c r="B497" s="242" t="s">
        <v>1166</v>
      </c>
      <c r="C497" s="248" t="s">
        <v>307</v>
      </c>
      <c r="D497" s="245">
        <v>154.55000000000001</v>
      </c>
      <c r="E497" s="272" t="s">
        <v>397</v>
      </c>
      <c r="F497" t="s">
        <v>26</v>
      </c>
    </row>
    <row r="498" spans="1:6">
      <c r="A498" s="258">
        <v>46113</v>
      </c>
      <c r="B498" s="242" t="s">
        <v>352</v>
      </c>
      <c r="C498" s="248" t="s">
        <v>307</v>
      </c>
      <c r="D498" s="245">
        <v>1100</v>
      </c>
      <c r="E498" s="272" t="s">
        <v>397</v>
      </c>
      <c r="F498" t="s">
        <v>26</v>
      </c>
    </row>
    <row r="499" spans="1:6">
      <c r="A499" s="258">
        <v>46113</v>
      </c>
      <c r="B499" s="242" t="s">
        <v>1170</v>
      </c>
      <c r="C499" s="248" t="s">
        <v>175</v>
      </c>
      <c r="D499" s="245">
        <v>12.67</v>
      </c>
      <c r="E499" s="272" t="s">
        <v>397</v>
      </c>
      <c r="F499" t="s">
        <v>26</v>
      </c>
    </row>
    <row r="500" spans="1:6">
      <c r="A500" s="258">
        <v>46114</v>
      </c>
      <c r="B500" s="242" t="s">
        <v>1072</v>
      </c>
      <c r="C500" s="248" t="s">
        <v>307</v>
      </c>
      <c r="D500" s="245">
        <v>894.33</v>
      </c>
      <c r="E500" s="272" t="s">
        <v>397</v>
      </c>
      <c r="F500" t="s">
        <v>26</v>
      </c>
    </row>
    <row r="501" spans="1:6">
      <c r="A501" s="258">
        <v>46114</v>
      </c>
      <c r="B501" s="242" t="s">
        <v>1073</v>
      </c>
      <c r="C501" s="248" t="s">
        <v>307</v>
      </c>
      <c r="D501" s="245">
        <v>673.57</v>
      </c>
      <c r="E501" s="272" t="s">
        <v>397</v>
      </c>
      <c r="F501" t="s">
        <v>26</v>
      </c>
    </row>
    <row r="502" spans="1:6">
      <c r="A502" s="258">
        <v>46114</v>
      </c>
      <c r="B502" s="242" t="s">
        <v>330</v>
      </c>
      <c r="C502" s="248" t="s">
        <v>307</v>
      </c>
      <c r="D502" s="245">
        <v>614.54999999999995</v>
      </c>
      <c r="E502" s="272" t="s">
        <v>397</v>
      </c>
      <c r="F502" t="s">
        <v>26</v>
      </c>
    </row>
    <row r="503" spans="1:6">
      <c r="A503" s="258">
        <v>46114</v>
      </c>
      <c r="B503" s="242" t="s">
        <v>1104</v>
      </c>
      <c r="C503" s="248" t="s">
        <v>307</v>
      </c>
      <c r="D503" s="245">
        <v>145.27000000000001</v>
      </c>
      <c r="E503" s="272" t="s">
        <v>397</v>
      </c>
      <c r="F503" t="s">
        <v>26</v>
      </c>
    </row>
    <row r="504" spans="1:6">
      <c r="A504" s="258">
        <v>46114</v>
      </c>
      <c r="B504" s="242" t="s">
        <v>1161</v>
      </c>
      <c r="C504" s="248" t="s">
        <v>307</v>
      </c>
      <c r="D504" s="245">
        <v>705</v>
      </c>
      <c r="E504" s="272" t="s">
        <v>397</v>
      </c>
      <c r="F504" t="s">
        <v>26</v>
      </c>
    </row>
    <row r="505" spans="1:6">
      <c r="A505" s="258">
        <v>46114</v>
      </c>
      <c r="B505" s="242" t="s">
        <v>1171</v>
      </c>
      <c r="C505" s="248" t="s">
        <v>307</v>
      </c>
      <c r="D505" s="245">
        <v>1710</v>
      </c>
      <c r="E505" s="272" t="s">
        <v>397</v>
      </c>
      <c r="F505" t="s">
        <v>26</v>
      </c>
    </row>
    <row r="506" spans="1:6">
      <c r="A506" s="258">
        <v>46114</v>
      </c>
      <c r="B506" s="242" t="s">
        <v>1070</v>
      </c>
      <c r="C506" s="248" t="s">
        <v>307</v>
      </c>
      <c r="D506" s="245">
        <v>97.5</v>
      </c>
      <c r="E506" s="272" t="s">
        <v>397</v>
      </c>
      <c r="F506" t="s">
        <v>26</v>
      </c>
    </row>
    <row r="507" spans="1:6">
      <c r="A507" s="258">
        <v>46114</v>
      </c>
      <c r="B507" s="242" t="s">
        <v>319</v>
      </c>
      <c r="C507" s="77" t="s">
        <v>209</v>
      </c>
      <c r="D507" s="245">
        <v>1000</v>
      </c>
      <c r="E507" s="272" t="s">
        <v>397</v>
      </c>
      <c r="F507" t="s">
        <v>26</v>
      </c>
    </row>
    <row r="508" spans="1:6">
      <c r="A508" s="258">
        <v>46114</v>
      </c>
      <c r="B508" s="242" t="s">
        <v>1170</v>
      </c>
      <c r="C508" s="77" t="s">
        <v>175</v>
      </c>
      <c r="D508" s="245">
        <v>28.94</v>
      </c>
      <c r="E508" s="272" t="s">
        <v>397</v>
      </c>
      <c r="F508" t="s">
        <v>26</v>
      </c>
    </row>
    <row r="509" spans="1:6">
      <c r="A509" s="273">
        <v>46114</v>
      </c>
      <c r="B509" s="274" t="s">
        <v>1172</v>
      </c>
      <c r="C509" s="423" t="s">
        <v>175</v>
      </c>
      <c r="D509" s="275">
        <v>23.29</v>
      </c>
      <c r="E509" s="272" t="s">
        <v>397</v>
      </c>
      <c r="F509" t="s">
        <v>26</v>
      </c>
    </row>
    <row r="510" spans="1:6">
      <c r="A510" s="258">
        <v>46118</v>
      </c>
      <c r="B510" s="274" t="s">
        <v>1170</v>
      </c>
      <c r="C510" s="423" t="s">
        <v>175</v>
      </c>
      <c r="D510" s="275">
        <v>25.34</v>
      </c>
      <c r="E510" s="272" t="s">
        <v>397</v>
      </c>
      <c r="F510" t="s">
        <v>26</v>
      </c>
    </row>
    <row r="511" spans="1:6">
      <c r="A511" s="258">
        <v>46118</v>
      </c>
      <c r="B511" s="242" t="s">
        <v>328</v>
      </c>
      <c r="C511" s="77" t="s">
        <v>188</v>
      </c>
      <c r="D511" s="245">
        <v>1700</v>
      </c>
      <c r="E511" s="272" t="s">
        <v>397</v>
      </c>
      <c r="F511" t="s">
        <v>26</v>
      </c>
    </row>
    <row r="512" spans="1:6">
      <c r="A512" s="258">
        <v>46118</v>
      </c>
      <c r="B512" s="242" t="s">
        <v>1124</v>
      </c>
      <c r="C512" s="248" t="s">
        <v>307</v>
      </c>
      <c r="D512" s="245">
        <v>327.5</v>
      </c>
      <c r="E512" s="272" t="s">
        <v>397</v>
      </c>
      <c r="F512" t="s">
        <v>26</v>
      </c>
    </row>
    <row r="513" spans="1:6">
      <c r="A513" s="258">
        <v>46118</v>
      </c>
      <c r="B513" s="242" t="s">
        <v>1129</v>
      </c>
      <c r="C513" s="248" t="s">
        <v>307</v>
      </c>
      <c r="D513" s="245">
        <v>632.5</v>
      </c>
      <c r="E513" s="272" t="s">
        <v>397</v>
      </c>
      <c r="F513" t="s">
        <v>26</v>
      </c>
    </row>
    <row r="514" spans="1:6">
      <c r="A514" s="258">
        <v>46118</v>
      </c>
      <c r="B514" s="242" t="s">
        <v>1173</v>
      </c>
      <c r="C514" s="248" t="s">
        <v>307</v>
      </c>
      <c r="D514" s="245">
        <v>270</v>
      </c>
      <c r="E514" s="272" t="s">
        <v>397</v>
      </c>
      <c r="F514" t="s">
        <v>26</v>
      </c>
    </row>
    <row r="515" spans="1:6">
      <c r="A515" s="258">
        <v>46118</v>
      </c>
      <c r="B515" s="242" t="s">
        <v>1174</v>
      </c>
      <c r="C515" s="248" t="s">
        <v>307</v>
      </c>
      <c r="D515" s="245">
        <v>308.86</v>
      </c>
      <c r="E515" s="272" t="s">
        <v>397</v>
      </c>
      <c r="F515" t="s">
        <v>26</v>
      </c>
    </row>
    <row r="516" spans="1:6">
      <c r="A516" s="258">
        <v>46118</v>
      </c>
      <c r="B516" s="242" t="s">
        <v>1125</v>
      </c>
      <c r="C516" s="248" t="s">
        <v>307</v>
      </c>
      <c r="D516" s="245">
        <v>3773.29</v>
      </c>
      <c r="E516" s="272" t="s">
        <v>397</v>
      </c>
      <c r="F516" t="s">
        <v>26</v>
      </c>
    </row>
    <row r="517" spans="1:6">
      <c r="A517" s="258">
        <v>46118</v>
      </c>
      <c r="B517" s="242" t="s">
        <v>1125</v>
      </c>
      <c r="C517" s="248" t="s">
        <v>307</v>
      </c>
      <c r="D517" s="245">
        <v>500.47</v>
      </c>
      <c r="E517" s="272" t="s">
        <v>397</v>
      </c>
      <c r="F517" t="s">
        <v>26</v>
      </c>
    </row>
    <row r="518" spans="1:6">
      <c r="A518" s="258">
        <v>46118</v>
      </c>
      <c r="B518" s="242" t="s">
        <v>1175</v>
      </c>
      <c r="C518" s="248" t="s">
        <v>307</v>
      </c>
      <c r="D518" s="245">
        <v>920.67</v>
      </c>
      <c r="E518" s="272" t="s">
        <v>397</v>
      </c>
      <c r="F518" t="s">
        <v>26</v>
      </c>
    </row>
    <row r="519" spans="1:6">
      <c r="A519" s="258">
        <v>46118</v>
      </c>
      <c r="B519" s="242" t="s">
        <v>1117</v>
      </c>
      <c r="C519" s="248" t="s">
        <v>307</v>
      </c>
      <c r="D519" s="245">
        <v>802.46</v>
      </c>
      <c r="E519" s="272" t="s">
        <v>397</v>
      </c>
      <c r="F519" t="s">
        <v>26</v>
      </c>
    </row>
    <row r="520" spans="1:6">
      <c r="A520" s="258">
        <v>46118</v>
      </c>
      <c r="B520" s="242" t="s">
        <v>1072</v>
      </c>
      <c r="C520" s="248" t="s">
        <v>307</v>
      </c>
      <c r="D520" s="245">
        <v>387.28</v>
      </c>
      <c r="E520" s="272" t="s">
        <v>397</v>
      </c>
      <c r="F520" t="s">
        <v>26</v>
      </c>
    </row>
    <row r="521" spans="1:6">
      <c r="A521" s="258">
        <v>46118</v>
      </c>
      <c r="B521" s="242" t="s">
        <v>1176</v>
      </c>
      <c r="C521" s="248" t="s">
        <v>307</v>
      </c>
      <c r="D521" s="245">
        <v>325</v>
      </c>
      <c r="E521" s="272" t="s">
        <v>397</v>
      </c>
      <c r="F521" t="s">
        <v>26</v>
      </c>
    </row>
    <row r="522" spans="1:6">
      <c r="A522" s="258">
        <v>46118</v>
      </c>
      <c r="B522" s="242" t="s">
        <v>1177</v>
      </c>
      <c r="C522" s="248" t="s">
        <v>307</v>
      </c>
      <c r="D522" s="245">
        <v>270</v>
      </c>
      <c r="E522" s="272" t="s">
        <v>397</v>
      </c>
      <c r="F522" t="s">
        <v>26</v>
      </c>
    </row>
    <row r="523" spans="1:6">
      <c r="A523" s="258">
        <v>46118</v>
      </c>
      <c r="B523" s="242" t="s">
        <v>1173</v>
      </c>
      <c r="C523" s="248" t="s">
        <v>307</v>
      </c>
      <c r="D523" s="245">
        <v>283.5</v>
      </c>
      <c r="E523" s="272" t="s">
        <v>397</v>
      </c>
      <c r="F523" t="s">
        <v>26</v>
      </c>
    </row>
    <row r="524" spans="1:6">
      <c r="A524" s="258">
        <v>46118</v>
      </c>
      <c r="B524" s="242" t="s">
        <v>1012</v>
      </c>
      <c r="C524" s="248" t="s">
        <v>307</v>
      </c>
      <c r="D524" s="245">
        <v>170</v>
      </c>
      <c r="E524" s="272" t="s">
        <v>397</v>
      </c>
      <c r="F524" t="s">
        <v>26</v>
      </c>
    </row>
    <row r="525" spans="1:6">
      <c r="A525" s="258">
        <v>46118</v>
      </c>
      <c r="B525" s="242" t="s">
        <v>1178</v>
      </c>
      <c r="C525" s="248" t="s">
        <v>307</v>
      </c>
      <c r="D525" s="245">
        <v>628.32000000000005</v>
      </c>
      <c r="E525" s="272" t="s">
        <v>397</v>
      </c>
      <c r="F525" t="s">
        <v>26</v>
      </c>
    </row>
    <row r="526" spans="1:6">
      <c r="A526" s="258">
        <v>46118</v>
      </c>
      <c r="B526" s="242" t="s">
        <v>1179</v>
      </c>
      <c r="C526" s="248" t="s">
        <v>307</v>
      </c>
      <c r="D526" s="245">
        <v>720</v>
      </c>
      <c r="E526" s="272" t="s">
        <v>397</v>
      </c>
      <c r="F526" t="s">
        <v>26</v>
      </c>
    </row>
    <row r="527" spans="1:6">
      <c r="A527" s="258">
        <v>46118</v>
      </c>
      <c r="B527" s="242" t="s">
        <v>1180</v>
      </c>
      <c r="C527" s="248" t="s">
        <v>307</v>
      </c>
      <c r="D527" s="245">
        <v>342</v>
      </c>
      <c r="E527" s="272" t="s">
        <v>397</v>
      </c>
      <c r="F527" t="s">
        <v>26</v>
      </c>
    </row>
    <row r="528" spans="1:6">
      <c r="A528" s="258">
        <v>46118</v>
      </c>
      <c r="B528" s="242" t="s">
        <v>1179</v>
      </c>
      <c r="C528" s="248" t="s">
        <v>307</v>
      </c>
      <c r="D528" s="245">
        <v>1303.6300000000001</v>
      </c>
      <c r="E528" s="272" t="s">
        <v>397</v>
      </c>
      <c r="F528" t="s">
        <v>26</v>
      </c>
    </row>
    <row r="529" spans="1:6">
      <c r="A529" s="258">
        <v>46118</v>
      </c>
      <c r="B529" s="242" t="s">
        <v>1181</v>
      </c>
      <c r="C529" s="248" t="s">
        <v>307</v>
      </c>
      <c r="D529" s="245">
        <v>650</v>
      </c>
      <c r="E529" s="272" t="s">
        <v>397</v>
      </c>
      <c r="F529" t="s">
        <v>26</v>
      </c>
    </row>
    <row r="530" spans="1:6">
      <c r="A530" s="258">
        <v>46118</v>
      </c>
      <c r="B530" s="242" t="s">
        <v>1117</v>
      </c>
      <c r="C530" s="248" t="s">
        <v>307</v>
      </c>
      <c r="D530" s="245">
        <v>385.73</v>
      </c>
      <c r="E530" s="272" t="s">
        <v>397</v>
      </c>
      <c r="F530" t="s">
        <v>26</v>
      </c>
    </row>
    <row r="531" spans="1:6">
      <c r="A531" s="258">
        <v>46118</v>
      </c>
      <c r="B531" s="242" t="s">
        <v>1128</v>
      </c>
      <c r="C531" s="248" t="s">
        <v>192</v>
      </c>
      <c r="D531" s="245">
        <v>1801.14</v>
      </c>
      <c r="E531" s="272" t="s">
        <v>397</v>
      </c>
      <c r="F531" t="s">
        <v>26</v>
      </c>
    </row>
    <row r="532" spans="1:6">
      <c r="A532" s="258">
        <v>46118</v>
      </c>
      <c r="B532" s="242" t="s">
        <v>1182</v>
      </c>
      <c r="C532" s="248" t="s">
        <v>192</v>
      </c>
      <c r="D532" s="245">
        <v>290.97000000000003</v>
      </c>
      <c r="E532" s="272" t="s">
        <v>397</v>
      </c>
      <c r="F532" t="s">
        <v>26</v>
      </c>
    </row>
    <row r="533" spans="1:6">
      <c r="A533" s="258">
        <v>46118</v>
      </c>
      <c r="B533" s="242" t="s">
        <v>1182</v>
      </c>
      <c r="C533" s="248" t="s">
        <v>192</v>
      </c>
      <c r="D533" s="245">
        <v>571.5</v>
      </c>
      <c r="E533" s="272" t="s">
        <v>397</v>
      </c>
      <c r="F533" t="s">
        <v>26</v>
      </c>
    </row>
    <row r="534" spans="1:6">
      <c r="A534" s="273">
        <v>46118</v>
      </c>
      <c r="B534" s="268" t="s">
        <v>1183</v>
      </c>
      <c r="C534" s="424" t="s">
        <v>188</v>
      </c>
      <c r="D534" s="276">
        <v>790</v>
      </c>
      <c r="E534" s="272" t="s">
        <v>397</v>
      </c>
      <c r="F534" t="s">
        <v>26</v>
      </c>
    </row>
    <row r="535" spans="1:6">
      <c r="A535" s="258">
        <v>46119</v>
      </c>
      <c r="B535" s="242" t="s">
        <v>1170</v>
      </c>
      <c r="C535" s="77" t="s">
        <v>175</v>
      </c>
      <c r="D535" s="245">
        <v>7.24</v>
      </c>
      <c r="E535" s="272" t="s">
        <v>397</v>
      </c>
      <c r="F535" t="s">
        <v>26</v>
      </c>
    </row>
    <row r="536" spans="1:6">
      <c r="A536" s="258">
        <v>46119</v>
      </c>
      <c r="B536" s="242" t="s">
        <v>203</v>
      </c>
      <c r="C536" s="77" t="s">
        <v>203</v>
      </c>
      <c r="D536" s="245">
        <v>7000</v>
      </c>
      <c r="E536" s="272" t="s">
        <v>397</v>
      </c>
      <c r="F536" t="s">
        <v>26</v>
      </c>
    </row>
    <row r="537" spans="1:6">
      <c r="A537" s="258">
        <v>46119</v>
      </c>
      <c r="B537" s="242" t="s">
        <v>1184</v>
      </c>
      <c r="C537" s="248" t="s">
        <v>188</v>
      </c>
      <c r="D537" s="245">
        <v>1200</v>
      </c>
      <c r="E537" s="272" t="s">
        <v>397</v>
      </c>
      <c r="F537" t="s">
        <v>26</v>
      </c>
    </row>
    <row r="538" spans="1:6">
      <c r="A538" s="258">
        <v>46119</v>
      </c>
      <c r="B538" s="242" t="s">
        <v>1134</v>
      </c>
      <c r="C538" s="248" t="s">
        <v>188</v>
      </c>
      <c r="D538" s="245">
        <v>2419.48</v>
      </c>
      <c r="E538" s="272" t="s">
        <v>397</v>
      </c>
      <c r="F538" t="s">
        <v>26</v>
      </c>
    </row>
    <row r="539" spans="1:6">
      <c r="A539" s="258">
        <v>46119</v>
      </c>
      <c r="B539" s="242" t="s">
        <v>1103</v>
      </c>
      <c r="C539" s="248" t="s">
        <v>188</v>
      </c>
      <c r="D539" s="245">
        <v>1028.32</v>
      </c>
      <c r="E539" s="272" t="s">
        <v>397</v>
      </c>
      <c r="F539" t="s">
        <v>26</v>
      </c>
    </row>
    <row r="540" spans="1:6">
      <c r="A540" s="258">
        <v>46119</v>
      </c>
      <c r="B540" s="242" t="s">
        <v>1037</v>
      </c>
      <c r="C540" s="248" t="s">
        <v>188</v>
      </c>
      <c r="D540" s="245">
        <v>1749.25</v>
      </c>
      <c r="E540" s="272" t="s">
        <v>397</v>
      </c>
      <c r="F540" t="s">
        <v>26</v>
      </c>
    </row>
    <row r="541" spans="1:6">
      <c r="A541" s="258">
        <v>46119</v>
      </c>
      <c r="B541" s="242" t="s">
        <v>1083</v>
      </c>
      <c r="C541" s="248" t="s">
        <v>188</v>
      </c>
      <c r="D541" s="245">
        <v>1900</v>
      </c>
      <c r="E541" s="272" t="s">
        <v>397</v>
      </c>
      <c r="F541" t="s">
        <v>26</v>
      </c>
    </row>
    <row r="542" spans="1:6">
      <c r="A542" s="258">
        <v>46119</v>
      </c>
      <c r="B542" s="81" t="s">
        <v>1080</v>
      </c>
      <c r="C542" s="248" t="s">
        <v>307</v>
      </c>
      <c r="D542" s="82">
        <v>30</v>
      </c>
      <c r="E542" s="272" t="s">
        <v>397</v>
      </c>
      <c r="F542" t="s">
        <v>26</v>
      </c>
    </row>
    <row r="543" spans="1:6">
      <c r="A543" s="258">
        <v>46119</v>
      </c>
      <c r="B543" s="83" t="s">
        <v>1143</v>
      </c>
      <c r="C543" s="248" t="s">
        <v>307</v>
      </c>
      <c r="D543" s="80">
        <v>445</v>
      </c>
      <c r="E543" s="272" t="s">
        <v>397</v>
      </c>
      <c r="F543" t="s">
        <v>26</v>
      </c>
    </row>
    <row r="544" spans="1:6">
      <c r="A544" s="258">
        <v>46119</v>
      </c>
      <c r="B544" s="81" t="s">
        <v>1185</v>
      </c>
      <c r="C544" s="248" t="s">
        <v>307</v>
      </c>
      <c r="D544" s="82">
        <v>1725</v>
      </c>
      <c r="E544" s="272" t="s">
        <v>397</v>
      </c>
      <c r="F544" t="s">
        <v>26</v>
      </c>
    </row>
    <row r="545" spans="1:6">
      <c r="A545" s="258">
        <v>46120</v>
      </c>
      <c r="B545" s="81" t="s">
        <v>1170</v>
      </c>
      <c r="C545" s="248" t="s">
        <v>175</v>
      </c>
      <c r="D545" s="82">
        <v>10.86</v>
      </c>
      <c r="E545" s="272" t="s">
        <v>397</v>
      </c>
      <c r="F545" t="s">
        <v>26</v>
      </c>
    </row>
    <row r="546" spans="1:6">
      <c r="A546" s="258">
        <v>46120</v>
      </c>
      <c r="B546" s="81" t="s">
        <v>1070</v>
      </c>
      <c r="C546" s="248" t="s">
        <v>307</v>
      </c>
      <c r="D546" s="82">
        <v>65</v>
      </c>
      <c r="E546" s="272" t="s">
        <v>397</v>
      </c>
      <c r="F546" t="s">
        <v>26</v>
      </c>
    </row>
    <row r="547" spans="1:6">
      <c r="A547" s="258">
        <v>46120</v>
      </c>
      <c r="B547" s="83" t="s">
        <v>1179</v>
      </c>
      <c r="C547" s="248" t="s">
        <v>307</v>
      </c>
      <c r="D547" s="80">
        <v>270</v>
      </c>
      <c r="E547" s="272" t="s">
        <v>397</v>
      </c>
      <c r="F547" t="s">
        <v>26</v>
      </c>
    </row>
    <row r="548" spans="1:6">
      <c r="A548" s="258">
        <v>46120</v>
      </c>
      <c r="B548" s="81" t="s">
        <v>1186</v>
      </c>
      <c r="C548" s="248" t="s">
        <v>307</v>
      </c>
      <c r="D548" s="82">
        <v>437.62</v>
      </c>
      <c r="E548" s="272" t="s">
        <v>397</v>
      </c>
      <c r="F548" t="s">
        <v>26</v>
      </c>
    </row>
    <row r="549" spans="1:6">
      <c r="A549" s="258">
        <v>46120</v>
      </c>
      <c r="B549" s="83" t="s">
        <v>1187</v>
      </c>
      <c r="C549" s="248" t="s">
        <v>307</v>
      </c>
      <c r="D549" s="80">
        <v>187.5</v>
      </c>
      <c r="E549" s="272" t="s">
        <v>397</v>
      </c>
      <c r="F549" t="s">
        <v>26</v>
      </c>
    </row>
    <row r="550" spans="1:6">
      <c r="A550" s="258">
        <v>46120</v>
      </c>
      <c r="B550" s="81" t="s">
        <v>1188</v>
      </c>
      <c r="C550" s="248" t="s">
        <v>307</v>
      </c>
      <c r="D550" s="82">
        <v>638.24</v>
      </c>
      <c r="E550" s="272" t="s">
        <v>397</v>
      </c>
      <c r="F550" t="s">
        <v>26</v>
      </c>
    </row>
    <row r="551" spans="1:6">
      <c r="A551" s="258">
        <v>46120</v>
      </c>
      <c r="B551" s="83" t="s">
        <v>1189</v>
      </c>
      <c r="C551" s="248" t="s">
        <v>307</v>
      </c>
      <c r="D551" s="80">
        <v>399.84</v>
      </c>
      <c r="E551" s="272" t="s">
        <v>397</v>
      </c>
      <c r="F551" t="s">
        <v>26</v>
      </c>
    </row>
    <row r="552" spans="1:6">
      <c r="A552" s="258">
        <v>46120</v>
      </c>
      <c r="B552" s="81" t="s">
        <v>1029</v>
      </c>
      <c r="C552" s="248" t="s">
        <v>307</v>
      </c>
      <c r="D552" s="82">
        <v>2274.77</v>
      </c>
      <c r="E552" s="272" t="s">
        <v>397</v>
      </c>
      <c r="F552" t="s">
        <v>26</v>
      </c>
    </row>
    <row r="553" spans="1:6">
      <c r="A553" s="258">
        <v>46120</v>
      </c>
      <c r="B553" s="83" t="s">
        <v>1034</v>
      </c>
      <c r="C553" s="248" t="s">
        <v>307</v>
      </c>
      <c r="D553" s="80">
        <v>342</v>
      </c>
      <c r="E553" s="272" t="s">
        <v>397</v>
      </c>
      <c r="F553" t="s">
        <v>26</v>
      </c>
    </row>
    <row r="554" spans="1:6">
      <c r="A554" s="258">
        <v>46121</v>
      </c>
      <c r="B554" s="83" t="s">
        <v>1170</v>
      </c>
      <c r="C554" s="425" t="s">
        <v>175</v>
      </c>
      <c r="D554" s="80">
        <v>12.67</v>
      </c>
      <c r="E554" s="272" t="s">
        <v>397</v>
      </c>
      <c r="F554" t="s">
        <v>26</v>
      </c>
    </row>
    <row r="555" spans="1:6">
      <c r="A555" s="258">
        <v>46121</v>
      </c>
      <c r="B555" s="81" t="s">
        <v>1125</v>
      </c>
      <c r="C555" s="425" t="s">
        <v>307</v>
      </c>
      <c r="D555" s="82">
        <v>573.79999999999995</v>
      </c>
      <c r="E555" s="272" t="s">
        <v>397</v>
      </c>
      <c r="F555" t="s">
        <v>26</v>
      </c>
    </row>
    <row r="556" spans="1:6">
      <c r="A556" s="258">
        <v>46121</v>
      </c>
      <c r="B556" s="83" t="s">
        <v>1190</v>
      </c>
      <c r="C556" s="425" t="s">
        <v>307</v>
      </c>
      <c r="D556" s="80">
        <v>823.18</v>
      </c>
      <c r="E556" s="272" t="s">
        <v>397</v>
      </c>
      <c r="F556" t="s">
        <v>26</v>
      </c>
    </row>
    <row r="557" spans="1:6">
      <c r="A557" s="258">
        <v>46121</v>
      </c>
      <c r="B557" s="81" t="s">
        <v>1004</v>
      </c>
      <c r="C557" s="425" t="s">
        <v>307</v>
      </c>
      <c r="D557" s="82">
        <v>424</v>
      </c>
      <c r="E557" s="272" t="s">
        <v>397</v>
      </c>
      <c r="F557" t="s">
        <v>26</v>
      </c>
    </row>
    <row r="558" spans="1:6">
      <c r="A558" s="258">
        <v>46121</v>
      </c>
      <c r="B558" s="83" t="s">
        <v>1174</v>
      </c>
      <c r="C558" s="425" t="s">
        <v>307</v>
      </c>
      <c r="D558" s="80">
        <v>215.13</v>
      </c>
      <c r="E558" s="272" t="s">
        <v>397</v>
      </c>
      <c r="F558" t="s">
        <v>26</v>
      </c>
    </row>
    <row r="559" spans="1:6">
      <c r="A559" s="258">
        <v>46121</v>
      </c>
      <c r="B559" s="81" t="s">
        <v>1191</v>
      </c>
      <c r="C559" s="425" t="s">
        <v>307</v>
      </c>
      <c r="D559" s="82">
        <v>150</v>
      </c>
      <c r="E559" s="272" t="s">
        <v>397</v>
      </c>
      <c r="F559" t="s">
        <v>26</v>
      </c>
    </row>
    <row r="560" spans="1:6">
      <c r="A560" s="258">
        <v>46121</v>
      </c>
      <c r="B560" s="83" t="s">
        <v>1141</v>
      </c>
      <c r="C560" s="425" t="s">
        <v>307</v>
      </c>
      <c r="D560" s="80">
        <v>614.54999999999995</v>
      </c>
      <c r="E560" s="272" t="s">
        <v>397</v>
      </c>
      <c r="F560" t="s">
        <v>26</v>
      </c>
    </row>
    <row r="561" spans="1:6">
      <c r="A561" s="258">
        <v>46122</v>
      </c>
      <c r="B561" s="83" t="s">
        <v>1089</v>
      </c>
      <c r="C561" s="248" t="s">
        <v>192</v>
      </c>
      <c r="D561" s="80">
        <v>175.9</v>
      </c>
      <c r="E561" s="272" t="s">
        <v>397</v>
      </c>
      <c r="F561" t="s">
        <v>26</v>
      </c>
    </row>
    <row r="562" spans="1:6">
      <c r="A562" s="258">
        <v>46122</v>
      </c>
      <c r="B562" s="83" t="s">
        <v>1142</v>
      </c>
      <c r="C562" s="248" t="s">
        <v>1035</v>
      </c>
      <c r="D562" s="80">
        <v>931.74</v>
      </c>
      <c r="E562" s="272" t="s">
        <v>397</v>
      </c>
      <c r="F562" t="s">
        <v>26</v>
      </c>
    </row>
    <row r="563" spans="1:6">
      <c r="A563" s="258">
        <v>46122</v>
      </c>
      <c r="B563" s="81" t="s">
        <v>1192</v>
      </c>
      <c r="C563" s="248" t="s">
        <v>188</v>
      </c>
      <c r="D563" s="82">
        <v>65.37</v>
      </c>
      <c r="E563" s="272" t="s">
        <v>397</v>
      </c>
      <c r="F563" t="s">
        <v>26</v>
      </c>
    </row>
    <row r="564" spans="1:6">
      <c r="A564" s="258">
        <v>46122</v>
      </c>
      <c r="B564" s="83" t="s">
        <v>1124</v>
      </c>
      <c r="C564" s="248" t="s">
        <v>307</v>
      </c>
      <c r="D564" s="80">
        <v>142.5</v>
      </c>
      <c r="E564" s="272" t="s">
        <v>397</v>
      </c>
      <c r="F564" t="s">
        <v>26</v>
      </c>
    </row>
    <row r="565" spans="1:6">
      <c r="A565" s="258">
        <v>46122</v>
      </c>
      <c r="B565" s="81" t="s">
        <v>1117</v>
      </c>
      <c r="C565" s="248" t="s">
        <v>307</v>
      </c>
      <c r="D565" s="82">
        <v>384.75</v>
      </c>
      <c r="E565" s="272" t="s">
        <v>397</v>
      </c>
      <c r="F565" t="s">
        <v>26</v>
      </c>
    </row>
    <row r="566" spans="1:6">
      <c r="A566" s="258">
        <v>46122</v>
      </c>
      <c r="B566" s="83" t="s">
        <v>1193</v>
      </c>
      <c r="C566" s="248" t="s">
        <v>1857</v>
      </c>
      <c r="D566" s="80">
        <v>2620.16</v>
      </c>
      <c r="E566" s="272" t="s">
        <v>397</v>
      </c>
      <c r="F566" t="s">
        <v>26</v>
      </c>
    </row>
    <row r="567" spans="1:6">
      <c r="A567" s="258">
        <v>46122</v>
      </c>
      <c r="B567" s="81" t="s">
        <v>1187</v>
      </c>
      <c r="C567" s="248" t="s">
        <v>307</v>
      </c>
      <c r="D567" s="82">
        <v>150</v>
      </c>
      <c r="E567" s="272" t="s">
        <v>397</v>
      </c>
      <c r="F567" t="s">
        <v>26</v>
      </c>
    </row>
    <row r="568" spans="1:6">
      <c r="A568" s="258">
        <v>46122</v>
      </c>
      <c r="B568" s="83" t="s">
        <v>1188</v>
      </c>
      <c r="C568" s="248" t="s">
        <v>307</v>
      </c>
      <c r="D568" s="80">
        <v>573.72</v>
      </c>
      <c r="E568" s="272" t="s">
        <v>397</v>
      </c>
      <c r="F568" t="s">
        <v>26</v>
      </c>
    </row>
    <row r="569" spans="1:6">
      <c r="A569" s="258">
        <v>46122</v>
      </c>
      <c r="B569" s="81" t="s">
        <v>1174</v>
      </c>
      <c r="C569" s="248" t="s">
        <v>307</v>
      </c>
      <c r="D569" s="82">
        <v>665.63</v>
      </c>
      <c r="E569" s="272" t="s">
        <v>397</v>
      </c>
      <c r="F569" t="s">
        <v>26</v>
      </c>
    </row>
    <row r="570" spans="1:6">
      <c r="A570" s="258">
        <v>46122</v>
      </c>
      <c r="B570" s="83" t="s">
        <v>1194</v>
      </c>
      <c r="C570" s="248" t="s">
        <v>307</v>
      </c>
      <c r="D570" s="80">
        <v>1920.46</v>
      </c>
      <c r="E570" s="272" t="s">
        <v>397</v>
      </c>
      <c r="F570" t="s">
        <v>26</v>
      </c>
    </row>
    <row r="571" spans="1:6">
      <c r="A571" s="258">
        <v>46122</v>
      </c>
      <c r="B571" s="81" t="s">
        <v>1195</v>
      </c>
      <c r="C571" s="248" t="s">
        <v>307</v>
      </c>
      <c r="D571" s="82">
        <v>577.5</v>
      </c>
      <c r="E571" s="272" t="s">
        <v>397</v>
      </c>
      <c r="F571" t="s">
        <v>26</v>
      </c>
    </row>
    <row r="572" spans="1:6">
      <c r="A572" s="258">
        <v>46122</v>
      </c>
      <c r="B572" s="242" t="s">
        <v>325</v>
      </c>
      <c r="C572" s="248" t="s">
        <v>209</v>
      </c>
      <c r="D572" s="245">
        <v>8000</v>
      </c>
      <c r="E572" s="272" t="s">
        <v>397</v>
      </c>
      <c r="F572" t="s">
        <v>26</v>
      </c>
    </row>
    <row r="573" spans="1:6">
      <c r="A573" s="258">
        <v>46122</v>
      </c>
      <c r="B573" s="242" t="s">
        <v>1170</v>
      </c>
      <c r="C573" s="248" t="s">
        <v>175</v>
      </c>
      <c r="D573" s="245">
        <v>12.67</v>
      </c>
      <c r="E573" s="272" t="s">
        <v>397</v>
      </c>
      <c r="F573" t="s">
        <v>26</v>
      </c>
    </row>
    <row r="574" spans="1:6">
      <c r="A574" s="258">
        <v>46125</v>
      </c>
      <c r="B574" s="277" t="s">
        <v>1196</v>
      </c>
      <c r="C574" s="426" t="s">
        <v>313</v>
      </c>
      <c r="D574" s="278">
        <v>25246.44</v>
      </c>
      <c r="E574" s="272" t="s">
        <v>397</v>
      </c>
      <c r="F574" t="s">
        <v>26</v>
      </c>
    </row>
    <row r="575" spans="1:6">
      <c r="A575" s="258">
        <v>46125</v>
      </c>
      <c r="B575" s="242" t="s">
        <v>1052</v>
      </c>
      <c r="C575" s="248" t="s">
        <v>307</v>
      </c>
      <c r="D575" s="245">
        <v>3137.75</v>
      </c>
      <c r="E575" s="272" t="s">
        <v>397</v>
      </c>
      <c r="F575" t="s">
        <v>26</v>
      </c>
    </row>
    <row r="576" spans="1:6">
      <c r="A576" s="258">
        <v>46125</v>
      </c>
      <c r="B576" s="242" t="s">
        <v>1073</v>
      </c>
      <c r="C576" s="248" t="s">
        <v>307</v>
      </c>
      <c r="D576" s="245">
        <v>531.32000000000005</v>
      </c>
      <c r="E576" s="272" t="s">
        <v>397</v>
      </c>
      <c r="F576" t="s">
        <v>26</v>
      </c>
    </row>
    <row r="577" spans="1:6">
      <c r="A577" s="258">
        <v>46125</v>
      </c>
      <c r="B577" s="242" t="s">
        <v>1073</v>
      </c>
      <c r="C577" s="248" t="s">
        <v>307</v>
      </c>
      <c r="D577" s="245">
        <v>496.89</v>
      </c>
      <c r="E577" s="272" t="s">
        <v>397</v>
      </c>
      <c r="F577" t="s">
        <v>26</v>
      </c>
    </row>
    <row r="578" spans="1:6">
      <c r="A578" s="258">
        <v>46125</v>
      </c>
      <c r="B578" s="242" t="s">
        <v>1073</v>
      </c>
      <c r="C578" s="248" t="s">
        <v>307</v>
      </c>
      <c r="D578" s="245">
        <v>528.44000000000005</v>
      </c>
      <c r="E578" s="272" t="s">
        <v>397</v>
      </c>
      <c r="F578" t="s">
        <v>26</v>
      </c>
    </row>
    <row r="579" spans="1:6">
      <c r="A579" s="258">
        <v>46125</v>
      </c>
      <c r="B579" s="242" t="s">
        <v>1073</v>
      </c>
      <c r="C579" s="248" t="s">
        <v>307</v>
      </c>
      <c r="D579" s="245">
        <v>577.09</v>
      </c>
      <c r="E579" s="272" t="s">
        <v>397</v>
      </c>
      <c r="F579" t="s">
        <v>26</v>
      </c>
    </row>
    <row r="580" spans="1:6">
      <c r="A580" s="258">
        <v>46125</v>
      </c>
      <c r="B580" s="242" t="s">
        <v>1073</v>
      </c>
      <c r="C580" s="248" t="s">
        <v>307</v>
      </c>
      <c r="D580" s="245">
        <v>478.91</v>
      </c>
      <c r="E580" s="272" t="s">
        <v>397</v>
      </c>
      <c r="F580" t="s">
        <v>26</v>
      </c>
    </row>
    <row r="581" spans="1:6">
      <c r="A581" s="258">
        <v>46125</v>
      </c>
      <c r="B581" s="242" t="s">
        <v>306</v>
      </c>
      <c r="C581" s="248" t="s">
        <v>307</v>
      </c>
      <c r="D581" s="245">
        <v>575.33000000000004</v>
      </c>
      <c r="E581" s="272" t="s">
        <v>397</v>
      </c>
      <c r="F581" t="s">
        <v>26</v>
      </c>
    </row>
    <row r="582" spans="1:6">
      <c r="A582" s="258">
        <v>46125</v>
      </c>
      <c r="B582" s="242" t="s">
        <v>1012</v>
      </c>
      <c r="C582" s="248" t="s">
        <v>307</v>
      </c>
      <c r="D582" s="245">
        <v>707.05</v>
      </c>
      <c r="E582" s="272" t="s">
        <v>397</v>
      </c>
      <c r="F582" t="s">
        <v>26</v>
      </c>
    </row>
    <row r="583" spans="1:6">
      <c r="A583" s="258">
        <v>46125</v>
      </c>
      <c r="B583" s="242" t="s">
        <v>1174</v>
      </c>
      <c r="C583" s="248" t="s">
        <v>307</v>
      </c>
      <c r="D583" s="245">
        <v>464.02</v>
      </c>
      <c r="E583" s="272" t="s">
        <v>397</v>
      </c>
      <c r="F583" t="s">
        <v>26</v>
      </c>
    </row>
    <row r="584" spans="1:6">
      <c r="A584" s="258">
        <v>46125</v>
      </c>
      <c r="B584" s="242" t="s">
        <v>306</v>
      </c>
      <c r="C584" s="248" t="s">
        <v>307</v>
      </c>
      <c r="D584" s="245">
        <v>772.73</v>
      </c>
      <c r="E584" s="272" t="s">
        <v>397</v>
      </c>
      <c r="F584" t="s">
        <v>26</v>
      </c>
    </row>
    <row r="585" spans="1:6">
      <c r="A585" s="258">
        <v>46125</v>
      </c>
      <c r="B585" s="242" t="s">
        <v>1072</v>
      </c>
      <c r="C585" s="248" t="s">
        <v>307</v>
      </c>
      <c r="D585" s="245">
        <v>422.52</v>
      </c>
      <c r="E585" s="272" t="s">
        <v>397</v>
      </c>
      <c r="F585" t="s">
        <v>26</v>
      </c>
    </row>
    <row r="586" spans="1:6">
      <c r="A586" s="258">
        <v>46125</v>
      </c>
      <c r="B586" s="242" t="s">
        <v>655</v>
      </c>
      <c r="C586" s="248" t="s">
        <v>307</v>
      </c>
      <c r="D586" s="245">
        <v>424.9</v>
      </c>
      <c r="E586" s="272" t="s">
        <v>397</v>
      </c>
      <c r="F586" t="s">
        <v>26</v>
      </c>
    </row>
    <row r="587" spans="1:6">
      <c r="A587" s="258">
        <v>46125</v>
      </c>
      <c r="B587" s="242" t="s">
        <v>1161</v>
      </c>
      <c r="C587" s="248" t="s">
        <v>307</v>
      </c>
      <c r="D587" s="245">
        <v>186</v>
      </c>
      <c r="E587" s="272" t="s">
        <v>397</v>
      </c>
      <c r="F587" t="s">
        <v>26</v>
      </c>
    </row>
    <row r="588" spans="1:6">
      <c r="A588" s="258">
        <v>46125</v>
      </c>
      <c r="B588" s="242" t="s">
        <v>1197</v>
      </c>
      <c r="C588" s="248" t="s">
        <v>307</v>
      </c>
      <c r="D588" s="245">
        <v>951.78</v>
      </c>
      <c r="E588" s="272" t="s">
        <v>397</v>
      </c>
      <c r="F588" t="s">
        <v>26</v>
      </c>
    </row>
    <row r="589" spans="1:6">
      <c r="A589" s="258">
        <v>46125</v>
      </c>
      <c r="B589" s="77" t="s">
        <v>1170</v>
      </c>
      <c r="C589" s="77" t="s">
        <v>175</v>
      </c>
      <c r="D589" s="78">
        <v>18.100000000000001</v>
      </c>
      <c r="E589" s="272" t="s">
        <v>397</v>
      </c>
      <c r="F589" t="s">
        <v>26</v>
      </c>
    </row>
    <row r="590" spans="1:6">
      <c r="A590" s="258">
        <v>46126</v>
      </c>
      <c r="B590" s="242" t="s">
        <v>1198</v>
      </c>
      <c r="C590" s="248" t="s">
        <v>307</v>
      </c>
      <c r="D590" s="245">
        <v>499.8</v>
      </c>
      <c r="E590" s="272" t="s">
        <v>397</v>
      </c>
      <c r="F590" t="s">
        <v>26</v>
      </c>
    </row>
    <row r="591" spans="1:6">
      <c r="A591" s="258">
        <v>46126</v>
      </c>
      <c r="B591" s="242" t="s">
        <v>1170</v>
      </c>
      <c r="C591" s="248" t="s">
        <v>175</v>
      </c>
      <c r="D591" s="245">
        <v>5.43</v>
      </c>
      <c r="E591" s="272" t="s">
        <v>397</v>
      </c>
      <c r="F591" t="s">
        <v>26</v>
      </c>
    </row>
    <row r="592" spans="1:6">
      <c r="A592" s="258">
        <v>46126</v>
      </c>
      <c r="B592" s="77" t="s">
        <v>1199</v>
      </c>
      <c r="C592" s="248" t="s">
        <v>307</v>
      </c>
      <c r="D592" s="245">
        <v>151.69999999999999</v>
      </c>
      <c r="E592" s="272" t="s">
        <v>397</v>
      </c>
      <c r="F592" t="s">
        <v>26</v>
      </c>
    </row>
    <row r="593" spans="1:6">
      <c r="A593" s="258">
        <v>46127</v>
      </c>
      <c r="B593" s="77" t="s">
        <v>1073</v>
      </c>
      <c r="C593" s="248" t="s">
        <v>307</v>
      </c>
      <c r="D593" s="245">
        <v>436.24</v>
      </c>
      <c r="E593" s="272" t="s">
        <v>397</v>
      </c>
      <c r="F593" t="s">
        <v>26</v>
      </c>
    </row>
    <row r="594" spans="1:6">
      <c r="A594" s="258">
        <v>46127</v>
      </c>
      <c r="B594" s="242" t="s">
        <v>1187</v>
      </c>
      <c r="C594" s="248" t="s">
        <v>307</v>
      </c>
      <c r="D594" s="245">
        <v>187.5</v>
      </c>
      <c r="E594" s="272" t="s">
        <v>397</v>
      </c>
      <c r="F594" t="s">
        <v>26</v>
      </c>
    </row>
    <row r="595" spans="1:6">
      <c r="A595" s="258">
        <v>46127</v>
      </c>
      <c r="B595" s="242" t="s">
        <v>1189</v>
      </c>
      <c r="C595" s="248" t="s">
        <v>307</v>
      </c>
      <c r="D595" s="245">
        <v>399.84</v>
      </c>
      <c r="E595" s="272" t="s">
        <v>397</v>
      </c>
      <c r="F595" t="s">
        <v>26</v>
      </c>
    </row>
    <row r="596" spans="1:6">
      <c r="A596" s="258">
        <v>46127</v>
      </c>
      <c r="B596" s="242" t="s">
        <v>306</v>
      </c>
      <c r="C596" s="248" t="s">
        <v>307</v>
      </c>
      <c r="D596" s="245">
        <v>598</v>
      </c>
      <c r="E596" s="272" t="s">
        <v>397</v>
      </c>
      <c r="F596" t="s">
        <v>26</v>
      </c>
    </row>
    <row r="597" spans="1:6">
      <c r="A597" s="258">
        <v>46127</v>
      </c>
      <c r="B597" s="242" t="s">
        <v>1174</v>
      </c>
      <c r="C597" s="248" t="s">
        <v>307</v>
      </c>
      <c r="D597" s="245">
        <v>789.17</v>
      </c>
      <c r="E597" s="272" t="s">
        <v>397</v>
      </c>
      <c r="F597" t="s">
        <v>26</v>
      </c>
    </row>
    <row r="598" spans="1:6">
      <c r="A598" s="258">
        <v>46127</v>
      </c>
      <c r="B598" s="242" t="s">
        <v>1174</v>
      </c>
      <c r="C598" s="248" t="s">
        <v>307</v>
      </c>
      <c r="D598" s="245">
        <v>263.06</v>
      </c>
      <c r="E598" s="272" t="s">
        <v>397</v>
      </c>
      <c r="F598" t="s">
        <v>26</v>
      </c>
    </row>
    <row r="599" spans="1:6">
      <c r="A599" s="258">
        <v>46127</v>
      </c>
      <c r="B599" s="242" t="s">
        <v>1174</v>
      </c>
      <c r="C599" s="248" t="s">
        <v>307</v>
      </c>
      <c r="D599" s="245">
        <v>143.78</v>
      </c>
      <c r="E599" s="272" t="s">
        <v>397</v>
      </c>
      <c r="F599" t="s">
        <v>26</v>
      </c>
    </row>
    <row r="600" spans="1:6">
      <c r="A600" s="258">
        <v>46127</v>
      </c>
      <c r="B600" s="83" t="s">
        <v>318</v>
      </c>
      <c r="C600" s="248" t="s">
        <v>192</v>
      </c>
      <c r="D600" s="80">
        <v>612</v>
      </c>
      <c r="E600" s="272" t="s">
        <v>397</v>
      </c>
      <c r="F600" t="s">
        <v>26</v>
      </c>
    </row>
    <row r="601" spans="1:6">
      <c r="A601" s="258">
        <v>46127</v>
      </c>
      <c r="B601" s="242" t="s">
        <v>1170</v>
      </c>
      <c r="C601" s="248" t="s">
        <v>175</v>
      </c>
      <c r="D601" s="279">
        <v>9.0500000000000007</v>
      </c>
      <c r="E601" s="272" t="s">
        <v>397</v>
      </c>
      <c r="F601" t="s">
        <v>26</v>
      </c>
    </row>
    <row r="602" spans="1:6">
      <c r="A602" s="258">
        <v>46128</v>
      </c>
      <c r="B602" s="242" t="s">
        <v>1126</v>
      </c>
      <c r="C602" s="248" t="s">
        <v>307</v>
      </c>
      <c r="D602" s="279">
        <v>596.66</v>
      </c>
      <c r="E602" s="272" t="s">
        <v>397</v>
      </c>
      <c r="F602" t="s">
        <v>26</v>
      </c>
    </row>
    <row r="603" spans="1:6">
      <c r="A603" s="258">
        <v>46128</v>
      </c>
      <c r="B603" s="242" t="s">
        <v>1200</v>
      </c>
      <c r="C603" s="248" t="s">
        <v>307</v>
      </c>
      <c r="D603" s="279">
        <v>1495</v>
      </c>
      <c r="E603" s="272" t="s">
        <v>397</v>
      </c>
      <c r="F603" t="s">
        <v>26</v>
      </c>
    </row>
    <row r="604" spans="1:6">
      <c r="A604" s="258">
        <v>46128</v>
      </c>
      <c r="B604" s="242" t="s">
        <v>1156</v>
      </c>
      <c r="C604" s="248" t="s">
        <v>307</v>
      </c>
      <c r="D604" s="279">
        <v>874.84</v>
      </c>
      <c r="E604" s="272" t="s">
        <v>397</v>
      </c>
      <c r="F604" t="s">
        <v>26</v>
      </c>
    </row>
    <row r="605" spans="1:6">
      <c r="A605" s="258">
        <v>46128</v>
      </c>
      <c r="B605" s="242" t="s">
        <v>1156</v>
      </c>
      <c r="C605" s="248" t="s">
        <v>307</v>
      </c>
      <c r="D605" s="279">
        <v>271.48</v>
      </c>
      <c r="E605" s="272" t="s">
        <v>397</v>
      </c>
      <c r="F605" t="s">
        <v>26</v>
      </c>
    </row>
    <row r="606" spans="1:6">
      <c r="A606" s="258">
        <v>46128</v>
      </c>
      <c r="B606" s="242" t="s">
        <v>1163</v>
      </c>
      <c r="C606" s="248" t="s">
        <v>307</v>
      </c>
      <c r="D606" s="279">
        <v>800</v>
      </c>
      <c r="E606" s="272" t="s">
        <v>397</v>
      </c>
      <c r="F606" t="s">
        <v>26</v>
      </c>
    </row>
    <row r="607" spans="1:6">
      <c r="A607" s="258">
        <v>46128</v>
      </c>
      <c r="B607" s="242" t="s">
        <v>1175</v>
      </c>
      <c r="C607" s="248" t="s">
        <v>307</v>
      </c>
      <c r="D607" s="279">
        <v>920.68</v>
      </c>
      <c r="E607" s="272" t="s">
        <v>397</v>
      </c>
      <c r="F607" t="s">
        <v>26</v>
      </c>
    </row>
    <row r="608" spans="1:6">
      <c r="A608" s="258">
        <v>46128</v>
      </c>
      <c r="B608" s="242" t="s">
        <v>1201</v>
      </c>
      <c r="C608" s="248" t="s">
        <v>307</v>
      </c>
      <c r="D608" s="279">
        <v>348</v>
      </c>
      <c r="E608" s="272" t="s">
        <v>397</v>
      </c>
      <c r="F608" t="s">
        <v>26</v>
      </c>
    </row>
    <row r="609" spans="1:6">
      <c r="A609" s="258">
        <v>46128</v>
      </c>
      <c r="B609" s="242" t="s">
        <v>1129</v>
      </c>
      <c r="C609" s="248" t="s">
        <v>307</v>
      </c>
      <c r="D609" s="279">
        <v>259.7</v>
      </c>
      <c r="E609" s="272" t="s">
        <v>397</v>
      </c>
      <c r="F609" t="s">
        <v>26</v>
      </c>
    </row>
    <row r="610" spans="1:6">
      <c r="A610" s="258">
        <v>46128</v>
      </c>
      <c r="B610" s="242" t="s">
        <v>1202</v>
      </c>
      <c r="C610" s="248" t="s">
        <v>307</v>
      </c>
      <c r="D610" s="279">
        <v>1100</v>
      </c>
      <c r="E610" s="272" t="s">
        <v>397</v>
      </c>
      <c r="F610" t="s">
        <v>26</v>
      </c>
    </row>
    <row r="611" spans="1:6">
      <c r="A611" s="258">
        <v>46128</v>
      </c>
      <c r="B611" s="242" t="s">
        <v>1203</v>
      </c>
      <c r="C611" s="248" t="s">
        <v>307</v>
      </c>
      <c r="D611" s="279">
        <v>419.68</v>
      </c>
      <c r="E611" s="272" t="s">
        <v>397</v>
      </c>
      <c r="F611" t="s">
        <v>26</v>
      </c>
    </row>
    <row r="612" spans="1:6">
      <c r="A612" s="258">
        <v>46128</v>
      </c>
      <c r="B612" s="242" t="s">
        <v>1174</v>
      </c>
      <c r="C612" s="248" t="s">
        <v>307</v>
      </c>
      <c r="D612" s="279">
        <v>143.78</v>
      </c>
      <c r="E612" s="272" t="s">
        <v>397</v>
      </c>
      <c r="F612" t="s">
        <v>26</v>
      </c>
    </row>
    <row r="613" spans="1:6">
      <c r="A613" s="258">
        <v>46128</v>
      </c>
      <c r="B613" s="242" t="s">
        <v>1011</v>
      </c>
      <c r="C613" s="248" t="s">
        <v>307</v>
      </c>
      <c r="D613" s="279">
        <v>193.2</v>
      </c>
      <c r="E613" s="272" t="s">
        <v>397</v>
      </c>
      <c r="F613" t="s">
        <v>26</v>
      </c>
    </row>
    <row r="614" spans="1:6">
      <c r="A614" s="258">
        <v>46128</v>
      </c>
      <c r="B614" s="242" t="s">
        <v>352</v>
      </c>
      <c r="C614" s="248" t="s">
        <v>307</v>
      </c>
      <c r="D614" s="279">
        <v>168</v>
      </c>
      <c r="E614" s="272" t="s">
        <v>397</v>
      </c>
      <c r="F614" t="s">
        <v>26</v>
      </c>
    </row>
    <row r="615" spans="1:6">
      <c r="A615" s="258">
        <v>46128</v>
      </c>
      <c r="B615" s="242" t="s">
        <v>1170</v>
      </c>
      <c r="C615" s="248" t="s">
        <v>175</v>
      </c>
      <c r="D615" s="279">
        <v>7.24</v>
      </c>
      <c r="E615" s="272" t="s">
        <v>397</v>
      </c>
      <c r="F615" t="s">
        <v>26</v>
      </c>
    </row>
    <row r="616" spans="1:6">
      <c r="A616" s="258">
        <v>46128</v>
      </c>
      <c r="B616" s="242" t="s">
        <v>1073</v>
      </c>
      <c r="C616" s="248" t="s">
        <v>307</v>
      </c>
      <c r="D616" s="279">
        <v>673.57</v>
      </c>
      <c r="E616" s="272" t="s">
        <v>397</v>
      </c>
      <c r="F616" t="s">
        <v>26</v>
      </c>
    </row>
    <row r="617" spans="1:6">
      <c r="A617" s="258">
        <v>46128</v>
      </c>
      <c r="B617" s="242" t="s">
        <v>1194</v>
      </c>
      <c r="C617" s="248" t="s">
        <v>307</v>
      </c>
      <c r="D617" s="279">
        <v>1312.5</v>
      </c>
      <c r="E617" s="272" t="s">
        <v>397</v>
      </c>
      <c r="F617" t="s">
        <v>26</v>
      </c>
    </row>
    <row r="618" spans="1:6">
      <c r="A618" s="258">
        <v>46128</v>
      </c>
      <c r="B618" s="242" t="s">
        <v>1011</v>
      </c>
      <c r="C618" s="248" t="s">
        <v>307</v>
      </c>
      <c r="D618" s="279">
        <v>609.6</v>
      </c>
      <c r="E618" s="272" t="s">
        <v>397</v>
      </c>
      <c r="F618" t="s">
        <v>26</v>
      </c>
    </row>
    <row r="619" spans="1:6">
      <c r="A619" s="258">
        <v>46128</v>
      </c>
      <c r="B619" s="242" t="s">
        <v>306</v>
      </c>
      <c r="C619" s="248" t="s">
        <v>307</v>
      </c>
      <c r="D619" s="279">
        <v>683.6</v>
      </c>
      <c r="E619" s="272" t="s">
        <v>397</v>
      </c>
      <c r="F619" t="s">
        <v>26</v>
      </c>
    </row>
    <row r="620" spans="1:6">
      <c r="A620" s="258">
        <v>46128</v>
      </c>
      <c r="B620" s="242" t="s">
        <v>1197</v>
      </c>
      <c r="C620" s="248" t="s">
        <v>307</v>
      </c>
      <c r="D620" s="279">
        <v>507</v>
      </c>
      <c r="E620" s="272" t="s">
        <v>397</v>
      </c>
      <c r="F620" t="s">
        <v>26</v>
      </c>
    </row>
    <row r="621" spans="1:6">
      <c r="A621" s="258">
        <v>46128</v>
      </c>
      <c r="B621" s="242" t="s">
        <v>1204</v>
      </c>
      <c r="C621" s="248" t="s">
        <v>307</v>
      </c>
      <c r="D621" s="279">
        <v>385</v>
      </c>
      <c r="E621" s="272" t="s">
        <v>397</v>
      </c>
      <c r="F621" t="s">
        <v>26</v>
      </c>
    </row>
    <row r="622" spans="1:6">
      <c r="A622" s="258">
        <v>46128</v>
      </c>
      <c r="B622" s="242" t="s">
        <v>1205</v>
      </c>
      <c r="C622" s="248" t="s">
        <v>307</v>
      </c>
      <c r="D622" s="279">
        <v>1708.05</v>
      </c>
      <c r="E622" s="272" t="s">
        <v>397</v>
      </c>
      <c r="F622" t="s">
        <v>26</v>
      </c>
    </row>
    <row r="623" spans="1:6">
      <c r="A623" s="280">
        <v>46129</v>
      </c>
      <c r="B623" s="281" t="s">
        <v>1170</v>
      </c>
      <c r="C623" s="427" t="s">
        <v>175</v>
      </c>
      <c r="D623" s="282">
        <v>14.48</v>
      </c>
      <c r="E623" s="272" t="s">
        <v>397</v>
      </c>
      <c r="F623" t="s">
        <v>26</v>
      </c>
    </row>
    <row r="624" spans="1:6">
      <c r="A624" s="280">
        <v>46132</v>
      </c>
      <c r="B624" s="281" t="s">
        <v>1170</v>
      </c>
      <c r="C624" s="427" t="s">
        <v>175</v>
      </c>
      <c r="D624" s="282">
        <v>20</v>
      </c>
      <c r="E624" s="272" t="s">
        <v>397</v>
      </c>
      <c r="F624" t="s">
        <v>26</v>
      </c>
    </row>
    <row r="625" spans="1:6">
      <c r="A625" s="280">
        <v>46132</v>
      </c>
      <c r="B625" s="281" t="s">
        <v>320</v>
      </c>
      <c r="C625" s="427" t="s">
        <v>313</v>
      </c>
      <c r="D625" s="282">
        <v>20749.05</v>
      </c>
      <c r="E625" s="272" t="s">
        <v>397</v>
      </c>
      <c r="F625" t="s">
        <v>26</v>
      </c>
    </row>
    <row r="626" spans="1:6">
      <c r="A626" s="280">
        <v>46132</v>
      </c>
      <c r="B626" s="281" t="s">
        <v>1206</v>
      </c>
      <c r="C626" s="427" t="s">
        <v>188</v>
      </c>
      <c r="D626" s="282">
        <v>855.2</v>
      </c>
      <c r="E626" s="272" t="s">
        <v>397</v>
      </c>
      <c r="F626" t="s">
        <v>26</v>
      </c>
    </row>
    <row r="627" spans="1:6">
      <c r="A627" s="280">
        <v>46132</v>
      </c>
      <c r="B627" s="281" t="s">
        <v>1207</v>
      </c>
      <c r="C627" s="427" t="s">
        <v>188</v>
      </c>
      <c r="D627" s="282">
        <v>720</v>
      </c>
      <c r="E627" s="272" t="s">
        <v>397</v>
      </c>
      <c r="F627" t="s">
        <v>26</v>
      </c>
    </row>
    <row r="628" spans="1:6">
      <c r="A628" s="280">
        <v>46132</v>
      </c>
      <c r="B628" s="281" t="s">
        <v>1053</v>
      </c>
      <c r="C628" s="427" t="s">
        <v>188</v>
      </c>
      <c r="D628" s="282">
        <v>573.26</v>
      </c>
      <c r="E628" s="272" t="s">
        <v>397</v>
      </c>
      <c r="F628" t="s">
        <v>26</v>
      </c>
    </row>
    <row r="629" spans="1:6">
      <c r="A629" s="280">
        <v>46132</v>
      </c>
      <c r="B629" s="283" t="s">
        <v>1055</v>
      </c>
      <c r="C629" s="427" t="s">
        <v>313</v>
      </c>
      <c r="D629" s="284">
        <v>1067.8399999999999</v>
      </c>
      <c r="E629" s="272" t="s">
        <v>397</v>
      </c>
      <c r="F629" t="s">
        <v>26</v>
      </c>
    </row>
    <row r="630" spans="1:6">
      <c r="A630" s="280">
        <v>46132</v>
      </c>
      <c r="B630" s="283" t="s">
        <v>1072</v>
      </c>
      <c r="C630" s="427" t="s">
        <v>307</v>
      </c>
      <c r="D630" s="284">
        <v>386.5</v>
      </c>
      <c r="E630" s="272" t="s">
        <v>397</v>
      </c>
      <c r="F630" t="s">
        <v>26</v>
      </c>
    </row>
    <row r="631" spans="1:6">
      <c r="A631" s="280">
        <v>46132</v>
      </c>
      <c r="B631" s="283" t="s">
        <v>1072</v>
      </c>
      <c r="C631" s="427" t="s">
        <v>307</v>
      </c>
      <c r="D631" s="284">
        <v>1356.82</v>
      </c>
      <c r="E631" s="272" t="s">
        <v>397</v>
      </c>
      <c r="F631" t="s">
        <v>26</v>
      </c>
    </row>
    <row r="632" spans="1:6">
      <c r="A632" s="280">
        <v>46132</v>
      </c>
      <c r="B632" s="283" t="s">
        <v>1129</v>
      </c>
      <c r="C632" s="427" t="s">
        <v>307</v>
      </c>
      <c r="D632" s="284">
        <v>280.89999999999998</v>
      </c>
      <c r="E632" s="272" t="s">
        <v>397</v>
      </c>
      <c r="F632" t="s">
        <v>26</v>
      </c>
    </row>
    <row r="633" spans="1:6">
      <c r="A633" s="280">
        <v>46132</v>
      </c>
      <c r="B633" s="283" t="s">
        <v>1174</v>
      </c>
      <c r="C633" s="427" t="s">
        <v>307</v>
      </c>
      <c r="D633" s="284">
        <v>218.33</v>
      </c>
      <c r="E633" s="272" t="s">
        <v>397</v>
      </c>
      <c r="F633" t="s">
        <v>26</v>
      </c>
    </row>
    <row r="634" spans="1:6">
      <c r="A634" s="280">
        <v>46132</v>
      </c>
      <c r="B634" s="283" t="s">
        <v>1073</v>
      </c>
      <c r="C634" s="427" t="s">
        <v>307</v>
      </c>
      <c r="D634" s="284">
        <v>3773.29</v>
      </c>
      <c r="E634" s="272" t="s">
        <v>397</v>
      </c>
      <c r="F634" t="s">
        <v>26</v>
      </c>
    </row>
    <row r="635" spans="1:6">
      <c r="A635" s="280">
        <v>46132</v>
      </c>
      <c r="B635" s="283" t="s">
        <v>1070</v>
      </c>
      <c r="C635" s="427" t="s">
        <v>307</v>
      </c>
      <c r="D635" s="284">
        <v>342</v>
      </c>
      <c r="E635" s="272" t="s">
        <v>397</v>
      </c>
      <c r="F635" t="s">
        <v>26</v>
      </c>
    </row>
    <row r="636" spans="1:6">
      <c r="A636" s="280">
        <v>46132</v>
      </c>
      <c r="B636" s="283" t="s">
        <v>1057</v>
      </c>
      <c r="C636" s="427" t="s">
        <v>196</v>
      </c>
      <c r="D636" s="284">
        <v>473.47</v>
      </c>
      <c r="E636" s="272" t="s">
        <v>397</v>
      </c>
      <c r="F636" t="s">
        <v>26</v>
      </c>
    </row>
    <row r="637" spans="1:6">
      <c r="A637" s="280">
        <v>46132</v>
      </c>
      <c r="B637" s="283" t="s">
        <v>1057</v>
      </c>
      <c r="C637" s="427" t="s">
        <v>196</v>
      </c>
      <c r="D637" s="284">
        <v>496.24</v>
      </c>
      <c r="E637" s="272" t="s">
        <v>397</v>
      </c>
      <c r="F637" t="s">
        <v>26</v>
      </c>
    </row>
    <row r="638" spans="1:6">
      <c r="A638" s="280">
        <v>46134</v>
      </c>
      <c r="B638" s="83" t="s">
        <v>1163</v>
      </c>
      <c r="C638" s="248" t="s">
        <v>307</v>
      </c>
      <c r="D638" s="80">
        <v>415.53</v>
      </c>
      <c r="E638" s="272" t="s">
        <v>397</v>
      </c>
      <c r="F638" t="s">
        <v>26</v>
      </c>
    </row>
    <row r="639" spans="1:6">
      <c r="A639" s="280">
        <v>46134</v>
      </c>
      <c r="B639" s="81" t="s">
        <v>1161</v>
      </c>
      <c r="C639" s="248" t="s">
        <v>307</v>
      </c>
      <c r="D639" s="82">
        <v>540</v>
      </c>
      <c r="E639" s="272" t="s">
        <v>397</v>
      </c>
      <c r="F639" t="s">
        <v>26</v>
      </c>
    </row>
    <row r="640" spans="1:6">
      <c r="A640" s="280">
        <v>46134</v>
      </c>
      <c r="B640" s="83" t="s">
        <v>1185</v>
      </c>
      <c r="C640" s="248" t="s">
        <v>307</v>
      </c>
      <c r="D640" s="78">
        <v>1725</v>
      </c>
      <c r="E640" s="272" t="s">
        <v>397</v>
      </c>
      <c r="F640" t="s">
        <v>26</v>
      </c>
    </row>
    <row r="641" spans="1:6">
      <c r="A641" s="280">
        <v>46134</v>
      </c>
      <c r="B641" s="81" t="s">
        <v>1052</v>
      </c>
      <c r="C641" s="248" t="s">
        <v>307</v>
      </c>
      <c r="D641" s="78">
        <v>2274.77</v>
      </c>
      <c r="E641" s="272" t="s">
        <v>397</v>
      </c>
      <c r="F641" t="s">
        <v>26</v>
      </c>
    </row>
    <row r="642" spans="1:6">
      <c r="A642" s="280">
        <v>46134</v>
      </c>
      <c r="B642" s="83" t="s">
        <v>1175</v>
      </c>
      <c r="C642" s="248" t="s">
        <v>307</v>
      </c>
      <c r="D642" s="80">
        <v>613.78</v>
      </c>
      <c r="E642" s="272" t="s">
        <v>397</v>
      </c>
      <c r="F642" t="s">
        <v>26</v>
      </c>
    </row>
    <row r="643" spans="1:6">
      <c r="A643" s="280">
        <v>46134</v>
      </c>
      <c r="B643" s="83" t="s">
        <v>1208</v>
      </c>
      <c r="C643" s="248" t="s">
        <v>307</v>
      </c>
      <c r="D643" s="80">
        <v>967.5</v>
      </c>
      <c r="E643" s="272" t="s">
        <v>397</v>
      </c>
      <c r="F643" t="s">
        <v>26</v>
      </c>
    </row>
    <row r="644" spans="1:6">
      <c r="A644" s="280">
        <v>46134</v>
      </c>
      <c r="B644" s="83" t="s">
        <v>1163</v>
      </c>
      <c r="C644" s="248" t="s">
        <v>307</v>
      </c>
      <c r="D644" s="80">
        <v>377.05</v>
      </c>
      <c r="E644" s="272" t="s">
        <v>397</v>
      </c>
      <c r="F644" t="s">
        <v>26</v>
      </c>
    </row>
    <row r="645" spans="1:6">
      <c r="A645" s="280">
        <v>46134</v>
      </c>
      <c r="B645" s="83" t="s">
        <v>1209</v>
      </c>
      <c r="C645" s="248" t="s">
        <v>307</v>
      </c>
      <c r="D645" s="80">
        <v>2914.99</v>
      </c>
      <c r="E645" s="272" t="s">
        <v>397</v>
      </c>
      <c r="F645" t="s">
        <v>26</v>
      </c>
    </row>
    <row r="646" spans="1:6">
      <c r="A646" s="280">
        <v>46134</v>
      </c>
      <c r="B646" s="81" t="s">
        <v>655</v>
      </c>
      <c r="C646" s="248" t="s">
        <v>307</v>
      </c>
      <c r="D646" s="82">
        <v>512.25</v>
      </c>
      <c r="E646" s="272" t="s">
        <v>397</v>
      </c>
      <c r="F646" t="s">
        <v>26</v>
      </c>
    </row>
    <row r="647" spans="1:6">
      <c r="A647" s="280">
        <v>46134</v>
      </c>
      <c r="B647" s="83" t="s">
        <v>1052</v>
      </c>
      <c r="C647" s="248" t="s">
        <v>307</v>
      </c>
      <c r="D647" s="80">
        <v>3800.77</v>
      </c>
      <c r="E647" s="272" t="s">
        <v>397</v>
      </c>
      <c r="F647" t="s">
        <v>26</v>
      </c>
    </row>
    <row r="648" spans="1:6">
      <c r="A648" s="280">
        <v>46134</v>
      </c>
      <c r="B648" s="81" t="s">
        <v>1052</v>
      </c>
      <c r="C648" s="248" t="s">
        <v>307</v>
      </c>
      <c r="D648" s="82">
        <v>456.91</v>
      </c>
      <c r="E648" s="272" t="s">
        <v>397</v>
      </c>
      <c r="F648" t="s">
        <v>26</v>
      </c>
    </row>
    <row r="649" spans="1:6">
      <c r="A649" s="280">
        <v>46134</v>
      </c>
      <c r="B649" s="77" t="s">
        <v>306</v>
      </c>
      <c r="C649" s="248" t="s">
        <v>307</v>
      </c>
      <c r="D649" s="78">
        <v>470</v>
      </c>
      <c r="E649" s="272" t="s">
        <v>397</v>
      </c>
      <c r="F649" t="s">
        <v>26</v>
      </c>
    </row>
    <row r="650" spans="1:6">
      <c r="A650" s="280">
        <v>46134</v>
      </c>
      <c r="B650" s="77" t="s">
        <v>1187</v>
      </c>
      <c r="C650" s="248" t="s">
        <v>307</v>
      </c>
      <c r="D650" s="78">
        <v>197.5</v>
      </c>
      <c r="E650" s="272" t="s">
        <v>397</v>
      </c>
      <c r="F650" t="s">
        <v>26</v>
      </c>
    </row>
    <row r="651" spans="1:6">
      <c r="A651" s="280">
        <v>46134</v>
      </c>
      <c r="B651" s="77" t="s">
        <v>1170</v>
      </c>
      <c r="C651" s="248" t="s">
        <v>175</v>
      </c>
      <c r="D651" s="78">
        <v>12.67</v>
      </c>
      <c r="E651" s="272" t="s">
        <v>397</v>
      </c>
      <c r="F651" t="s">
        <v>26</v>
      </c>
    </row>
    <row r="652" spans="1:6">
      <c r="A652" s="280">
        <v>46134</v>
      </c>
      <c r="B652" s="77" t="s">
        <v>323</v>
      </c>
      <c r="C652" s="77" t="s">
        <v>178</v>
      </c>
      <c r="D652" s="78">
        <v>3508.61</v>
      </c>
      <c r="E652" s="272" t="s">
        <v>397</v>
      </c>
      <c r="F652" t="s">
        <v>26</v>
      </c>
    </row>
    <row r="653" spans="1:6">
      <c r="A653" s="280">
        <v>46135</v>
      </c>
      <c r="B653" s="77" t="s">
        <v>1170</v>
      </c>
      <c r="C653" s="248" t="s">
        <v>175</v>
      </c>
      <c r="D653" s="78">
        <v>9.0500000000000007</v>
      </c>
      <c r="E653" s="272" t="s">
        <v>397</v>
      </c>
      <c r="F653" t="s">
        <v>26</v>
      </c>
    </row>
    <row r="654" spans="1:6" ht="30">
      <c r="A654" s="280">
        <v>46135</v>
      </c>
      <c r="B654" s="77" t="s">
        <v>302</v>
      </c>
      <c r="C654" s="432" t="s">
        <v>1159</v>
      </c>
      <c r="D654" s="78">
        <v>2566.2800000000002</v>
      </c>
      <c r="E654" s="272" t="s">
        <v>397</v>
      </c>
      <c r="F654" t="s">
        <v>26</v>
      </c>
    </row>
    <row r="655" spans="1:6">
      <c r="A655" s="280">
        <v>46135</v>
      </c>
      <c r="B655" s="77" t="s">
        <v>1126</v>
      </c>
      <c r="C655" s="77" t="s">
        <v>307</v>
      </c>
      <c r="D655" s="78">
        <v>581.54999999999995</v>
      </c>
      <c r="E655" s="272" t="s">
        <v>397</v>
      </c>
      <c r="F655" t="s">
        <v>26</v>
      </c>
    </row>
    <row r="656" spans="1:6">
      <c r="A656" s="280">
        <v>46135</v>
      </c>
      <c r="B656" s="77" t="s">
        <v>1210</v>
      </c>
      <c r="C656" s="77" t="s">
        <v>307</v>
      </c>
      <c r="D656" s="78">
        <v>351</v>
      </c>
      <c r="E656" s="272" t="s">
        <v>397</v>
      </c>
      <c r="F656" t="s">
        <v>26</v>
      </c>
    </row>
    <row r="657" spans="1:6">
      <c r="A657" s="280">
        <v>46135</v>
      </c>
      <c r="B657" s="77" t="s">
        <v>1166</v>
      </c>
      <c r="C657" s="77" t="s">
        <v>307</v>
      </c>
      <c r="D657" s="78">
        <v>647.92999999999995</v>
      </c>
      <c r="E657" s="272" t="s">
        <v>397</v>
      </c>
      <c r="F657" t="s">
        <v>26</v>
      </c>
    </row>
    <row r="658" spans="1:6">
      <c r="A658" s="280">
        <v>46135</v>
      </c>
      <c r="B658" s="248" t="s">
        <v>1156</v>
      </c>
      <c r="C658" s="77" t="s">
        <v>307</v>
      </c>
      <c r="D658" s="78">
        <v>166</v>
      </c>
      <c r="E658" s="272" t="s">
        <v>397</v>
      </c>
      <c r="F658" t="s">
        <v>26</v>
      </c>
    </row>
    <row r="659" spans="1:6">
      <c r="A659" s="280">
        <v>46135</v>
      </c>
      <c r="B659" s="77" t="s">
        <v>1073</v>
      </c>
      <c r="C659" s="77" t="s">
        <v>307</v>
      </c>
      <c r="D659" s="78">
        <v>638.24</v>
      </c>
      <c r="E659" s="272" t="s">
        <v>397</v>
      </c>
      <c r="F659" t="s">
        <v>26</v>
      </c>
    </row>
    <row r="660" spans="1:6">
      <c r="A660" s="280">
        <v>46135</v>
      </c>
      <c r="B660" s="77" t="s">
        <v>1211</v>
      </c>
      <c r="C660" s="77" t="s">
        <v>307</v>
      </c>
      <c r="D660" s="78">
        <v>345.06</v>
      </c>
      <c r="E660" s="272" t="s">
        <v>397</v>
      </c>
      <c r="F660" t="s">
        <v>26</v>
      </c>
    </row>
    <row r="661" spans="1:6">
      <c r="A661" s="280">
        <v>46135</v>
      </c>
      <c r="B661" s="77" t="s">
        <v>1169</v>
      </c>
      <c r="C661" s="77" t="s">
        <v>307</v>
      </c>
      <c r="D661" s="78">
        <v>344.5</v>
      </c>
      <c r="E661" s="272" t="s">
        <v>397</v>
      </c>
      <c r="F661" t="s">
        <v>26</v>
      </c>
    </row>
    <row r="662" spans="1:6">
      <c r="A662" s="280">
        <v>46135</v>
      </c>
      <c r="B662" s="77" t="s">
        <v>1212</v>
      </c>
      <c r="C662" s="77" t="s">
        <v>307</v>
      </c>
      <c r="D662" s="78">
        <v>127</v>
      </c>
      <c r="E662" s="272" t="s">
        <v>397</v>
      </c>
      <c r="F662" t="s">
        <v>26</v>
      </c>
    </row>
    <row r="663" spans="1:6">
      <c r="A663" s="280">
        <v>46135</v>
      </c>
      <c r="B663" s="258" t="s">
        <v>1087</v>
      </c>
      <c r="C663" s="77" t="s">
        <v>307</v>
      </c>
      <c r="D663" s="78">
        <v>1116.29</v>
      </c>
      <c r="E663" s="272" t="s">
        <v>397</v>
      </c>
      <c r="F663" t="s">
        <v>26</v>
      </c>
    </row>
    <row r="664" spans="1:6">
      <c r="A664" s="280">
        <v>46135</v>
      </c>
      <c r="B664" s="258" t="s">
        <v>1129</v>
      </c>
      <c r="C664" s="77" t="s">
        <v>307</v>
      </c>
      <c r="D664" s="78">
        <v>621.6</v>
      </c>
      <c r="E664" s="272" t="s">
        <v>397</v>
      </c>
      <c r="F664" t="s">
        <v>26</v>
      </c>
    </row>
    <row r="665" spans="1:6">
      <c r="A665" s="280">
        <v>46135</v>
      </c>
      <c r="B665" s="77" t="s">
        <v>1011</v>
      </c>
      <c r="C665" s="77" t="s">
        <v>307</v>
      </c>
      <c r="D665" s="78">
        <v>298.87</v>
      </c>
      <c r="E665" s="272" t="s">
        <v>397</v>
      </c>
      <c r="F665" t="s">
        <v>26</v>
      </c>
    </row>
    <row r="666" spans="1:6">
      <c r="A666" s="280">
        <v>46136</v>
      </c>
      <c r="B666" s="77" t="s">
        <v>1213</v>
      </c>
      <c r="C666" s="77" t="s">
        <v>307</v>
      </c>
      <c r="D666" s="78">
        <v>1324</v>
      </c>
      <c r="E666" s="272" t="s">
        <v>397</v>
      </c>
      <c r="F666" t="s">
        <v>26</v>
      </c>
    </row>
    <row r="667" spans="1:6">
      <c r="A667" s="280">
        <v>46136</v>
      </c>
      <c r="B667" s="77" t="s">
        <v>1156</v>
      </c>
      <c r="C667" s="77" t="s">
        <v>307</v>
      </c>
      <c r="D667" s="78">
        <v>1436.16</v>
      </c>
      <c r="E667" s="272" t="s">
        <v>397</v>
      </c>
      <c r="F667" t="s">
        <v>26</v>
      </c>
    </row>
    <row r="668" spans="1:6">
      <c r="A668" s="280">
        <v>46136</v>
      </c>
      <c r="B668" s="77" t="s">
        <v>1073</v>
      </c>
      <c r="C668" s="77" t="s">
        <v>307</v>
      </c>
      <c r="D668" s="78">
        <v>1225.6500000000001</v>
      </c>
      <c r="E668" s="272" t="s">
        <v>397</v>
      </c>
      <c r="F668" t="s">
        <v>26</v>
      </c>
    </row>
    <row r="669" spans="1:6">
      <c r="A669" s="280">
        <v>46136</v>
      </c>
      <c r="B669" s="77" t="s">
        <v>1073</v>
      </c>
      <c r="C669" s="77" t="s">
        <v>307</v>
      </c>
      <c r="D669" s="78">
        <v>573.79999999999995</v>
      </c>
      <c r="E669" s="272" t="s">
        <v>397</v>
      </c>
      <c r="F669" t="s">
        <v>26</v>
      </c>
    </row>
    <row r="670" spans="1:6">
      <c r="A670" s="280">
        <v>46136</v>
      </c>
      <c r="B670" s="77" t="s">
        <v>1129</v>
      </c>
      <c r="C670" s="77" t="s">
        <v>307</v>
      </c>
      <c r="D670" s="78">
        <v>778.04</v>
      </c>
      <c r="E670" s="272" t="s">
        <v>397</v>
      </c>
      <c r="F670" t="s">
        <v>26</v>
      </c>
    </row>
    <row r="671" spans="1:6">
      <c r="A671" s="280">
        <v>46136</v>
      </c>
      <c r="B671" s="77" t="s">
        <v>306</v>
      </c>
      <c r="C671" s="77" t="s">
        <v>307</v>
      </c>
      <c r="D671" s="78">
        <v>858</v>
      </c>
      <c r="E671" s="272" t="s">
        <v>397</v>
      </c>
      <c r="F671" t="s">
        <v>26</v>
      </c>
    </row>
    <row r="672" spans="1:6">
      <c r="A672" s="280">
        <v>46136</v>
      </c>
      <c r="B672" s="248" t="s">
        <v>1170</v>
      </c>
      <c r="C672" s="77" t="s">
        <v>175</v>
      </c>
      <c r="D672" s="285">
        <v>7.24</v>
      </c>
      <c r="E672" s="272" t="s">
        <v>397</v>
      </c>
      <c r="F672" t="s">
        <v>26</v>
      </c>
    </row>
    <row r="673" spans="1:6">
      <c r="A673" s="258">
        <v>46139</v>
      </c>
      <c r="B673" s="263" t="s">
        <v>1061</v>
      </c>
      <c r="C673" s="428" t="s">
        <v>192</v>
      </c>
      <c r="D673" s="245">
        <v>545.15</v>
      </c>
      <c r="E673" s="272" t="s">
        <v>397</v>
      </c>
      <c r="F673" t="s">
        <v>26</v>
      </c>
    </row>
    <row r="674" spans="1:6">
      <c r="A674" s="258">
        <v>46139</v>
      </c>
      <c r="B674" s="265" t="s">
        <v>1073</v>
      </c>
      <c r="C674" s="429" t="s">
        <v>307</v>
      </c>
      <c r="D674" s="245">
        <v>1028.05</v>
      </c>
      <c r="E674" s="272" t="s">
        <v>397</v>
      </c>
      <c r="F674" t="s">
        <v>26</v>
      </c>
    </row>
    <row r="675" spans="1:6">
      <c r="A675" s="258">
        <v>46139</v>
      </c>
      <c r="B675" s="242" t="s">
        <v>1073</v>
      </c>
      <c r="C675" s="429" t="s">
        <v>307</v>
      </c>
      <c r="D675" s="245">
        <v>496.89</v>
      </c>
      <c r="E675" s="272" t="s">
        <v>397</v>
      </c>
      <c r="F675" t="s">
        <v>26</v>
      </c>
    </row>
    <row r="676" spans="1:6">
      <c r="A676" s="258">
        <v>46139</v>
      </c>
      <c r="B676" s="242" t="s">
        <v>1073</v>
      </c>
      <c r="C676" s="429" t="s">
        <v>307</v>
      </c>
      <c r="D676" s="245">
        <v>528.44000000000005</v>
      </c>
      <c r="E676" s="272" t="s">
        <v>397</v>
      </c>
      <c r="F676" t="s">
        <v>26</v>
      </c>
    </row>
    <row r="677" spans="1:6">
      <c r="A677" s="258">
        <v>46139</v>
      </c>
      <c r="B677" s="263" t="s">
        <v>306</v>
      </c>
      <c r="C677" s="429" t="s">
        <v>307</v>
      </c>
      <c r="D677" s="245">
        <v>779.27</v>
      </c>
      <c r="E677" s="272" t="s">
        <v>397</v>
      </c>
      <c r="F677" t="s">
        <v>26</v>
      </c>
    </row>
    <row r="678" spans="1:6">
      <c r="A678" s="258">
        <v>46139</v>
      </c>
      <c r="B678" s="263" t="s">
        <v>306</v>
      </c>
      <c r="C678" s="429" t="s">
        <v>307</v>
      </c>
      <c r="D678" s="245">
        <v>772.73</v>
      </c>
      <c r="E678" s="272" t="s">
        <v>397</v>
      </c>
      <c r="F678" t="s">
        <v>26</v>
      </c>
    </row>
    <row r="679" spans="1:6">
      <c r="A679" s="258">
        <v>46139</v>
      </c>
      <c r="B679" s="263" t="s">
        <v>306</v>
      </c>
      <c r="C679" s="429" t="s">
        <v>307</v>
      </c>
      <c r="D679" s="245">
        <v>904.43</v>
      </c>
      <c r="E679" s="272" t="s">
        <v>397</v>
      </c>
      <c r="F679" t="s">
        <v>26</v>
      </c>
    </row>
    <row r="680" spans="1:6">
      <c r="A680" s="258">
        <v>46139</v>
      </c>
      <c r="B680" s="263" t="s">
        <v>1214</v>
      </c>
      <c r="C680" s="429" t="s">
        <v>307</v>
      </c>
      <c r="D680" s="245">
        <v>360</v>
      </c>
      <c r="E680" s="272" t="s">
        <v>397</v>
      </c>
      <c r="F680" t="s">
        <v>26</v>
      </c>
    </row>
    <row r="681" spans="1:6">
      <c r="A681" s="258">
        <v>46139</v>
      </c>
      <c r="B681" s="242" t="s">
        <v>1074</v>
      </c>
      <c r="C681" s="429" t="s">
        <v>307</v>
      </c>
      <c r="D681" s="245">
        <v>490</v>
      </c>
      <c r="E681" s="272" t="s">
        <v>397</v>
      </c>
      <c r="F681" t="s">
        <v>26</v>
      </c>
    </row>
    <row r="682" spans="1:6">
      <c r="A682" s="258">
        <v>46139</v>
      </c>
      <c r="B682" s="263" t="s">
        <v>1072</v>
      </c>
      <c r="C682" s="429" t="s">
        <v>307</v>
      </c>
      <c r="D682" s="245">
        <v>422.52</v>
      </c>
      <c r="E682" s="272" t="s">
        <v>397</v>
      </c>
      <c r="F682" t="s">
        <v>26</v>
      </c>
    </row>
    <row r="683" spans="1:6">
      <c r="A683" s="258">
        <v>46139</v>
      </c>
      <c r="B683" s="198" t="s">
        <v>1215</v>
      </c>
      <c r="C683" s="429" t="s">
        <v>307</v>
      </c>
      <c r="D683" s="245">
        <v>1372.02</v>
      </c>
      <c r="E683" s="272" t="s">
        <v>397</v>
      </c>
      <c r="F683" t="s">
        <v>26</v>
      </c>
    </row>
    <row r="684" spans="1:6">
      <c r="A684" s="258">
        <v>46139</v>
      </c>
      <c r="B684" s="263" t="s">
        <v>1163</v>
      </c>
      <c r="C684" s="429" t="s">
        <v>307</v>
      </c>
      <c r="D684" s="245">
        <v>463.05</v>
      </c>
      <c r="E684" s="272" t="s">
        <v>397</v>
      </c>
      <c r="F684" t="s">
        <v>26</v>
      </c>
    </row>
    <row r="685" spans="1:6">
      <c r="A685" s="258">
        <v>46139</v>
      </c>
      <c r="B685" s="198" t="s">
        <v>1204</v>
      </c>
      <c r="C685" s="429" t="s">
        <v>307</v>
      </c>
      <c r="D685" s="245">
        <v>770</v>
      </c>
      <c r="E685" s="272" t="s">
        <v>397</v>
      </c>
      <c r="F685" t="s">
        <v>26</v>
      </c>
    </row>
    <row r="686" spans="1:6">
      <c r="A686" s="258">
        <v>46139</v>
      </c>
      <c r="B686" s="263" t="s">
        <v>1216</v>
      </c>
      <c r="C686" s="428" t="s">
        <v>192</v>
      </c>
      <c r="D686" s="245">
        <v>4200</v>
      </c>
      <c r="E686" s="272" t="s">
        <v>397</v>
      </c>
      <c r="F686" t="s">
        <v>26</v>
      </c>
    </row>
    <row r="687" spans="1:6">
      <c r="A687" s="258">
        <v>46139</v>
      </c>
      <c r="B687" s="198" t="s">
        <v>329</v>
      </c>
      <c r="C687" s="430" t="s">
        <v>197</v>
      </c>
      <c r="D687" s="245">
        <v>150</v>
      </c>
      <c r="E687" s="272" t="s">
        <v>397</v>
      </c>
      <c r="F687" t="s">
        <v>26</v>
      </c>
    </row>
    <row r="688" spans="1:6">
      <c r="A688" s="258">
        <v>46139</v>
      </c>
      <c r="B688" s="263" t="s">
        <v>1070</v>
      </c>
      <c r="C688" s="428" t="s">
        <v>307</v>
      </c>
      <c r="D688" s="245">
        <v>10.5</v>
      </c>
      <c r="E688" s="272" t="s">
        <v>397</v>
      </c>
      <c r="F688" t="s">
        <v>26</v>
      </c>
    </row>
    <row r="689" spans="1:6">
      <c r="A689" s="258">
        <v>46139</v>
      </c>
      <c r="B689" s="198" t="s">
        <v>921</v>
      </c>
      <c r="C689" s="430" t="s">
        <v>188</v>
      </c>
      <c r="D689" s="245">
        <v>50</v>
      </c>
      <c r="E689" s="272" t="s">
        <v>397</v>
      </c>
      <c r="F689" t="s">
        <v>26</v>
      </c>
    </row>
    <row r="690" spans="1:6">
      <c r="A690" s="258">
        <v>46139</v>
      </c>
      <c r="B690" s="263" t="s">
        <v>1037</v>
      </c>
      <c r="C690" s="430" t="s">
        <v>188</v>
      </c>
      <c r="D690" s="245">
        <v>50</v>
      </c>
      <c r="E690" s="272" t="s">
        <v>397</v>
      </c>
      <c r="F690" t="s">
        <v>26</v>
      </c>
    </row>
    <row r="691" spans="1:6">
      <c r="A691" s="273">
        <v>46139</v>
      </c>
      <c r="B691" s="286" t="s">
        <v>1170</v>
      </c>
      <c r="C691" s="423" t="s">
        <v>175</v>
      </c>
      <c r="D691" s="287">
        <v>16.29</v>
      </c>
      <c r="E691" s="272" t="s">
        <v>397</v>
      </c>
      <c r="F691" t="s">
        <v>26</v>
      </c>
    </row>
    <row r="692" spans="1:6">
      <c r="A692" s="273">
        <v>46140</v>
      </c>
      <c r="B692" s="286" t="s">
        <v>1170</v>
      </c>
      <c r="C692" s="423" t="s">
        <v>175</v>
      </c>
      <c r="D692" s="287">
        <v>9.0500000000000007</v>
      </c>
      <c r="E692" s="272" t="s">
        <v>397</v>
      </c>
      <c r="F692" t="s">
        <v>26</v>
      </c>
    </row>
    <row r="693" spans="1:6">
      <c r="A693" s="258">
        <v>46140</v>
      </c>
      <c r="B693" s="248" t="s">
        <v>1012</v>
      </c>
      <c r="C693" s="77" t="s">
        <v>307</v>
      </c>
      <c r="D693" s="288">
        <v>910</v>
      </c>
      <c r="E693" s="272" t="s">
        <v>397</v>
      </c>
      <c r="F693" t="s">
        <v>26</v>
      </c>
    </row>
    <row r="694" spans="1:6">
      <c r="A694" s="258">
        <v>46140</v>
      </c>
      <c r="B694" s="248" t="s">
        <v>1187</v>
      </c>
      <c r="C694" s="77" t="s">
        <v>307</v>
      </c>
      <c r="D694" s="288">
        <v>187.5</v>
      </c>
      <c r="E694" s="272" t="s">
        <v>397</v>
      </c>
      <c r="F694" t="s">
        <v>26</v>
      </c>
    </row>
    <row r="695" spans="1:6">
      <c r="A695" s="258">
        <v>46140</v>
      </c>
      <c r="B695" s="248" t="s">
        <v>1185</v>
      </c>
      <c r="C695" s="77" t="s">
        <v>307</v>
      </c>
      <c r="D695" s="285">
        <v>800</v>
      </c>
      <c r="E695" s="272" t="s">
        <v>397</v>
      </c>
      <c r="F695" t="s">
        <v>26</v>
      </c>
    </row>
    <row r="696" spans="1:6">
      <c r="A696" s="258">
        <v>46140</v>
      </c>
      <c r="B696" s="248" t="s">
        <v>306</v>
      </c>
      <c r="C696" s="77" t="s">
        <v>307</v>
      </c>
      <c r="D696" s="288">
        <v>575.33000000000004</v>
      </c>
      <c r="E696" s="272" t="s">
        <v>397</v>
      </c>
      <c r="F696" t="s">
        <v>26</v>
      </c>
    </row>
    <row r="697" spans="1:6">
      <c r="A697" s="258">
        <v>46140</v>
      </c>
      <c r="B697" s="248" t="s">
        <v>955</v>
      </c>
      <c r="C697" s="77" t="s">
        <v>203</v>
      </c>
      <c r="D697" s="285">
        <v>5500</v>
      </c>
      <c r="E697" s="272" t="s">
        <v>397</v>
      </c>
      <c r="F697" t="s">
        <v>26</v>
      </c>
    </row>
    <row r="698" spans="1:6" ht="15.75" thickBot="1">
      <c r="A698" s="258">
        <v>46141</v>
      </c>
      <c r="B698" s="286" t="s">
        <v>1166</v>
      </c>
      <c r="C698" s="431" t="s">
        <v>307</v>
      </c>
      <c r="D698" s="289">
        <v>23.85</v>
      </c>
      <c r="E698" s="272" t="s">
        <v>397</v>
      </c>
      <c r="F698" t="s">
        <v>26</v>
      </c>
    </row>
    <row r="699" spans="1:6" ht="15.75" thickBot="1">
      <c r="A699" s="258">
        <v>46141</v>
      </c>
      <c r="B699" s="286" t="s">
        <v>1217</v>
      </c>
      <c r="C699" s="431" t="s">
        <v>307</v>
      </c>
      <c r="D699" s="290">
        <v>3418.37</v>
      </c>
      <c r="E699" s="272" t="s">
        <v>397</v>
      </c>
      <c r="F699" t="s">
        <v>26</v>
      </c>
    </row>
    <row r="700" spans="1:6" ht="15.75" thickBot="1">
      <c r="A700" s="258">
        <v>46141</v>
      </c>
      <c r="B700" s="286" t="s">
        <v>1073</v>
      </c>
      <c r="C700" s="431" t="s">
        <v>307</v>
      </c>
      <c r="D700" s="289">
        <v>551.11</v>
      </c>
      <c r="E700" s="272" t="s">
        <v>397</v>
      </c>
      <c r="F700" t="s">
        <v>26</v>
      </c>
    </row>
    <row r="701" spans="1:6">
      <c r="A701" s="258">
        <v>46141</v>
      </c>
      <c r="B701" s="77" t="s">
        <v>306</v>
      </c>
      <c r="C701" s="431" t="s">
        <v>307</v>
      </c>
      <c r="D701" s="78">
        <v>456.5</v>
      </c>
      <c r="E701" s="272" t="s">
        <v>397</v>
      </c>
      <c r="F701" t="s">
        <v>26</v>
      </c>
    </row>
    <row r="702" spans="1:6">
      <c r="A702" s="258">
        <v>46141</v>
      </c>
      <c r="B702" s="77" t="s">
        <v>1170</v>
      </c>
      <c r="C702" s="77" t="s">
        <v>175</v>
      </c>
      <c r="D702" s="78">
        <v>7.24</v>
      </c>
      <c r="E702" s="272" t="s">
        <v>397</v>
      </c>
      <c r="F702" t="s">
        <v>26</v>
      </c>
    </row>
    <row r="703" spans="1:6">
      <c r="A703" s="258">
        <v>46142</v>
      </c>
      <c r="B703" s="77" t="s">
        <v>1170</v>
      </c>
      <c r="C703" s="77" t="s">
        <v>175</v>
      </c>
      <c r="D703" s="78">
        <v>18.100000000000001</v>
      </c>
      <c r="E703" s="272" t="s">
        <v>397</v>
      </c>
      <c r="F703" t="s">
        <v>26</v>
      </c>
    </row>
    <row r="704" spans="1:6">
      <c r="A704" s="258">
        <v>46142</v>
      </c>
      <c r="B704" s="81" t="s">
        <v>1166</v>
      </c>
      <c r="C704" s="248" t="s">
        <v>307</v>
      </c>
      <c r="D704" s="82">
        <v>548.33000000000004</v>
      </c>
      <c r="E704" s="272" t="s">
        <v>397</v>
      </c>
      <c r="F704" t="s">
        <v>26</v>
      </c>
    </row>
    <row r="705" spans="1:12">
      <c r="A705" s="258">
        <v>46142</v>
      </c>
      <c r="B705" s="77" t="s">
        <v>1129</v>
      </c>
      <c r="C705" s="248" t="s">
        <v>307</v>
      </c>
      <c r="D705" s="78">
        <v>555</v>
      </c>
      <c r="E705" s="272" t="s">
        <v>397</v>
      </c>
      <c r="F705" t="s">
        <v>26</v>
      </c>
    </row>
    <row r="706" spans="1:12">
      <c r="A706" s="258">
        <v>46142</v>
      </c>
      <c r="B706" s="77" t="s">
        <v>1126</v>
      </c>
      <c r="C706" s="248" t="s">
        <v>307</v>
      </c>
      <c r="D706" s="78">
        <v>1511.24</v>
      </c>
      <c r="E706" s="272" t="s">
        <v>397</v>
      </c>
      <c r="F706" t="s">
        <v>26</v>
      </c>
    </row>
    <row r="707" spans="1:12">
      <c r="A707" s="258">
        <v>46142</v>
      </c>
      <c r="B707" s="77" t="s">
        <v>1198</v>
      </c>
      <c r="C707" s="248" t="s">
        <v>307</v>
      </c>
      <c r="D707" s="78">
        <v>693.6</v>
      </c>
      <c r="E707" s="272" t="s">
        <v>397</v>
      </c>
      <c r="F707" t="s">
        <v>26</v>
      </c>
    </row>
    <row r="708" spans="1:12">
      <c r="A708" s="258">
        <v>46142</v>
      </c>
      <c r="B708" s="77" t="s">
        <v>655</v>
      </c>
      <c r="C708" s="248" t="s">
        <v>307</v>
      </c>
      <c r="D708" s="78">
        <v>328</v>
      </c>
      <c r="E708" s="272" t="s">
        <v>397</v>
      </c>
      <c r="F708" t="s">
        <v>26</v>
      </c>
    </row>
    <row r="709" spans="1:12">
      <c r="A709" s="258">
        <v>46142</v>
      </c>
      <c r="B709" s="77" t="s">
        <v>1218</v>
      </c>
      <c r="C709" s="77" t="s">
        <v>209</v>
      </c>
      <c r="D709" s="78">
        <v>5270.37</v>
      </c>
      <c r="E709" s="272" t="s">
        <v>397</v>
      </c>
      <c r="F709" t="s">
        <v>26</v>
      </c>
    </row>
    <row r="710" spans="1:12" ht="30">
      <c r="A710" s="258">
        <v>46126</v>
      </c>
      <c r="B710" s="76" t="s">
        <v>302</v>
      </c>
      <c r="C710" s="432" t="s">
        <v>186</v>
      </c>
      <c r="D710" s="291">
        <v>6372.54</v>
      </c>
      <c r="E710" s="272" t="s">
        <v>523</v>
      </c>
      <c r="F710" t="s">
        <v>26</v>
      </c>
    </row>
    <row r="711" spans="1:12">
      <c r="A711" s="258">
        <v>46127</v>
      </c>
      <c r="B711" s="76" t="s">
        <v>1219</v>
      </c>
      <c r="C711" s="77" t="s">
        <v>175</v>
      </c>
      <c r="D711" s="291">
        <v>218.6</v>
      </c>
      <c r="E711" s="272" t="s">
        <v>523</v>
      </c>
      <c r="F711" t="s">
        <v>26</v>
      </c>
    </row>
    <row r="712" spans="1:12">
      <c r="A712" s="258">
        <v>46142</v>
      </c>
      <c r="B712" s="242" t="s">
        <v>1170</v>
      </c>
      <c r="C712" s="77" t="s">
        <v>175</v>
      </c>
      <c r="D712" s="292">
        <v>1.6</v>
      </c>
      <c r="E712" s="272" t="s">
        <v>523</v>
      </c>
      <c r="F712" t="s">
        <v>26</v>
      </c>
    </row>
    <row r="713" spans="1:12" ht="30">
      <c r="A713" s="126">
        <v>46156</v>
      </c>
      <c r="B713" s="128" t="s">
        <v>302</v>
      </c>
      <c r="C713" s="421" t="s">
        <v>186</v>
      </c>
      <c r="D713" s="532">
        <v>6441.56</v>
      </c>
      <c r="E713" s="525" t="s">
        <v>523</v>
      </c>
      <c r="F713" s="124" t="s">
        <v>27</v>
      </c>
      <c r="L713" s="6" t="s">
        <v>175</v>
      </c>
    </row>
    <row r="714" spans="1:12">
      <c r="A714" s="126">
        <v>46156</v>
      </c>
      <c r="B714" s="128" t="s">
        <v>1785</v>
      </c>
      <c r="C714" s="133" t="s">
        <v>175</v>
      </c>
      <c r="D714" s="532">
        <v>183.6</v>
      </c>
      <c r="E714" s="525" t="s">
        <v>523</v>
      </c>
      <c r="F714" s="124" t="s">
        <v>27</v>
      </c>
      <c r="L714" s="444" t="s">
        <v>178</v>
      </c>
    </row>
    <row r="715" spans="1:12">
      <c r="A715" s="126">
        <v>46157</v>
      </c>
      <c r="B715" s="128" t="s">
        <v>1786</v>
      </c>
      <c r="C715" s="133" t="s">
        <v>175</v>
      </c>
      <c r="D715" s="533">
        <v>218.6</v>
      </c>
      <c r="E715" s="525" t="s">
        <v>523</v>
      </c>
      <c r="F715" s="124" t="s">
        <v>27</v>
      </c>
      <c r="L715" s="23" t="s">
        <v>179</v>
      </c>
    </row>
    <row r="716" spans="1:12">
      <c r="A716" s="126">
        <v>46146</v>
      </c>
      <c r="B716" s="127" t="s">
        <v>1070</v>
      </c>
      <c r="C716" s="133" t="s">
        <v>307</v>
      </c>
      <c r="D716" s="129">
        <v>200</v>
      </c>
      <c r="E716" s="525" t="s">
        <v>397</v>
      </c>
      <c r="F716" s="124" t="s">
        <v>27</v>
      </c>
      <c r="L716" s="442" t="s">
        <v>181</v>
      </c>
    </row>
    <row r="717" spans="1:12">
      <c r="A717" s="126">
        <v>46146</v>
      </c>
      <c r="B717" s="128" t="s">
        <v>1073</v>
      </c>
      <c r="C717" s="133" t="s">
        <v>307</v>
      </c>
      <c r="D717" s="134">
        <v>787.98</v>
      </c>
      <c r="E717" s="525" t="s">
        <v>397</v>
      </c>
      <c r="F717" s="124" t="s">
        <v>27</v>
      </c>
      <c r="L717" s="442" t="s">
        <v>182</v>
      </c>
    </row>
    <row r="718" spans="1:12">
      <c r="A718" s="126">
        <v>46146</v>
      </c>
      <c r="B718" s="128" t="s">
        <v>1073</v>
      </c>
      <c r="C718" s="133" t="s">
        <v>307</v>
      </c>
      <c r="D718" s="134">
        <v>673.78</v>
      </c>
      <c r="E718" s="525" t="s">
        <v>397</v>
      </c>
      <c r="F718" s="124" t="s">
        <v>27</v>
      </c>
      <c r="L718" s="442" t="s">
        <v>1007</v>
      </c>
    </row>
    <row r="719" spans="1:12" ht="30">
      <c r="A719" s="126">
        <v>46146</v>
      </c>
      <c r="B719" s="128" t="s">
        <v>1073</v>
      </c>
      <c r="C719" s="133" t="s">
        <v>307</v>
      </c>
      <c r="D719" s="134">
        <v>3773.29</v>
      </c>
      <c r="E719" s="525" t="s">
        <v>397</v>
      </c>
      <c r="F719" s="124" t="s">
        <v>27</v>
      </c>
      <c r="L719" s="445" t="s">
        <v>184</v>
      </c>
    </row>
    <row r="720" spans="1:12" ht="30">
      <c r="A720" s="126">
        <v>46146</v>
      </c>
      <c r="B720" s="128" t="s">
        <v>1166</v>
      </c>
      <c r="C720" s="133" t="s">
        <v>307</v>
      </c>
      <c r="D720" s="134">
        <v>699.44</v>
      </c>
      <c r="E720" s="525" t="s">
        <v>397</v>
      </c>
      <c r="F720" s="124" t="s">
        <v>27</v>
      </c>
      <c r="L720" s="420" t="s">
        <v>186</v>
      </c>
    </row>
    <row r="721" spans="1:12">
      <c r="A721" s="126">
        <v>46146</v>
      </c>
      <c r="B721" s="128" t="s">
        <v>1145</v>
      </c>
      <c r="C721" s="133" t="s">
        <v>307</v>
      </c>
      <c r="D721" s="134">
        <v>390.08</v>
      </c>
      <c r="E721" s="525" t="s">
        <v>397</v>
      </c>
      <c r="F721" s="124" t="s">
        <v>27</v>
      </c>
      <c r="L721" s="6" t="s">
        <v>307</v>
      </c>
    </row>
    <row r="722" spans="1:12">
      <c r="A722" s="126">
        <v>46146</v>
      </c>
      <c r="B722" s="128" t="s">
        <v>1156</v>
      </c>
      <c r="C722" s="133" t="s">
        <v>307</v>
      </c>
      <c r="D722" s="134">
        <v>455.15</v>
      </c>
      <c r="E722" s="525" t="s">
        <v>397</v>
      </c>
      <c r="F722" s="124" t="s">
        <v>27</v>
      </c>
      <c r="L722" s="446" t="s">
        <v>188</v>
      </c>
    </row>
    <row r="723" spans="1:12">
      <c r="A723" s="126">
        <v>46146</v>
      </c>
      <c r="B723" s="128" t="s">
        <v>1163</v>
      </c>
      <c r="C723" s="133" t="s">
        <v>307</v>
      </c>
      <c r="D723" s="134">
        <v>53.6</v>
      </c>
      <c r="E723" s="525" t="s">
        <v>397</v>
      </c>
      <c r="F723" s="124" t="s">
        <v>27</v>
      </c>
      <c r="L723" s="443" t="s">
        <v>190</v>
      </c>
    </row>
    <row r="724" spans="1:12">
      <c r="A724" s="126">
        <v>46146</v>
      </c>
      <c r="B724" s="128" t="s">
        <v>1787</v>
      </c>
      <c r="C724" s="133" t="s">
        <v>1788</v>
      </c>
      <c r="D724" s="134">
        <v>229.47</v>
      </c>
      <c r="E724" s="525" t="s">
        <v>397</v>
      </c>
      <c r="F724" s="124" t="s">
        <v>27</v>
      </c>
      <c r="L724" s="446" t="s">
        <v>192</v>
      </c>
    </row>
    <row r="725" spans="1:12">
      <c r="A725" s="126">
        <v>46146</v>
      </c>
      <c r="B725" s="128" t="s">
        <v>305</v>
      </c>
      <c r="C725" s="133" t="s">
        <v>175</v>
      </c>
      <c r="D725" s="134">
        <v>21.72</v>
      </c>
      <c r="E725" s="525" t="s">
        <v>397</v>
      </c>
      <c r="F725" s="124" t="s">
        <v>27</v>
      </c>
      <c r="L725" s="133" t="s">
        <v>194</v>
      </c>
    </row>
    <row r="726" spans="1:12">
      <c r="A726" s="126">
        <v>46147</v>
      </c>
      <c r="B726" s="128" t="s">
        <v>305</v>
      </c>
      <c r="C726" s="133" t="s">
        <v>175</v>
      </c>
      <c r="D726" s="134">
        <v>30.59</v>
      </c>
      <c r="E726" s="525" t="s">
        <v>397</v>
      </c>
      <c r="F726" s="124" t="s">
        <v>27</v>
      </c>
      <c r="L726" s="443" t="s">
        <v>313</v>
      </c>
    </row>
    <row r="727" spans="1:12">
      <c r="A727" s="126">
        <v>46147</v>
      </c>
      <c r="B727" s="128" t="s">
        <v>1789</v>
      </c>
      <c r="C727" s="133" t="s">
        <v>175</v>
      </c>
      <c r="D727" s="134">
        <v>101.39</v>
      </c>
      <c r="E727" s="525" t="s">
        <v>397</v>
      </c>
      <c r="F727" s="124" t="s">
        <v>27</v>
      </c>
      <c r="L727" s="446" t="s">
        <v>196</v>
      </c>
    </row>
    <row r="728" spans="1:12" ht="15.75">
      <c r="A728" s="126">
        <v>46147</v>
      </c>
      <c r="B728" s="128" t="s">
        <v>1015</v>
      </c>
      <c r="C728" s="133" t="s">
        <v>307</v>
      </c>
      <c r="D728" s="534">
        <v>1293.25</v>
      </c>
      <c r="E728" s="525" t="s">
        <v>397</v>
      </c>
      <c r="F728" s="124" t="s">
        <v>27</v>
      </c>
      <c r="L728" s="443" t="s">
        <v>197</v>
      </c>
    </row>
    <row r="729" spans="1:12" ht="15.75">
      <c r="A729" s="126">
        <v>46147</v>
      </c>
      <c r="B729" s="128" t="s">
        <v>1034</v>
      </c>
      <c r="C729" s="133" t="s">
        <v>307</v>
      </c>
      <c r="D729" s="535">
        <v>461.7</v>
      </c>
      <c r="E729" s="525" t="s">
        <v>397</v>
      </c>
      <c r="F729" s="124" t="s">
        <v>27</v>
      </c>
      <c r="L729" s="446" t="s">
        <v>199</v>
      </c>
    </row>
    <row r="730" spans="1:12" ht="15.75">
      <c r="A730" s="126">
        <v>46147</v>
      </c>
      <c r="B730" s="128" t="s">
        <v>1010</v>
      </c>
      <c r="C730" s="133" t="s">
        <v>307</v>
      </c>
      <c r="D730" s="536">
        <v>363</v>
      </c>
      <c r="E730" s="525" t="s">
        <v>397</v>
      </c>
      <c r="F730" s="124" t="s">
        <v>27</v>
      </c>
      <c r="L730" s="443" t="s">
        <v>203</v>
      </c>
    </row>
    <row r="731" spans="1:12" ht="15.75">
      <c r="A731" s="126">
        <v>46147</v>
      </c>
      <c r="B731" s="128" t="s">
        <v>1790</v>
      </c>
      <c r="C731" s="133" t="s">
        <v>210</v>
      </c>
      <c r="D731" s="535">
        <v>2946.68</v>
      </c>
      <c r="E731" s="525" t="s">
        <v>397</v>
      </c>
      <c r="F731" s="124" t="s">
        <v>27</v>
      </c>
      <c r="L731" s="443" t="s">
        <v>205</v>
      </c>
    </row>
    <row r="732" spans="1:12" ht="15.75">
      <c r="A732" s="126">
        <v>46147</v>
      </c>
      <c r="B732" s="128" t="s">
        <v>1791</v>
      </c>
      <c r="C732" s="133" t="s">
        <v>192</v>
      </c>
      <c r="D732" s="536">
        <v>290.93</v>
      </c>
      <c r="E732" s="525" t="s">
        <v>397</v>
      </c>
      <c r="F732" s="124" t="s">
        <v>27</v>
      </c>
      <c r="L732" s="421" t="s">
        <v>207</v>
      </c>
    </row>
    <row r="733" spans="1:12" ht="15.75">
      <c r="A733" s="126">
        <v>46147</v>
      </c>
      <c r="B733" s="128" t="s">
        <v>1792</v>
      </c>
      <c r="C733" s="133" t="s">
        <v>192</v>
      </c>
      <c r="D733" s="535">
        <v>571.54</v>
      </c>
      <c r="E733" s="525" t="s">
        <v>397</v>
      </c>
      <c r="F733" s="124" t="s">
        <v>27</v>
      </c>
      <c r="L733" s="447" t="s">
        <v>208</v>
      </c>
    </row>
    <row r="734" spans="1:12" ht="15.75">
      <c r="A734" s="126">
        <v>46147</v>
      </c>
      <c r="B734" s="128" t="s">
        <v>331</v>
      </c>
      <c r="C734" s="133" t="s">
        <v>307</v>
      </c>
      <c r="D734" s="535">
        <v>190</v>
      </c>
      <c r="E734" s="525" t="s">
        <v>397</v>
      </c>
      <c r="F734" s="124" t="s">
        <v>27</v>
      </c>
      <c r="L734" s="443" t="s">
        <v>209</v>
      </c>
    </row>
    <row r="735" spans="1:12" ht="15.75">
      <c r="A735" s="126">
        <v>46148</v>
      </c>
      <c r="B735" s="128" t="s">
        <v>305</v>
      </c>
      <c r="C735" s="133" t="s">
        <v>175</v>
      </c>
      <c r="D735" s="535">
        <v>5.43</v>
      </c>
      <c r="E735" s="525" t="s">
        <v>397</v>
      </c>
      <c r="F735" s="124" t="s">
        <v>27</v>
      </c>
      <c r="L735" s="448" t="s">
        <v>210</v>
      </c>
    </row>
    <row r="736" spans="1:12" ht="15.75">
      <c r="A736" s="126">
        <v>46148</v>
      </c>
      <c r="B736" s="128" t="s">
        <v>1022</v>
      </c>
      <c r="C736" s="133" t="s">
        <v>307</v>
      </c>
      <c r="D736" s="536">
        <v>2934.11</v>
      </c>
      <c r="E736" s="525" t="s">
        <v>397</v>
      </c>
      <c r="F736" s="124" t="s">
        <v>27</v>
      </c>
    </row>
    <row r="737" spans="1:6" ht="15.75">
      <c r="A737" s="126">
        <v>46148</v>
      </c>
      <c r="B737" s="128" t="s">
        <v>1027</v>
      </c>
      <c r="C737" s="133" t="s">
        <v>307</v>
      </c>
      <c r="D737" s="535">
        <v>1991.14</v>
      </c>
      <c r="E737" s="525" t="s">
        <v>397</v>
      </c>
      <c r="F737" s="124" t="s">
        <v>27</v>
      </c>
    </row>
    <row r="738" spans="1:6" ht="15.75">
      <c r="A738" s="126">
        <v>46148</v>
      </c>
      <c r="B738" s="128" t="s">
        <v>655</v>
      </c>
      <c r="C738" s="133" t="s">
        <v>307</v>
      </c>
      <c r="D738" s="536">
        <v>512.25</v>
      </c>
      <c r="E738" s="525" t="s">
        <v>397</v>
      </c>
      <c r="F738" s="124" t="s">
        <v>27</v>
      </c>
    </row>
    <row r="739" spans="1:6" ht="15.75">
      <c r="A739" s="126">
        <v>46148</v>
      </c>
      <c r="B739" s="128" t="s">
        <v>1793</v>
      </c>
      <c r="C739" s="133" t="s">
        <v>307</v>
      </c>
      <c r="D739" s="535">
        <v>967.5</v>
      </c>
      <c r="E739" s="525" t="s">
        <v>397</v>
      </c>
      <c r="F739" s="124" t="s">
        <v>27</v>
      </c>
    </row>
    <row r="740" spans="1:6" ht="15.75">
      <c r="A740" s="126">
        <v>46148</v>
      </c>
      <c r="B740" s="128" t="s">
        <v>1794</v>
      </c>
      <c r="C740" s="133" t="s">
        <v>307</v>
      </c>
      <c r="D740" s="536">
        <v>2638.76</v>
      </c>
      <c r="E740" s="525" t="s">
        <v>397</v>
      </c>
      <c r="F740" s="124" t="s">
        <v>27</v>
      </c>
    </row>
    <row r="741" spans="1:6" ht="15.75">
      <c r="A741" s="126">
        <v>46148</v>
      </c>
      <c r="B741" s="128" t="s">
        <v>1008</v>
      </c>
      <c r="C741" s="133" t="s">
        <v>307</v>
      </c>
      <c r="D741" s="535">
        <v>584.27</v>
      </c>
      <c r="E741" s="525" t="s">
        <v>397</v>
      </c>
      <c r="F741" s="124" t="s">
        <v>27</v>
      </c>
    </row>
    <row r="742" spans="1:6" ht="15.75">
      <c r="A742" s="126">
        <v>46148</v>
      </c>
      <c r="B742" s="128" t="s">
        <v>1034</v>
      </c>
      <c r="C742" s="133" t="s">
        <v>307</v>
      </c>
      <c r="D742" s="536">
        <v>1305</v>
      </c>
      <c r="E742" s="525" t="s">
        <v>397</v>
      </c>
      <c r="F742" s="124" t="s">
        <v>27</v>
      </c>
    </row>
    <row r="743" spans="1:6" ht="15.75">
      <c r="A743" s="126">
        <v>46148</v>
      </c>
      <c r="B743" s="128" t="s">
        <v>1143</v>
      </c>
      <c r="C743" s="133" t="s">
        <v>307</v>
      </c>
      <c r="D743" s="535">
        <v>191</v>
      </c>
      <c r="E743" s="525" t="s">
        <v>397</v>
      </c>
      <c r="F743" s="124" t="s">
        <v>27</v>
      </c>
    </row>
    <row r="744" spans="1:6" ht="15.75">
      <c r="A744" s="126">
        <v>46149</v>
      </c>
      <c r="B744" s="128" t="s">
        <v>1038</v>
      </c>
      <c r="C744" s="133" t="s">
        <v>307</v>
      </c>
      <c r="D744" s="536">
        <v>613.78</v>
      </c>
      <c r="E744" s="525" t="s">
        <v>397</v>
      </c>
      <c r="F744" s="124" t="s">
        <v>27</v>
      </c>
    </row>
    <row r="745" spans="1:6" ht="15.75">
      <c r="A745" s="126">
        <v>46149</v>
      </c>
      <c r="B745" s="128" t="s">
        <v>1078</v>
      </c>
      <c r="C745" s="133" t="s">
        <v>307</v>
      </c>
      <c r="D745" s="535">
        <v>548.34</v>
      </c>
      <c r="E745" s="525" t="s">
        <v>397</v>
      </c>
      <c r="F745" s="124" t="s">
        <v>27</v>
      </c>
    </row>
    <row r="746" spans="1:6" ht="15.75">
      <c r="A746" s="126">
        <v>46149</v>
      </c>
      <c r="B746" s="128" t="s">
        <v>1015</v>
      </c>
      <c r="C746" s="133" t="s">
        <v>307</v>
      </c>
      <c r="D746" s="536">
        <v>566.66</v>
      </c>
      <c r="E746" s="525" t="s">
        <v>397</v>
      </c>
      <c r="F746" s="124" t="s">
        <v>27</v>
      </c>
    </row>
    <row r="747" spans="1:6" ht="15.75">
      <c r="A747" s="126">
        <v>46149</v>
      </c>
      <c r="B747" s="128" t="s">
        <v>1013</v>
      </c>
      <c r="C747" s="133" t="s">
        <v>307</v>
      </c>
      <c r="D747" s="535">
        <v>683.43</v>
      </c>
      <c r="E747" s="525" t="s">
        <v>397</v>
      </c>
      <c r="F747" s="124" t="s">
        <v>27</v>
      </c>
    </row>
    <row r="748" spans="1:6" ht="15.75">
      <c r="A748" s="126">
        <v>46149</v>
      </c>
      <c r="B748" s="128" t="s">
        <v>1013</v>
      </c>
      <c r="C748" s="133" t="s">
        <v>307</v>
      </c>
      <c r="D748" s="536">
        <v>833.02</v>
      </c>
      <c r="E748" s="525" t="s">
        <v>397</v>
      </c>
      <c r="F748" s="124" t="s">
        <v>27</v>
      </c>
    </row>
    <row r="749" spans="1:6" ht="15.75">
      <c r="A749" s="126">
        <v>46149</v>
      </c>
      <c r="B749" s="128" t="s">
        <v>1025</v>
      </c>
      <c r="C749" s="133" t="s">
        <v>307</v>
      </c>
      <c r="D749" s="535">
        <v>482.07</v>
      </c>
      <c r="E749" s="525" t="s">
        <v>397</v>
      </c>
      <c r="F749" s="124" t="s">
        <v>27</v>
      </c>
    </row>
    <row r="750" spans="1:6" ht="15.75">
      <c r="A750" s="126">
        <v>46149</v>
      </c>
      <c r="B750" s="128" t="s">
        <v>1022</v>
      </c>
      <c r="C750" s="133" t="s">
        <v>307</v>
      </c>
      <c r="D750" s="536">
        <v>3483.88</v>
      </c>
      <c r="E750" s="525" t="s">
        <v>397</v>
      </c>
      <c r="F750" s="124" t="s">
        <v>27</v>
      </c>
    </row>
    <row r="751" spans="1:6">
      <c r="A751" s="126">
        <v>46149</v>
      </c>
      <c r="B751" s="133" t="s">
        <v>1083</v>
      </c>
      <c r="C751" s="133" t="s">
        <v>188</v>
      </c>
      <c r="D751" s="134">
        <v>2000</v>
      </c>
      <c r="E751" s="525" t="s">
        <v>397</v>
      </c>
      <c r="F751" s="124" t="s">
        <v>27</v>
      </c>
    </row>
    <row r="752" spans="1:6">
      <c r="A752" s="126">
        <v>46149</v>
      </c>
      <c r="B752" s="537" t="s">
        <v>1037</v>
      </c>
      <c r="C752" s="133" t="s">
        <v>188</v>
      </c>
      <c r="D752" s="538">
        <v>1550.69</v>
      </c>
      <c r="E752" s="525" t="s">
        <v>397</v>
      </c>
      <c r="F752" s="124" t="s">
        <v>27</v>
      </c>
    </row>
    <row r="753" spans="1:6">
      <c r="A753" s="126">
        <v>46149</v>
      </c>
      <c r="B753" s="128" t="s">
        <v>1795</v>
      </c>
      <c r="C753" s="133" t="s">
        <v>188</v>
      </c>
      <c r="D753" s="134">
        <v>1028.32</v>
      </c>
      <c r="E753" s="525" t="s">
        <v>397</v>
      </c>
      <c r="F753" s="124" t="s">
        <v>27</v>
      </c>
    </row>
    <row r="754" spans="1:6">
      <c r="A754" s="126">
        <v>46149</v>
      </c>
      <c r="B754" s="128" t="s">
        <v>1796</v>
      </c>
      <c r="C754" s="133" t="s">
        <v>188</v>
      </c>
      <c r="D754" s="134">
        <v>2418.48</v>
      </c>
      <c r="E754" s="525" t="s">
        <v>397</v>
      </c>
      <c r="F754" s="124" t="s">
        <v>27</v>
      </c>
    </row>
    <row r="755" spans="1:6">
      <c r="A755" s="126">
        <v>46149</v>
      </c>
      <c r="B755" s="128" t="s">
        <v>305</v>
      </c>
      <c r="C755" s="133" t="s">
        <v>175</v>
      </c>
      <c r="D755" s="134">
        <v>12.67</v>
      </c>
      <c r="E755" s="525" t="s">
        <v>397</v>
      </c>
      <c r="F755" s="124" t="s">
        <v>27</v>
      </c>
    </row>
    <row r="756" spans="1:6">
      <c r="A756" s="126">
        <v>46150</v>
      </c>
      <c r="B756" s="128" t="s">
        <v>305</v>
      </c>
      <c r="C756" s="133" t="s">
        <v>175</v>
      </c>
      <c r="D756" s="134">
        <v>12.67</v>
      </c>
      <c r="E756" s="525" t="s">
        <v>397</v>
      </c>
      <c r="F756" s="124" t="s">
        <v>27</v>
      </c>
    </row>
    <row r="757" spans="1:6">
      <c r="A757" s="126">
        <v>46150</v>
      </c>
      <c r="B757" s="128" t="s">
        <v>1797</v>
      </c>
      <c r="C757" s="133" t="s">
        <v>307</v>
      </c>
      <c r="D757" s="134">
        <v>104</v>
      </c>
      <c r="E757" s="525" t="s">
        <v>397</v>
      </c>
      <c r="F757" s="124" t="s">
        <v>27</v>
      </c>
    </row>
    <row r="758" spans="1:6" ht="15.75">
      <c r="A758" s="126">
        <v>46150</v>
      </c>
      <c r="B758" s="128" t="s">
        <v>1013</v>
      </c>
      <c r="C758" s="133" t="s">
        <v>307</v>
      </c>
      <c r="D758" s="535">
        <v>638.42999999999995</v>
      </c>
      <c r="E758" s="525" t="s">
        <v>397</v>
      </c>
      <c r="F758" s="124" t="s">
        <v>27</v>
      </c>
    </row>
    <row r="759" spans="1:6">
      <c r="A759" s="126">
        <v>46150</v>
      </c>
      <c r="B759" s="128" t="s">
        <v>329</v>
      </c>
      <c r="C759" s="133" t="s">
        <v>210</v>
      </c>
      <c r="D759" s="134">
        <v>530</v>
      </c>
      <c r="E759" s="525" t="s">
        <v>397</v>
      </c>
      <c r="F759" s="124" t="s">
        <v>27</v>
      </c>
    </row>
    <row r="760" spans="1:6">
      <c r="A760" s="126">
        <v>46150</v>
      </c>
      <c r="B760" s="128" t="s">
        <v>325</v>
      </c>
      <c r="C760" s="133" t="s">
        <v>209</v>
      </c>
      <c r="D760" s="134">
        <v>8500</v>
      </c>
      <c r="E760" s="525" t="s">
        <v>397</v>
      </c>
      <c r="F760" s="124" t="s">
        <v>27</v>
      </c>
    </row>
    <row r="761" spans="1:6">
      <c r="A761" s="126">
        <v>46150</v>
      </c>
      <c r="B761" s="128" t="s">
        <v>920</v>
      </c>
      <c r="C761" s="133" t="s">
        <v>203</v>
      </c>
      <c r="D761" s="134">
        <v>666.36</v>
      </c>
      <c r="E761" s="525" t="s">
        <v>397</v>
      </c>
      <c r="F761" s="124" t="s">
        <v>27</v>
      </c>
    </row>
    <row r="762" spans="1:6">
      <c r="A762" s="126">
        <v>46153</v>
      </c>
      <c r="B762" s="539" t="s">
        <v>1798</v>
      </c>
      <c r="C762" s="133" t="s">
        <v>1858</v>
      </c>
      <c r="D762" s="134">
        <v>2620.16</v>
      </c>
      <c r="E762" s="525" t="s">
        <v>397</v>
      </c>
      <c r="F762" s="124" t="s">
        <v>27</v>
      </c>
    </row>
    <row r="763" spans="1:6">
      <c r="A763" s="126">
        <v>46153</v>
      </c>
      <c r="B763" s="540" t="s">
        <v>1799</v>
      </c>
      <c r="C763" s="133" t="s">
        <v>307</v>
      </c>
      <c r="D763" s="134">
        <v>1708.05</v>
      </c>
      <c r="E763" s="525" t="s">
        <v>397</v>
      </c>
      <c r="F763" s="124" t="s">
        <v>27</v>
      </c>
    </row>
    <row r="764" spans="1:6">
      <c r="A764" s="126">
        <v>46153</v>
      </c>
      <c r="B764" s="539" t="s">
        <v>1130</v>
      </c>
      <c r="C764" s="133" t="s">
        <v>307</v>
      </c>
      <c r="D764" s="134">
        <v>1462.5</v>
      </c>
      <c r="E764" s="525" t="s">
        <v>397</v>
      </c>
      <c r="F764" s="124" t="s">
        <v>27</v>
      </c>
    </row>
    <row r="765" spans="1:6">
      <c r="A765" s="126">
        <v>46153</v>
      </c>
      <c r="B765" s="540" t="s">
        <v>1117</v>
      </c>
      <c r="C765" s="133" t="s">
        <v>307</v>
      </c>
      <c r="D765" s="134">
        <v>1404.5</v>
      </c>
      <c r="E765" s="525" t="s">
        <v>397</v>
      </c>
      <c r="F765" s="124" t="s">
        <v>27</v>
      </c>
    </row>
    <row r="766" spans="1:6">
      <c r="A766" s="126">
        <v>46153</v>
      </c>
      <c r="B766" s="539" t="s">
        <v>1133</v>
      </c>
      <c r="C766" s="133" t="s">
        <v>307</v>
      </c>
      <c r="D766" s="134">
        <v>1324</v>
      </c>
      <c r="E766" s="525" t="s">
        <v>397</v>
      </c>
      <c r="F766" s="124" t="s">
        <v>27</v>
      </c>
    </row>
    <row r="767" spans="1:6">
      <c r="A767" s="126">
        <v>46153</v>
      </c>
      <c r="B767" s="540" t="s">
        <v>1188</v>
      </c>
      <c r="C767" s="133" t="s">
        <v>307</v>
      </c>
      <c r="D767" s="134">
        <v>1225.6500000000001</v>
      </c>
      <c r="E767" s="525" t="s">
        <v>397</v>
      </c>
      <c r="F767" s="124" t="s">
        <v>27</v>
      </c>
    </row>
    <row r="768" spans="1:6">
      <c r="A768" s="126">
        <v>46153</v>
      </c>
      <c r="B768" s="539" t="s">
        <v>1125</v>
      </c>
      <c r="C768" s="133" t="s">
        <v>307</v>
      </c>
      <c r="D768" s="134">
        <v>1028.05</v>
      </c>
      <c r="E768" s="525" t="s">
        <v>397</v>
      </c>
      <c r="F768" s="124" t="s">
        <v>27</v>
      </c>
    </row>
    <row r="769" spans="1:6">
      <c r="A769" s="126">
        <v>46153</v>
      </c>
      <c r="B769" s="540" t="s">
        <v>1187</v>
      </c>
      <c r="C769" s="133" t="s">
        <v>307</v>
      </c>
      <c r="D769" s="134">
        <v>920.5</v>
      </c>
      <c r="E769" s="525" t="s">
        <v>397</v>
      </c>
      <c r="F769" s="124" t="s">
        <v>27</v>
      </c>
    </row>
    <row r="770" spans="1:6">
      <c r="A770" s="126">
        <v>46153</v>
      </c>
      <c r="B770" s="539" t="s">
        <v>1115</v>
      </c>
      <c r="C770" s="133" t="s">
        <v>307</v>
      </c>
      <c r="D770" s="134">
        <v>904.43</v>
      </c>
      <c r="E770" s="525" t="s">
        <v>397</v>
      </c>
      <c r="F770" s="124" t="s">
        <v>27</v>
      </c>
    </row>
    <row r="771" spans="1:6">
      <c r="A771" s="126">
        <v>46153</v>
      </c>
      <c r="B771" s="540" t="s">
        <v>1115</v>
      </c>
      <c r="C771" s="133" t="s">
        <v>307</v>
      </c>
      <c r="D771" s="134">
        <v>858</v>
      </c>
      <c r="E771" s="525" t="s">
        <v>397</v>
      </c>
      <c r="F771" s="124" t="s">
        <v>27</v>
      </c>
    </row>
    <row r="772" spans="1:6">
      <c r="A772" s="126">
        <v>46153</v>
      </c>
      <c r="B772" s="539" t="s">
        <v>1115</v>
      </c>
      <c r="C772" s="133" t="s">
        <v>307</v>
      </c>
      <c r="D772" s="134">
        <v>779.27</v>
      </c>
      <c r="E772" s="525" t="s">
        <v>397</v>
      </c>
      <c r="F772" s="124" t="s">
        <v>27</v>
      </c>
    </row>
    <row r="773" spans="1:6">
      <c r="A773" s="126">
        <v>46153</v>
      </c>
      <c r="B773" s="540" t="s">
        <v>1115</v>
      </c>
      <c r="C773" s="133" t="s">
        <v>307</v>
      </c>
      <c r="D773" s="134">
        <v>640.5</v>
      </c>
      <c r="E773" s="525" t="s">
        <v>397</v>
      </c>
      <c r="F773" s="124" t="s">
        <v>27</v>
      </c>
    </row>
    <row r="774" spans="1:6">
      <c r="A774" s="126">
        <v>46153</v>
      </c>
      <c r="B774" s="539" t="s">
        <v>1124</v>
      </c>
      <c r="C774" s="133" t="s">
        <v>307</v>
      </c>
      <c r="D774" s="134">
        <v>624.5</v>
      </c>
      <c r="E774" s="525" t="s">
        <v>397</v>
      </c>
      <c r="F774" s="124" t="s">
        <v>27</v>
      </c>
    </row>
    <row r="775" spans="1:6">
      <c r="A775" s="126">
        <v>46153</v>
      </c>
      <c r="B775" s="540" t="s">
        <v>1800</v>
      </c>
      <c r="C775" s="133" t="s">
        <v>190</v>
      </c>
      <c r="D775" s="134">
        <v>560</v>
      </c>
      <c r="E775" s="525" t="s">
        <v>397</v>
      </c>
      <c r="F775" s="124" t="s">
        <v>27</v>
      </c>
    </row>
    <row r="776" spans="1:6">
      <c r="A776" s="126">
        <v>46153</v>
      </c>
      <c r="B776" s="539" t="s">
        <v>1074</v>
      </c>
      <c r="C776" s="133" t="s">
        <v>307</v>
      </c>
      <c r="D776" s="134">
        <v>556.91</v>
      </c>
      <c r="E776" s="525" t="s">
        <v>397</v>
      </c>
      <c r="F776" s="124" t="s">
        <v>27</v>
      </c>
    </row>
    <row r="777" spans="1:6">
      <c r="A777" s="126">
        <v>46153</v>
      </c>
      <c r="B777" s="540" t="s">
        <v>1074</v>
      </c>
      <c r="C777" s="133" t="s">
        <v>307</v>
      </c>
      <c r="D777" s="134">
        <v>521</v>
      </c>
      <c r="E777" s="525" t="s">
        <v>397</v>
      </c>
      <c r="F777" s="124" t="s">
        <v>27</v>
      </c>
    </row>
    <row r="778" spans="1:6">
      <c r="A778" s="126">
        <v>46153</v>
      </c>
      <c r="B778" s="539" t="s">
        <v>1188</v>
      </c>
      <c r="C778" s="133" t="s">
        <v>307</v>
      </c>
      <c r="D778" s="134">
        <v>497.04</v>
      </c>
      <c r="E778" s="525" t="s">
        <v>397</v>
      </c>
      <c r="F778" s="124" t="s">
        <v>27</v>
      </c>
    </row>
    <row r="779" spans="1:6">
      <c r="A779" s="126">
        <v>46153</v>
      </c>
      <c r="B779" s="540" t="s">
        <v>1125</v>
      </c>
      <c r="C779" s="133" t="s">
        <v>307</v>
      </c>
      <c r="D779" s="134">
        <v>467.99</v>
      </c>
      <c r="E779" s="525" t="s">
        <v>397</v>
      </c>
      <c r="F779" s="124" t="s">
        <v>27</v>
      </c>
    </row>
    <row r="780" spans="1:6">
      <c r="A780" s="126">
        <v>46153</v>
      </c>
      <c r="B780" s="539" t="s">
        <v>1801</v>
      </c>
      <c r="C780" s="133" t="s">
        <v>1788</v>
      </c>
      <c r="D780" s="134">
        <v>229.47</v>
      </c>
      <c r="E780" s="525" t="s">
        <v>397</v>
      </c>
      <c r="F780" s="124" t="s">
        <v>27</v>
      </c>
    </row>
    <row r="781" spans="1:6">
      <c r="A781" s="126">
        <v>46153</v>
      </c>
      <c r="B781" s="540" t="s">
        <v>1802</v>
      </c>
      <c r="C781" s="133" t="s">
        <v>307</v>
      </c>
      <c r="D781" s="134">
        <v>85.73</v>
      </c>
      <c r="E781" s="525" t="s">
        <v>397</v>
      </c>
      <c r="F781" s="124" t="s">
        <v>27</v>
      </c>
    </row>
    <row r="782" spans="1:6">
      <c r="A782" s="126">
        <v>46153</v>
      </c>
      <c r="B782" s="539" t="s">
        <v>1803</v>
      </c>
      <c r="C782" s="133" t="s">
        <v>188</v>
      </c>
      <c r="D782" s="134">
        <v>65.37</v>
      </c>
      <c r="E782" s="525" t="s">
        <v>397</v>
      </c>
      <c r="F782" s="124" t="s">
        <v>27</v>
      </c>
    </row>
    <row r="783" spans="1:6">
      <c r="A783" s="126">
        <v>46153</v>
      </c>
      <c r="B783" s="540" t="s">
        <v>1804</v>
      </c>
      <c r="C783" s="133" t="s">
        <v>307</v>
      </c>
      <c r="D783" s="134">
        <v>49</v>
      </c>
      <c r="E783" s="525" t="s">
        <v>397</v>
      </c>
      <c r="F783" s="124" t="s">
        <v>27</v>
      </c>
    </row>
    <row r="784" spans="1:6">
      <c r="A784" s="126">
        <v>46153</v>
      </c>
      <c r="B784" s="131" t="s">
        <v>1089</v>
      </c>
      <c r="C784" s="133" t="s">
        <v>192</v>
      </c>
      <c r="D784" s="132">
        <v>175.9</v>
      </c>
      <c r="E784" s="525" t="s">
        <v>397</v>
      </c>
      <c r="F784" s="124" t="s">
        <v>27</v>
      </c>
    </row>
    <row r="785" spans="1:6">
      <c r="A785" s="126">
        <v>46153</v>
      </c>
      <c r="B785" s="127" t="s">
        <v>305</v>
      </c>
      <c r="C785" s="133" t="s">
        <v>175</v>
      </c>
      <c r="D785" s="129">
        <v>10.86</v>
      </c>
      <c r="E785" s="525" t="s">
        <v>397</v>
      </c>
      <c r="F785" s="124" t="s">
        <v>27</v>
      </c>
    </row>
    <row r="786" spans="1:6">
      <c r="A786" s="126">
        <v>46154</v>
      </c>
      <c r="B786" s="127" t="s">
        <v>305</v>
      </c>
      <c r="C786" s="133" t="s">
        <v>175</v>
      </c>
      <c r="D786" s="129">
        <v>16.29</v>
      </c>
      <c r="E786" s="525" t="s">
        <v>397</v>
      </c>
      <c r="F786" s="124" t="s">
        <v>27</v>
      </c>
    </row>
    <row r="787" spans="1:6">
      <c r="A787" s="126">
        <v>46154</v>
      </c>
      <c r="B787" s="131" t="s">
        <v>1072</v>
      </c>
      <c r="C787" s="133" t="s">
        <v>307</v>
      </c>
      <c r="D787" s="132">
        <v>664.56</v>
      </c>
      <c r="E787" s="525" t="s">
        <v>397</v>
      </c>
      <c r="F787" s="124" t="s">
        <v>27</v>
      </c>
    </row>
    <row r="788" spans="1:6">
      <c r="A788" s="126">
        <v>46154</v>
      </c>
      <c r="B788" s="131" t="s">
        <v>1072</v>
      </c>
      <c r="C788" s="133" t="s">
        <v>307</v>
      </c>
      <c r="D788" s="132">
        <v>577.41</v>
      </c>
      <c r="E788" s="525" t="s">
        <v>397</v>
      </c>
      <c r="F788" s="124" t="s">
        <v>27</v>
      </c>
    </row>
    <row r="789" spans="1:6">
      <c r="A789" s="126">
        <v>46154</v>
      </c>
      <c r="B789" s="131" t="s">
        <v>1072</v>
      </c>
      <c r="C789" s="133" t="s">
        <v>307</v>
      </c>
      <c r="D789" s="129">
        <v>309.75</v>
      </c>
      <c r="E789" s="525" t="s">
        <v>397</v>
      </c>
      <c r="F789" s="124" t="s">
        <v>27</v>
      </c>
    </row>
    <row r="790" spans="1:6">
      <c r="A790" s="126">
        <v>46154</v>
      </c>
      <c r="B790" s="131" t="s">
        <v>1073</v>
      </c>
      <c r="C790" s="133" t="s">
        <v>307</v>
      </c>
      <c r="D790" s="132">
        <v>358.4</v>
      </c>
      <c r="E790" s="525" t="s">
        <v>397</v>
      </c>
      <c r="F790" s="124" t="s">
        <v>27</v>
      </c>
    </row>
    <row r="791" spans="1:6">
      <c r="A791" s="126">
        <v>46154</v>
      </c>
      <c r="B791" s="127" t="s">
        <v>1073</v>
      </c>
      <c r="C791" s="133" t="s">
        <v>307</v>
      </c>
      <c r="D791" s="129">
        <v>528.61</v>
      </c>
      <c r="E791" s="525" t="s">
        <v>397</v>
      </c>
      <c r="F791" s="124" t="s">
        <v>27</v>
      </c>
    </row>
    <row r="792" spans="1:6">
      <c r="A792" s="126">
        <v>46155</v>
      </c>
      <c r="B792" s="131" t="s">
        <v>305</v>
      </c>
      <c r="C792" s="133" t="s">
        <v>175</v>
      </c>
      <c r="D792" s="129">
        <v>19.91</v>
      </c>
      <c r="E792" s="525" t="s">
        <v>397</v>
      </c>
      <c r="F792" s="124" t="s">
        <v>27</v>
      </c>
    </row>
    <row r="793" spans="1:6">
      <c r="A793" s="126">
        <v>46155</v>
      </c>
      <c r="B793" s="131" t="s">
        <v>1104</v>
      </c>
      <c r="C793" s="133" t="s">
        <v>307</v>
      </c>
      <c r="D793" s="132">
        <v>111</v>
      </c>
      <c r="E793" s="525" t="s">
        <v>397</v>
      </c>
      <c r="F793" s="124" t="s">
        <v>27</v>
      </c>
    </row>
    <row r="794" spans="1:6">
      <c r="A794" s="126">
        <v>46155</v>
      </c>
      <c r="B794" s="127" t="s">
        <v>1158</v>
      </c>
      <c r="C794" s="133" t="s">
        <v>307</v>
      </c>
      <c r="D794" s="129">
        <v>800</v>
      </c>
      <c r="E794" s="525" t="s">
        <v>397</v>
      </c>
      <c r="F794" s="124" t="s">
        <v>27</v>
      </c>
    </row>
    <row r="795" spans="1:6">
      <c r="A795" s="126">
        <v>46155</v>
      </c>
      <c r="B795" s="131" t="s">
        <v>1073</v>
      </c>
      <c r="C795" s="133" t="s">
        <v>307</v>
      </c>
      <c r="D795" s="132">
        <v>632.73</v>
      </c>
      <c r="E795" s="525" t="s">
        <v>397</v>
      </c>
      <c r="F795" s="124" t="s">
        <v>27</v>
      </c>
    </row>
    <row r="796" spans="1:6">
      <c r="A796" s="126">
        <v>46155</v>
      </c>
      <c r="B796" s="127" t="s">
        <v>1799</v>
      </c>
      <c r="C796" s="133" t="s">
        <v>307</v>
      </c>
      <c r="D796" s="129">
        <v>1371.08</v>
      </c>
      <c r="E796" s="525" t="s">
        <v>397</v>
      </c>
      <c r="F796" s="124" t="s">
        <v>27</v>
      </c>
    </row>
    <row r="797" spans="1:6">
      <c r="A797" s="126">
        <v>46155</v>
      </c>
      <c r="B797" s="128" t="s">
        <v>1166</v>
      </c>
      <c r="C797" s="133" t="s">
        <v>307</v>
      </c>
      <c r="D797" s="134">
        <v>476.75</v>
      </c>
      <c r="E797" s="525" t="s">
        <v>397</v>
      </c>
      <c r="F797" s="124" t="s">
        <v>27</v>
      </c>
    </row>
    <row r="798" spans="1:6">
      <c r="A798" s="126">
        <v>46155</v>
      </c>
      <c r="B798" s="128" t="s">
        <v>1050</v>
      </c>
      <c r="C798" s="133" t="s">
        <v>307</v>
      </c>
      <c r="D798" s="134">
        <v>708</v>
      </c>
      <c r="E798" s="525" t="s">
        <v>397</v>
      </c>
      <c r="F798" s="124" t="s">
        <v>27</v>
      </c>
    </row>
    <row r="799" spans="1:6">
      <c r="A799" s="126">
        <v>46155</v>
      </c>
      <c r="B799" s="537" t="s">
        <v>1081</v>
      </c>
      <c r="C799" s="133" t="s">
        <v>307</v>
      </c>
      <c r="D799" s="538">
        <v>205</v>
      </c>
      <c r="E799" s="525" t="s">
        <v>397</v>
      </c>
      <c r="F799" s="124" t="s">
        <v>27</v>
      </c>
    </row>
    <row r="800" spans="1:6">
      <c r="A800" s="126">
        <v>46155</v>
      </c>
      <c r="B800" s="128" t="s">
        <v>1156</v>
      </c>
      <c r="C800" s="133" t="s">
        <v>307</v>
      </c>
      <c r="D800" s="134">
        <v>522</v>
      </c>
      <c r="E800" s="525" t="s">
        <v>397</v>
      </c>
      <c r="F800" s="124" t="s">
        <v>27</v>
      </c>
    </row>
    <row r="801" spans="1:6">
      <c r="A801" s="126">
        <v>46155</v>
      </c>
      <c r="B801" s="128" t="s">
        <v>1214</v>
      </c>
      <c r="C801" s="133" t="s">
        <v>307</v>
      </c>
      <c r="D801" s="134">
        <v>522</v>
      </c>
      <c r="E801" s="525" t="s">
        <v>397</v>
      </c>
      <c r="F801" s="124" t="s">
        <v>27</v>
      </c>
    </row>
    <row r="802" spans="1:6">
      <c r="A802" s="126">
        <v>46155</v>
      </c>
      <c r="B802" s="128" t="s">
        <v>1166</v>
      </c>
      <c r="C802" s="133" t="s">
        <v>307</v>
      </c>
      <c r="D802" s="134">
        <v>212</v>
      </c>
      <c r="E802" s="525" t="s">
        <v>397</v>
      </c>
      <c r="F802" s="124" t="s">
        <v>27</v>
      </c>
    </row>
    <row r="803" spans="1:6">
      <c r="A803" s="126">
        <v>46155</v>
      </c>
      <c r="B803" s="128" t="s">
        <v>306</v>
      </c>
      <c r="C803" s="133" t="s">
        <v>307</v>
      </c>
      <c r="D803" s="134">
        <v>725.8</v>
      </c>
      <c r="E803" s="525" t="s">
        <v>397</v>
      </c>
      <c r="F803" s="124" t="s">
        <v>27</v>
      </c>
    </row>
    <row r="804" spans="1:6">
      <c r="A804" s="139">
        <v>46155</v>
      </c>
      <c r="B804" s="141" t="s">
        <v>1072</v>
      </c>
      <c r="C804" s="158" t="s">
        <v>307</v>
      </c>
      <c r="D804" s="541">
        <v>164.17</v>
      </c>
      <c r="E804" s="525" t="s">
        <v>397</v>
      </c>
      <c r="F804" s="124" t="s">
        <v>27</v>
      </c>
    </row>
    <row r="805" spans="1:6">
      <c r="A805" s="139">
        <v>46156</v>
      </c>
      <c r="B805" s="141" t="s">
        <v>1171</v>
      </c>
      <c r="C805" s="158" t="s">
        <v>307</v>
      </c>
      <c r="D805" s="541">
        <v>342</v>
      </c>
      <c r="E805" s="525" t="s">
        <v>397</v>
      </c>
      <c r="F805" s="124" t="s">
        <v>27</v>
      </c>
    </row>
    <row r="806" spans="1:6">
      <c r="A806" s="126">
        <v>46156</v>
      </c>
      <c r="B806" s="128" t="s">
        <v>305</v>
      </c>
      <c r="C806" s="133" t="s">
        <v>175</v>
      </c>
      <c r="D806" s="134">
        <v>16.29</v>
      </c>
      <c r="E806" s="525" t="s">
        <v>397</v>
      </c>
      <c r="F806" s="124" t="s">
        <v>27</v>
      </c>
    </row>
    <row r="807" spans="1:6">
      <c r="A807" s="126">
        <v>46156</v>
      </c>
      <c r="B807" s="128" t="s">
        <v>1073</v>
      </c>
      <c r="C807" s="133" t="s">
        <v>307</v>
      </c>
      <c r="D807" s="134">
        <v>551.11</v>
      </c>
      <c r="E807" s="525" t="s">
        <v>397</v>
      </c>
      <c r="F807" s="124" t="s">
        <v>27</v>
      </c>
    </row>
    <row r="808" spans="1:6">
      <c r="A808" s="126">
        <v>46156</v>
      </c>
      <c r="B808" s="128" t="s">
        <v>1074</v>
      </c>
      <c r="C808" s="133" t="s">
        <v>307</v>
      </c>
      <c r="D808" s="134">
        <v>341.18</v>
      </c>
      <c r="E808" s="525" t="s">
        <v>397</v>
      </c>
      <c r="F808" s="124" t="s">
        <v>27</v>
      </c>
    </row>
    <row r="809" spans="1:6">
      <c r="A809" s="126">
        <v>46156</v>
      </c>
      <c r="B809" s="128" t="s">
        <v>1050</v>
      </c>
      <c r="C809" s="133" t="s">
        <v>307</v>
      </c>
      <c r="D809" s="134">
        <v>177</v>
      </c>
      <c r="E809" s="525" t="s">
        <v>397</v>
      </c>
      <c r="F809" s="124" t="s">
        <v>27</v>
      </c>
    </row>
    <row r="810" spans="1:6">
      <c r="A810" s="126">
        <v>46156</v>
      </c>
      <c r="B810" s="128" t="s">
        <v>306</v>
      </c>
      <c r="C810" s="133" t="s">
        <v>307</v>
      </c>
      <c r="D810" s="134">
        <v>931.73</v>
      </c>
      <c r="E810" s="525" t="s">
        <v>397</v>
      </c>
      <c r="F810" s="124" t="s">
        <v>27</v>
      </c>
    </row>
    <row r="811" spans="1:6">
      <c r="A811" s="126">
        <v>46156</v>
      </c>
      <c r="B811" s="128" t="s">
        <v>655</v>
      </c>
      <c r="C811" s="133" t="s">
        <v>307</v>
      </c>
      <c r="D811" s="134">
        <v>275</v>
      </c>
      <c r="E811" s="525" t="s">
        <v>397</v>
      </c>
      <c r="F811" s="124" t="s">
        <v>27</v>
      </c>
    </row>
    <row r="812" spans="1:6">
      <c r="A812" s="126">
        <v>46157</v>
      </c>
      <c r="B812" s="128" t="s">
        <v>1073</v>
      </c>
      <c r="C812" s="133" t="s">
        <v>307</v>
      </c>
      <c r="D812" s="134">
        <v>1889.48</v>
      </c>
      <c r="E812" s="525" t="s">
        <v>397</v>
      </c>
      <c r="F812" s="124" t="s">
        <v>27</v>
      </c>
    </row>
    <row r="813" spans="1:6">
      <c r="A813" s="126">
        <v>46157</v>
      </c>
      <c r="B813" s="128" t="s">
        <v>1156</v>
      </c>
      <c r="C813" s="133" t="s">
        <v>307</v>
      </c>
      <c r="D813" s="134">
        <v>455.85</v>
      </c>
      <c r="E813" s="525" t="s">
        <v>397</v>
      </c>
      <c r="F813" s="124" t="s">
        <v>27</v>
      </c>
    </row>
    <row r="814" spans="1:6">
      <c r="A814" s="126">
        <v>46157</v>
      </c>
      <c r="B814" s="128" t="s">
        <v>1211</v>
      </c>
      <c r="C814" s="133" t="s">
        <v>307</v>
      </c>
      <c r="D814" s="134">
        <v>520</v>
      </c>
      <c r="E814" s="525" t="s">
        <v>397</v>
      </c>
      <c r="F814" s="124" t="s">
        <v>27</v>
      </c>
    </row>
    <row r="815" spans="1:6">
      <c r="A815" s="126">
        <v>46157</v>
      </c>
      <c r="B815" s="133" t="s">
        <v>318</v>
      </c>
      <c r="C815" s="133" t="s">
        <v>307</v>
      </c>
      <c r="D815" s="134">
        <v>612</v>
      </c>
      <c r="E815" s="525" t="s">
        <v>397</v>
      </c>
      <c r="F815" s="124" t="s">
        <v>27</v>
      </c>
    </row>
    <row r="816" spans="1:6">
      <c r="A816" s="126">
        <v>46157</v>
      </c>
      <c r="B816" s="128" t="s">
        <v>305</v>
      </c>
      <c r="C816" s="133" t="s">
        <v>175</v>
      </c>
      <c r="D816" s="134">
        <v>12.67</v>
      </c>
      <c r="E816" s="525" t="s">
        <v>397</v>
      </c>
      <c r="F816" s="124" t="s">
        <v>27</v>
      </c>
    </row>
    <row r="817" spans="1:6">
      <c r="A817" s="126">
        <v>46160</v>
      </c>
      <c r="B817" s="128" t="s">
        <v>305</v>
      </c>
      <c r="C817" s="133" t="s">
        <v>175</v>
      </c>
      <c r="D817" s="134">
        <v>14.48</v>
      </c>
      <c r="E817" s="525" t="s">
        <v>397</v>
      </c>
      <c r="F817" s="124" t="s">
        <v>27</v>
      </c>
    </row>
    <row r="818" spans="1:6">
      <c r="A818" s="126">
        <v>46160</v>
      </c>
      <c r="B818" s="133" t="s">
        <v>1074</v>
      </c>
      <c r="C818" s="133" t="s">
        <v>307</v>
      </c>
      <c r="D818" s="134">
        <v>85.73</v>
      </c>
      <c r="E818" s="525" t="s">
        <v>397</v>
      </c>
      <c r="F818" s="124" t="s">
        <v>27</v>
      </c>
    </row>
    <row r="819" spans="1:6">
      <c r="A819" s="126">
        <v>46160</v>
      </c>
      <c r="B819" s="133" t="s">
        <v>1072</v>
      </c>
      <c r="C819" s="133" t="s">
        <v>307</v>
      </c>
      <c r="D819" s="134">
        <v>448.94</v>
      </c>
      <c r="E819" s="525" t="s">
        <v>397</v>
      </c>
      <c r="F819" s="124" t="s">
        <v>27</v>
      </c>
    </row>
    <row r="820" spans="1:6">
      <c r="A820" s="126">
        <v>46160</v>
      </c>
      <c r="B820" s="128" t="s">
        <v>1787</v>
      </c>
      <c r="C820" s="133" t="s">
        <v>1788</v>
      </c>
      <c r="D820" s="134">
        <v>229.47</v>
      </c>
      <c r="E820" s="525" t="s">
        <v>397</v>
      </c>
      <c r="F820" s="124" t="s">
        <v>27</v>
      </c>
    </row>
    <row r="821" spans="1:6">
      <c r="A821" s="126">
        <v>46160</v>
      </c>
      <c r="B821" s="128" t="s">
        <v>1805</v>
      </c>
      <c r="C821" s="133" t="s">
        <v>307</v>
      </c>
      <c r="D821" s="134">
        <v>125</v>
      </c>
      <c r="E821" s="525" t="s">
        <v>397</v>
      </c>
      <c r="F821" s="124" t="s">
        <v>27</v>
      </c>
    </row>
    <row r="822" spans="1:6">
      <c r="A822" s="126">
        <v>46161</v>
      </c>
      <c r="B822" s="128" t="s">
        <v>305</v>
      </c>
      <c r="C822" s="133" t="s">
        <v>175</v>
      </c>
      <c r="D822" s="134">
        <v>5.43</v>
      </c>
      <c r="E822" s="525" t="s">
        <v>397</v>
      </c>
      <c r="F822" s="124" t="s">
        <v>27</v>
      </c>
    </row>
    <row r="823" spans="1:6">
      <c r="A823" s="126">
        <v>46161</v>
      </c>
      <c r="B823" s="128" t="s">
        <v>1806</v>
      </c>
      <c r="C823" s="133" t="s">
        <v>307</v>
      </c>
      <c r="D823" s="134">
        <v>453</v>
      </c>
      <c r="E823" s="525" t="s">
        <v>397</v>
      </c>
      <c r="F823" s="124" t="s">
        <v>27</v>
      </c>
    </row>
    <row r="824" spans="1:6">
      <c r="A824" s="126">
        <v>46161</v>
      </c>
      <c r="B824" s="128" t="s">
        <v>1073</v>
      </c>
      <c r="C824" s="133" t="s">
        <v>307</v>
      </c>
      <c r="D824" s="134">
        <v>3773.27</v>
      </c>
      <c r="E824" s="525" t="s">
        <v>397</v>
      </c>
      <c r="F824" s="124" t="s">
        <v>27</v>
      </c>
    </row>
    <row r="825" spans="1:6">
      <c r="A825" s="126">
        <v>46162</v>
      </c>
      <c r="B825" s="128" t="s">
        <v>1022</v>
      </c>
      <c r="C825" s="133" t="s">
        <v>307</v>
      </c>
      <c r="D825" s="134">
        <v>2934.11</v>
      </c>
      <c r="E825" s="525" t="s">
        <v>397</v>
      </c>
      <c r="F825" s="124" t="s">
        <v>27</v>
      </c>
    </row>
    <row r="826" spans="1:6">
      <c r="A826" s="126">
        <v>46162</v>
      </c>
      <c r="B826" s="128" t="s">
        <v>1166</v>
      </c>
      <c r="C826" s="133" t="s">
        <v>307</v>
      </c>
      <c r="D826" s="134">
        <v>476.75</v>
      </c>
      <c r="E826" s="525" t="s">
        <v>397</v>
      </c>
      <c r="F826" s="124" t="s">
        <v>27</v>
      </c>
    </row>
    <row r="827" spans="1:6">
      <c r="A827" s="126">
        <v>46162</v>
      </c>
      <c r="B827" s="128" t="s">
        <v>1206</v>
      </c>
      <c r="C827" s="133" t="s">
        <v>188</v>
      </c>
      <c r="D827" s="134">
        <v>855.8</v>
      </c>
      <c r="E827" s="525" t="s">
        <v>397</v>
      </c>
      <c r="F827" s="124" t="s">
        <v>27</v>
      </c>
    </row>
    <row r="828" spans="1:6">
      <c r="A828" s="126">
        <v>46162</v>
      </c>
      <c r="B828" s="128" t="s">
        <v>1207</v>
      </c>
      <c r="C828" s="133" t="s">
        <v>188</v>
      </c>
      <c r="D828" s="134">
        <v>720</v>
      </c>
      <c r="E828" s="525" t="s">
        <v>397</v>
      </c>
      <c r="F828" s="124" t="s">
        <v>27</v>
      </c>
    </row>
    <row r="829" spans="1:6">
      <c r="A829" s="126">
        <v>46162</v>
      </c>
      <c r="B829" s="128" t="s">
        <v>320</v>
      </c>
      <c r="C829" s="133" t="s">
        <v>313</v>
      </c>
      <c r="D829" s="134">
        <v>13161.14</v>
      </c>
      <c r="E829" s="525" t="s">
        <v>397</v>
      </c>
      <c r="F829" s="124" t="s">
        <v>27</v>
      </c>
    </row>
    <row r="830" spans="1:6">
      <c r="A830" s="126">
        <v>46162</v>
      </c>
      <c r="B830" s="131" t="s">
        <v>1055</v>
      </c>
      <c r="C830" s="133" t="s">
        <v>313</v>
      </c>
      <c r="D830" s="132">
        <v>1048.2</v>
      </c>
      <c r="E830" s="525" t="s">
        <v>397</v>
      </c>
      <c r="F830" s="124" t="s">
        <v>27</v>
      </c>
    </row>
    <row r="831" spans="1:6">
      <c r="A831" s="126">
        <v>46162</v>
      </c>
      <c r="B831" s="128" t="s">
        <v>1053</v>
      </c>
      <c r="C831" s="133" t="s">
        <v>313</v>
      </c>
      <c r="D831" s="162">
        <v>555.79999999999995</v>
      </c>
      <c r="E831" s="525" t="s">
        <v>397</v>
      </c>
      <c r="F831" s="124" t="s">
        <v>27</v>
      </c>
    </row>
    <row r="832" spans="1:6">
      <c r="A832" s="126">
        <v>46162</v>
      </c>
      <c r="B832" s="128" t="s">
        <v>1057</v>
      </c>
      <c r="C832" s="421" t="s">
        <v>207</v>
      </c>
      <c r="D832" s="162">
        <v>496.24</v>
      </c>
      <c r="E832" s="525" t="s">
        <v>397</v>
      </c>
      <c r="F832" s="124" t="s">
        <v>27</v>
      </c>
    </row>
    <row r="833" spans="1:6">
      <c r="A833" s="126">
        <v>46162</v>
      </c>
      <c r="B833" s="128" t="s">
        <v>1057</v>
      </c>
      <c r="C833" s="421" t="s">
        <v>207</v>
      </c>
      <c r="D833" s="162">
        <v>473.47</v>
      </c>
      <c r="E833" s="525" t="s">
        <v>397</v>
      </c>
      <c r="F833" s="124" t="s">
        <v>27</v>
      </c>
    </row>
    <row r="834" spans="1:6">
      <c r="A834" s="126">
        <v>46162</v>
      </c>
      <c r="B834" s="128" t="s">
        <v>305</v>
      </c>
      <c r="C834" s="133" t="s">
        <v>175</v>
      </c>
      <c r="D834" s="162">
        <v>7.24</v>
      </c>
      <c r="E834" s="525" t="s">
        <v>397</v>
      </c>
      <c r="F834" s="124" t="s">
        <v>27</v>
      </c>
    </row>
    <row r="835" spans="1:6">
      <c r="A835" s="126">
        <v>46163</v>
      </c>
      <c r="B835" s="128" t="s">
        <v>305</v>
      </c>
      <c r="C835" s="133" t="s">
        <v>175</v>
      </c>
      <c r="D835" s="162">
        <v>10.86</v>
      </c>
      <c r="E835" s="525" t="s">
        <v>397</v>
      </c>
      <c r="F835" s="124" t="s">
        <v>27</v>
      </c>
    </row>
    <row r="836" spans="1:6">
      <c r="A836" s="126">
        <v>46163</v>
      </c>
      <c r="B836" s="128" t="s">
        <v>1022</v>
      </c>
      <c r="C836" s="133" t="s">
        <v>307</v>
      </c>
      <c r="D836" s="162">
        <v>2689.46</v>
      </c>
      <c r="E836" s="525" t="s">
        <v>397</v>
      </c>
      <c r="F836" s="124" t="s">
        <v>27</v>
      </c>
    </row>
    <row r="837" spans="1:6">
      <c r="A837" s="126">
        <v>46163</v>
      </c>
      <c r="B837" s="128" t="s">
        <v>1166</v>
      </c>
      <c r="C837" s="133" t="s">
        <v>307</v>
      </c>
      <c r="D837" s="162">
        <v>757.9</v>
      </c>
      <c r="E837" s="525" t="s">
        <v>397</v>
      </c>
      <c r="F837" s="124" t="s">
        <v>27</v>
      </c>
    </row>
    <row r="838" spans="1:6">
      <c r="A838" s="126">
        <v>46163</v>
      </c>
      <c r="B838" s="128" t="s">
        <v>655</v>
      </c>
      <c r="C838" s="133" t="s">
        <v>307</v>
      </c>
      <c r="D838" s="162">
        <v>500</v>
      </c>
      <c r="E838" s="525" t="s">
        <v>397</v>
      </c>
      <c r="F838" s="124" t="s">
        <v>27</v>
      </c>
    </row>
    <row r="839" spans="1:6">
      <c r="A839" s="126">
        <v>46163</v>
      </c>
      <c r="B839" s="128" t="s">
        <v>1807</v>
      </c>
      <c r="C839" s="133" t="s">
        <v>307</v>
      </c>
      <c r="D839" s="162">
        <v>549</v>
      </c>
      <c r="E839" s="525" t="s">
        <v>397</v>
      </c>
      <c r="F839" s="124" t="s">
        <v>27</v>
      </c>
    </row>
    <row r="840" spans="1:6">
      <c r="A840" s="126">
        <v>46163</v>
      </c>
      <c r="B840" s="128" t="s">
        <v>1808</v>
      </c>
      <c r="C840" s="133" t="s">
        <v>307</v>
      </c>
      <c r="D840" s="162">
        <v>784.07</v>
      </c>
      <c r="E840" s="525" t="s">
        <v>397</v>
      </c>
      <c r="F840" s="124" t="s">
        <v>27</v>
      </c>
    </row>
    <row r="841" spans="1:6">
      <c r="A841" s="126">
        <v>46164</v>
      </c>
      <c r="B841" s="128" t="s">
        <v>305</v>
      </c>
      <c r="C841" s="133" t="s">
        <v>175</v>
      </c>
      <c r="D841" s="162">
        <v>10.86</v>
      </c>
      <c r="E841" s="525" t="s">
        <v>397</v>
      </c>
      <c r="F841" s="124" t="s">
        <v>27</v>
      </c>
    </row>
    <row r="842" spans="1:6">
      <c r="A842" s="126">
        <v>46164</v>
      </c>
      <c r="B842" s="128" t="s">
        <v>1038</v>
      </c>
      <c r="C842" s="133" t="s">
        <v>307</v>
      </c>
      <c r="D842" s="162">
        <v>613.78</v>
      </c>
      <c r="E842" s="525" t="s">
        <v>397</v>
      </c>
      <c r="F842" s="124" t="s">
        <v>27</v>
      </c>
    </row>
    <row r="843" spans="1:6">
      <c r="A843" s="126">
        <v>46164</v>
      </c>
      <c r="B843" s="128" t="s">
        <v>1156</v>
      </c>
      <c r="C843" s="133" t="s">
        <v>307</v>
      </c>
      <c r="D843" s="162">
        <v>547.75</v>
      </c>
      <c r="E843" s="525" t="s">
        <v>397</v>
      </c>
      <c r="F843" s="124" t="s">
        <v>27</v>
      </c>
    </row>
    <row r="844" spans="1:6">
      <c r="A844" s="126">
        <v>46164</v>
      </c>
      <c r="B844" s="128" t="s">
        <v>1073</v>
      </c>
      <c r="C844" s="133" t="s">
        <v>307</v>
      </c>
      <c r="D844" s="162">
        <v>683.43</v>
      </c>
      <c r="E844" s="525" t="s">
        <v>397</v>
      </c>
      <c r="F844" s="124" t="s">
        <v>27</v>
      </c>
    </row>
    <row r="845" spans="1:6">
      <c r="A845" s="126">
        <v>46164</v>
      </c>
      <c r="B845" s="128" t="s">
        <v>1073</v>
      </c>
      <c r="C845" s="133" t="s">
        <v>307</v>
      </c>
      <c r="D845" s="162">
        <v>3044.94</v>
      </c>
      <c r="E845" s="525" t="s">
        <v>397</v>
      </c>
      <c r="F845" s="124" t="s">
        <v>27</v>
      </c>
    </row>
    <row r="846" spans="1:6">
      <c r="A846" s="126">
        <v>46164</v>
      </c>
      <c r="B846" s="128" t="s">
        <v>1073</v>
      </c>
      <c r="C846" s="133" t="s">
        <v>307</v>
      </c>
      <c r="D846" s="162">
        <v>396.92</v>
      </c>
      <c r="E846" s="525" t="s">
        <v>397</v>
      </c>
      <c r="F846" s="124" t="s">
        <v>27</v>
      </c>
    </row>
    <row r="847" spans="1:6">
      <c r="A847" s="126">
        <v>46164</v>
      </c>
      <c r="B847" s="128" t="s">
        <v>1011</v>
      </c>
      <c r="C847" s="133" t="s">
        <v>307</v>
      </c>
      <c r="D847" s="162">
        <v>450</v>
      </c>
      <c r="E847" s="525" t="s">
        <v>397</v>
      </c>
      <c r="F847" s="124" t="s">
        <v>27</v>
      </c>
    </row>
    <row r="848" spans="1:6">
      <c r="A848" s="126">
        <v>46164</v>
      </c>
      <c r="B848" s="128" t="s">
        <v>1809</v>
      </c>
      <c r="C848" s="133" t="s">
        <v>307</v>
      </c>
      <c r="D848" s="162">
        <v>216</v>
      </c>
      <c r="E848" s="525" t="s">
        <v>397</v>
      </c>
      <c r="F848" s="124" t="s">
        <v>27</v>
      </c>
    </row>
    <row r="849" spans="1:6">
      <c r="A849" s="126">
        <v>46164</v>
      </c>
      <c r="B849" s="128" t="s">
        <v>1072</v>
      </c>
      <c r="C849" s="133" t="s">
        <v>307</v>
      </c>
      <c r="D849" s="162">
        <v>374.4</v>
      </c>
      <c r="E849" s="525" t="s">
        <v>397</v>
      </c>
      <c r="F849" s="124" t="s">
        <v>27</v>
      </c>
    </row>
    <row r="850" spans="1:6">
      <c r="A850" s="126">
        <v>46164</v>
      </c>
      <c r="B850" s="128" t="s">
        <v>1810</v>
      </c>
      <c r="C850" s="133" t="s">
        <v>307</v>
      </c>
      <c r="D850" s="162">
        <v>371.46</v>
      </c>
      <c r="E850" s="525" t="s">
        <v>397</v>
      </c>
      <c r="F850" s="124" t="s">
        <v>27</v>
      </c>
    </row>
    <row r="851" spans="1:6">
      <c r="A851" s="126">
        <v>46164</v>
      </c>
      <c r="B851" s="128" t="s">
        <v>1145</v>
      </c>
      <c r="C851" s="133" t="s">
        <v>307</v>
      </c>
      <c r="D851" s="162">
        <v>479.6</v>
      </c>
      <c r="E851" s="525" t="s">
        <v>397</v>
      </c>
      <c r="F851" s="124" t="s">
        <v>27</v>
      </c>
    </row>
    <row r="852" spans="1:6">
      <c r="A852" s="126">
        <v>46164</v>
      </c>
      <c r="B852" s="542" t="s">
        <v>1011</v>
      </c>
      <c r="C852" s="133" t="s">
        <v>307</v>
      </c>
      <c r="D852" s="543">
        <v>208</v>
      </c>
      <c r="E852" s="525" t="s">
        <v>397</v>
      </c>
      <c r="F852" s="124" t="s">
        <v>27</v>
      </c>
    </row>
    <row r="853" spans="1:6">
      <c r="A853" s="126">
        <v>46164</v>
      </c>
      <c r="B853" s="542" t="s">
        <v>1806</v>
      </c>
      <c r="C853" s="544" t="s">
        <v>307</v>
      </c>
      <c r="D853" s="543">
        <v>78</v>
      </c>
      <c r="E853" s="525" t="s">
        <v>397</v>
      </c>
      <c r="F853" s="124" t="s">
        <v>27</v>
      </c>
    </row>
    <row r="854" spans="1:6">
      <c r="A854" s="126">
        <v>46167</v>
      </c>
      <c r="B854" s="542" t="s">
        <v>1104</v>
      </c>
      <c r="C854" s="544" t="s">
        <v>307</v>
      </c>
      <c r="D854" s="543">
        <v>6.07</v>
      </c>
      <c r="E854" s="525" t="s">
        <v>397</v>
      </c>
      <c r="F854" s="124" t="s">
        <v>27</v>
      </c>
    </row>
    <row r="855" spans="1:6" ht="30">
      <c r="A855" s="126">
        <v>46167</v>
      </c>
      <c r="B855" s="542" t="s">
        <v>302</v>
      </c>
      <c r="C855" s="445" t="s">
        <v>184</v>
      </c>
      <c r="D855" s="543">
        <v>2595.3200000000002</v>
      </c>
      <c r="E855" s="525" t="s">
        <v>397</v>
      </c>
      <c r="F855" s="124" t="s">
        <v>27</v>
      </c>
    </row>
    <row r="856" spans="1:6">
      <c r="A856" s="126">
        <v>46167</v>
      </c>
      <c r="B856" s="542" t="s">
        <v>1073</v>
      </c>
      <c r="C856" s="544" t="s">
        <v>307</v>
      </c>
      <c r="D856" s="543">
        <v>487.44</v>
      </c>
      <c r="E856" s="525" t="s">
        <v>397</v>
      </c>
      <c r="F856" s="124" t="s">
        <v>27</v>
      </c>
    </row>
    <row r="857" spans="1:6">
      <c r="A857" s="126">
        <v>46167</v>
      </c>
      <c r="B857" s="542" t="s">
        <v>1214</v>
      </c>
      <c r="C857" s="544" t="s">
        <v>307</v>
      </c>
      <c r="D857" s="543">
        <v>400</v>
      </c>
      <c r="E857" s="525" t="s">
        <v>397</v>
      </c>
      <c r="F857" s="124" t="s">
        <v>27</v>
      </c>
    </row>
    <row r="858" spans="1:6">
      <c r="A858" s="126">
        <v>46167</v>
      </c>
      <c r="B858" s="131" t="s">
        <v>1073</v>
      </c>
      <c r="C858" s="544" t="s">
        <v>307</v>
      </c>
      <c r="D858" s="132">
        <v>1226.01</v>
      </c>
      <c r="E858" s="525" t="s">
        <v>397</v>
      </c>
      <c r="F858" s="124" t="s">
        <v>27</v>
      </c>
    </row>
    <row r="859" spans="1:6">
      <c r="A859" s="126">
        <v>46167</v>
      </c>
      <c r="B859" s="131" t="s">
        <v>306</v>
      </c>
      <c r="C859" s="544" t="s">
        <v>307</v>
      </c>
      <c r="D859" s="132">
        <v>858</v>
      </c>
      <c r="E859" s="525" t="s">
        <v>397</v>
      </c>
      <c r="F859" s="124" t="s">
        <v>27</v>
      </c>
    </row>
    <row r="860" spans="1:6">
      <c r="A860" s="126">
        <v>46167</v>
      </c>
      <c r="B860" s="131" t="s">
        <v>306</v>
      </c>
      <c r="C860" s="544" t="s">
        <v>307</v>
      </c>
      <c r="D860" s="132">
        <v>618.20000000000005</v>
      </c>
      <c r="E860" s="525" t="s">
        <v>397</v>
      </c>
      <c r="F860" s="124" t="s">
        <v>27</v>
      </c>
    </row>
    <row r="861" spans="1:6">
      <c r="A861" s="126">
        <v>46167</v>
      </c>
      <c r="B861" s="131" t="s">
        <v>1133</v>
      </c>
      <c r="C861" s="544" t="s">
        <v>307</v>
      </c>
      <c r="D861" s="132">
        <v>1324</v>
      </c>
      <c r="E861" s="525" t="s">
        <v>397</v>
      </c>
      <c r="F861" s="124" t="s">
        <v>27</v>
      </c>
    </row>
    <row r="862" spans="1:6">
      <c r="A862" s="126">
        <v>46167</v>
      </c>
      <c r="B862" s="131" t="s">
        <v>1073</v>
      </c>
      <c r="C862" s="544" t="s">
        <v>307</v>
      </c>
      <c r="D862" s="132">
        <v>671.95</v>
      </c>
      <c r="E862" s="525" t="s">
        <v>397</v>
      </c>
      <c r="F862" s="124" t="s">
        <v>27</v>
      </c>
    </row>
    <row r="863" spans="1:6">
      <c r="A863" s="126">
        <v>46167</v>
      </c>
      <c r="B863" s="131" t="s">
        <v>1025</v>
      </c>
      <c r="C863" s="544" t="s">
        <v>307</v>
      </c>
      <c r="D863" s="132">
        <v>290</v>
      </c>
      <c r="E863" s="525" t="s">
        <v>397</v>
      </c>
      <c r="F863" s="124" t="s">
        <v>27</v>
      </c>
    </row>
    <row r="864" spans="1:6">
      <c r="A864" s="126">
        <v>46167</v>
      </c>
      <c r="B864" s="131" t="s">
        <v>1073</v>
      </c>
      <c r="C864" s="544" t="s">
        <v>307</v>
      </c>
      <c r="D864" s="132">
        <v>1028.3699999999999</v>
      </c>
      <c r="E864" s="525" t="s">
        <v>397</v>
      </c>
      <c r="F864" s="124" t="s">
        <v>27</v>
      </c>
    </row>
    <row r="865" spans="1:6">
      <c r="A865" s="126">
        <v>46167</v>
      </c>
      <c r="B865" s="131" t="s">
        <v>1073</v>
      </c>
      <c r="C865" s="544" t="s">
        <v>307</v>
      </c>
      <c r="D865" s="132">
        <v>467.99</v>
      </c>
      <c r="E865" s="525" t="s">
        <v>397</v>
      </c>
      <c r="F865" s="124" t="s">
        <v>27</v>
      </c>
    </row>
    <row r="866" spans="1:6">
      <c r="A866" s="126">
        <v>46167</v>
      </c>
      <c r="B866" s="131" t="s">
        <v>1130</v>
      </c>
      <c r="C866" s="544" t="s">
        <v>307</v>
      </c>
      <c r="D866" s="132">
        <v>342</v>
      </c>
      <c r="E866" s="525" t="s">
        <v>397</v>
      </c>
      <c r="F866" s="124" t="s">
        <v>27</v>
      </c>
    </row>
    <row r="867" spans="1:6">
      <c r="A867" s="126">
        <v>46167</v>
      </c>
      <c r="B867" s="127" t="s">
        <v>1187</v>
      </c>
      <c r="C867" s="544" t="s">
        <v>307</v>
      </c>
      <c r="D867" s="129">
        <v>920.5</v>
      </c>
      <c r="E867" s="525" t="s">
        <v>397</v>
      </c>
      <c r="F867" s="124" t="s">
        <v>27</v>
      </c>
    </row>
    <row r="868" spans="1:6">
      <c r="A868" s="126">
        <v>46167</v>
      </c>
      <c r="B868" s="131" t="s">
        <v>1022</v>
      </c>
      <c r="C868" s="544" t="s">
        <v>307</v>
      </c>
      <c r="D868" s="134">
        <v>1087.3699999999999</v>
      </c>
      <c r="E868" s="525" t="s">
        <v>397</v>
      </c>
      <c r="F868" s="124" t="s">
        <v>27</v>
      </c>
    </row>
    <row r="869" spans="1:6">
      <c r="A869" s="126">
        <v>46167</v>
      </c>
      <c r="B869" s="127" t="s">
        <v>306</v>
      </c>
      <c r="C869" s="544" t="s">
        <v>307</v>
      </c>
      <c r="D869" s="134">
        <v>779.27</v>
      </c>
      <c r="E869" s="525" t="s">
        <v>397</v>
      </c>
      <c r="F869" s="124" t="s">
        <v>27</v>
      </c>
    </row>
    <row r="870" spans="1:6">
      <c r="A870" s="126">
        <v>46167</v>
      </c>
      <c r="B870" s="131" t="s">
        <v>1061</v>
      </c>
      <c r="C870" s="544" t="s">
        <v>192</v>
      </c>
      <c r="D870" s="132">
        <v>670.22</v>
      </c>
      <c r="E870" s="525" t="s">
        <v>397</v>
      </c>
      <c r="F870" s="124" t="s">
        <v>27</v>
      </c>
    </row>
    <row r="871" spans="1:6">
      <c r="A871" s="126">
        <v>46167</v>
      </c>
      <c r="B871" s="131" t="s">
        <v>305</v>
      </c>
      <c r="C871" s="133" t="s">
        <v>175</v>
      </c>
      <c r="D871" s="132">
        <v>9.0500000000000007</v>
      </c>
      <c r="E871" s="525" t="s">
        <v>397</v>
      </c>
      <c r="F871" s="124" t="s">
        <v>27</v>
      </c>
    </row>
    <row r="872" spans="1:6">
      <c r="A872" s="126">
        <v>46168</v>
      </c>
      <c r="B872" s="131" t="s">
        <v>1070</v>
      </c>
      <c r="C872" s="133" t="s">
        <v>307</v>
      </c>
      <c r="D872" s="132">
        <v>250</v>
      </c>
      <c r="E872" s="525" t="s">
        <v>397</v>
      </c>
      <c r="F872" s="124" t="s">
        <v>27</v>
      </c>
    </row>
    <row r="873" spans="1:6">
      <c r="A873" s="126">
        <v>46168</v>
      </c>
      <c r="B873" s="131" t="s">
        <v>1126</v>
      </c>
      <c r="C873" s="133" t="s">
        <v>307</v>
      </c>
      <c r="D873" s="132">
        <v>342.41</v>
      </c>
      <c r="E873" s="525" t="s">
        <v>397</v>
      </c>
      <c r="F873" s="124" t="s">
        <v>27</v>
      </c>
    </row>
    <row r="874" spans="1:6">
      <c r="A874" s="126">
        <v>46168</v>
      </c>
      <c r="B874" s="127" t="s">
        <v>1811</v>
      </c>
      <c r="C874" s="133" t="s">
        <v>307</v>
      </c>
      <c r="D874" s="129">
        <v>899</v>
      </c>
      <c r="E874" s="525" t="s">
        <v>397</v>
      </c>
      <c r="F874" s="124" t="s">
        <v>27</v>
      </c>
    </row>
    <row r="875" spans="1:6">
      <c r="A875" s="126">
        <v>46168</v>
      </c>
      <c r="B875" s="131" t="s">
        <v>306</v>
      </c>
      <c r="C875" s="133" t="s">
        <v>307</v>
      </c>
      <c r="D875" s="132">
        <v>904.43</v>
      </c>
      <c r="E875" s="525" t="s">
        <v>397</v>
      </c>
      <c r="F875" s="124" t="s">
        <v>27</v>
      </c>
    </row>
    <row r="876" spans="1:6">
      <c r="A876" s="126">
        <v>46168</v>
      </c>
      <c r="B876" s="127" t="s">
        <v>305</v>
      </c>
      <c r="C876" s="133" t="s">
        <v>175</v>
      </c>
      <c r="D876" s="129">
        <v>12.67</v>
      </c>
      <c r="E876" s="525" t="s">
        <v>397</v>
      </c>
      <c r="F876" s="124" t="s">
        <v>27</v>
      </c>
    </row>
    <row r="877" spans="1:6">
      <c r="A877" s="126">
        <v>46169</v>
      </c>
      <c r="B877" s="127" t="s">
        <v>305</v>
      </c>
      <c r="C877" s="133" t="s">
        <v>175</v>
      </c>
      <c r="D877" s="134">
        <v>12.67</v>
      </c>
      <c r="E877" s="525" t="s">
        <v>397</v>
      </c>
      <c r="F877" s="124" t="s">
        <v>27</v>
      </c>
    </row>
    <row r="878" spans="1:6">
      <c r="A878" s="126">
        <v>46169</v>
      </c>
      <c r="B878" s="133" t="s">
        <v>1145</v>
      </c>
      <c r="C878" s="133" t="s">
        <v>307</v>
      </c>
      <c r="D878" s="134">
        <v>243.8</v>
      </c>
      <c r="E878" s="525" t="s">
        <v>397</v>
      </c>
      <c r="F878" s="124" t="s">
        <v>27</v>
      </c>
    </row>
    <row r="879" spans="1:6">
      <c r="A879" s="126">
        <v>46169</v>
      </c>
      <c r="B879" s="133" t="s">
        <v>1291</v>
      </c>
      <c r="C879" s="133" t="s">
        <v>307</v>
      </c>
      <c r="D879" s="134">
        <v>1999.4</v>
      </c>
      <c r="E879" s="525" t="s">
        <v>397</v>
      </c>
      <c r="F879" s="124" t="s">
        <v>27</v>
      </c>
    </row>
    <row r="880" spans="1:6">
      <c r="A880" s="126">
        <v>46169</v>
      </c>
      <c r="B880" s="133" t="s">
        <v>1074</v>
      </c>
      <c r="C880" s="133" t="s">
        <v>307</v>
      </c>
      <c r="D880" s="134">
        <v>499.7</v>
      </c>
      <c r="E880" s="525" t="s">
        <v>397</v>
      </c>
      <c r="F880" s="124" t="s">
        <v>27</v>
      </c>
    </row>
    <row r="881" spans="1:6">
      <c r="A881" s="126">
        <v>46169</v>
      </c>
      <c r="B881" s="133" t="s">
        <v>1081</v>
      </c>
      <c r="C881" s="133" t="s">
        <v>307</v>
      </c>
      <c r="D881" s="134">
        <v>307</v>
      </c>
      <c r="E881" s="525" t="s">
        <v>397</v>
      </c>
      <c r="F881" s="124" t="s">
        <v>27</v>
      </c>
    </row>
    <row r="882" spans="1:6">
      <c r="A882" s="126">
        <v>46169</v>
      </c>
      <c r="B882" s="133" t="s">
        <v>1812</v>
      </c>
      <c r="C882" s="133" t="s">
        <v>307</v>
      </c>
      <c r="D882" s="134">
        <v>288</v>
      </c>
      <c r="E882" s="525" t="s">
        <v>397</v>
      </c>
      <c r="F882" s="124" t="s">
        <v>27</v>
      </c>
    </row>
    <row r="883" spans="1:6">
      <c r="A883" s="126">
        <v>46169</v>
      </c>
      <c r="B883" s="133" t="s">
        <v>1110</v>
      </c>
      <c r="C883" s="133" t="s">
        <v>192</v>
      </c>
      <c r="D883" s="134">
        <v>4200</v>
      </c>
      <c r="E883" s="525" t="s">
        <v>397</v>
      </c>
      <c r="F883" s="124" t="s">
        <v>27</v>
      </c>
    </row>
    <row r="884" spans="1:6">
      <c r="A884" s="126">
        <v>46170</v>
      </c>
      <c r="B884" s="133" t="s">
        <v>305</v>
      </c>
      <c r="C884" s="133" t="s">
        <v>175</v>
      </c>
      <c r="D884" s="134">
        <v>14.48</v>
      </c>
      <c r="E884" s="525" t="s">
        <v>397</v>
      </c>
      <c r="F884" s="124" t="s">
        <v>27</v>
      </c>
    </row>
    <row r="885" spans="1:6">
      <c r="A885" s="126">
        <v>46170</v>
      </c>
      <c r="B885" s="133" t="s">
        <v>1813</v>
      </c>
      <c r="C885" s="133" t="s">
        <v>307</v>
      </c>
      <c r="D885" s="134">
        <v>641.46</v>
      </c>
      <c r="E885" s="525" t="s">
        <v>397</v>
      </c>
      <c r="F885" s="124" t="s">
        <v>27</v>
      </c>
    </row>
    <row r="886" spans="1:6">
      <c r="A886" s="126">
        <v>46170</v>
      </c>
      <c r="B886" s="133" t="s">
        <v>1160</v>
      </c>
      <c r="C886" s="133" t="s">
        <v>307</v>
      </c>
      <c r="D886" s="134">
        <v>35</v>
      </c>
      <c r="E886" s="525" t="s">
        <v>397</v>
      </c>
      <c r="F886" s="124" t="s">
        <v>27</v>
      </c>
    </row>
    <row r="887" spans="1:6">
      <c r="A887" s="126">
        <v>46170</v>
      </c>
      <c r="B887" s="133" t="s">
        <v>1799</v>
      </c>
      <c r="C887" s="133" t="s">
        <v>307</v>
      </c>
      <c r="D887" s="134">
        <v>1191</v>
      </c>
      <c r="E887" s="525" t="s">
        <v>397</v>
      </c>
      <c r="F887" s="124" t="s">
        <v>27</v>
      </c>
    </row>
    <row r="888" spans="1:6">
      <c r="A888" s="126">
        <v>46170</v>
      </c>
      <c r="B888" s="133" t="s">
        <v>306</v>
      </c>
      <c r="C888" s="133" t="s">
        <v>307</v>
      </c>
      <c r="D888" s="134">
        <v>258</v>
      </c>
      <c r="E888" s="525" t="s">
        <v>397</v>
      </c>
      <c r="F888" s="124" t="s">
        <v>27</v>
      </c>
    </row>
    <row r="889" spans="1:6">
      <c r="A889" s="126">
        <v>46171</v>
      </c>
      <c r="B889" s="133" t="s">
        <v>1187</v>
      </c>
      <c r="C889" s="133" t="s">
        <v>307</v>
      </c>
      <c r="D889" s="134">
        <v>25</v>
      </c>
      <c r="E889" s="525" t="s">
        <v>397</v>
      </c>
      <c r="F889" s="124" t="s">
        <v>27</v>
      </c>
    </row>
    <row r="890" spans="1:6">
      <c r="A890" s="126">
        <v>46171</v>
      </c>
      <c r="B890" s="133" t="s">
        <v>305</v>
      </c>
      <c r="C890" s="133" t="s">
        <v>175</v>
      </c>
      <c r="D890" s="134">
        <v>5.43</v>
      </c>
      <c r="E890" s="525" t="s">
        <v>397</v>
      </c>
      <c r="F890" s="124" t="s">
        <v>27</v>
      </c>
    </row>
    <row r="891" spans="1:6">
      <c r="A891" s="126">
        <v>46171</v>
      </c>
      <c r="B891" s="133" t="s">
        <v>1156</v>
      </c>
      <c r="C891" s="133" t="s">
        <v>307</v>
      </c>
      <c r="D891" s="134">
        <v>566.28</v>
      </c>
      <c r="E891" s="525" t="s">
        <v>397</v>
      </c>
      <c r="F891" s="124" t="s">
        <v>27</v>
      </c>
    </row>
    <row r="892" spans="1:6">
      <c r="A892" s="126">
        <v>46171</v>
      </c>
      <c r="B892" s="163" t="s">
        <v>306</v>
      </c>
      <c r="C892" s="133" t="s">
        <v>307</v>
      </c>
      <c r="D892" s="134">
        <v>931.73</v>
      </c>
      <c r="E892" s="525" t="s">
        <v>397</v>
      </c>
      <c r="F892" s="124" t="s">
        <v>27</v>
      </c>
    </row>
  </sheetData>
  <sortState xmlns:xlrd2="http://schemas.microsoft.com/office/spreadsheetml/2017/richdata2" ref="L2:L632">
    <sortCondition ref="L32:L632"/>
  </sortState>
  <dataConsolidate>
    <dataRefs count="1">
      <dataRef ref="L1:L1048576" sheet="SAIDAS-FIN-ilumi"/>
    </dataRefs>
  </dataConsolidate>
  <phoneticPr fontId="11" type="noConversion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341-AAC9-4F5A-BD8B-1448F7BE0AF9}">
  <dimension ref="A1:E508"/>
  <sheetViews>
    <sheetView topLeftCell="A490" workbookViewId="0">
      <selection activeCell="A396" sqref="A396:E508"/>
    </sheetView>
  </sheetViews>
  <sheetFormatPr defaultRowHeight="15"/>
  <cols>
    <col min="1" max="1" width="10.7109375" bestFit="1" customWidth="1"/>
    <col min="3" max="3" width="55.7109375" bestFit="1" customWidth="1"/>
    <col min="4" max="4" width="13.28515625" style="40" bestFit="1" customWidth="1"/>
  </cols>
  <sheetData>
    <row r="1" spans="1:5">
      <c r="A1" s="1" t="s">
        <v>362</v>
      </c>
      <c r="B1" s="1" t="s">
        <v>393</v>
      </c>
      <c r="C1" s="1" t="s">
        <v>394</v>
      </c>
      <c r="D1" s="125" t="s">
        <v>365</v>
      </c>
      <c r="E1" s="1" t="s">
        <v>7</v>
      </c>
    </row>
    <row r="2" spans="1:5">
      <c r="A2" s="43">
        <v>46029</v>
      </c>
      <c r="B2" s="44">
        <v>16954</v>
      </c>
      <c r="C2" s="45" t="s">
        <v>1220</v>
      </c>
      <c r="D2" s="119">
        <v>791.35</v>
      </c>
      <c r="E2" t="s">
        <v>23</v>
      </c>
    </row>
    <row r="3" spans="1:5">
      <c r="A3" s="43">
        <v>46029</v>
      </c>
      <c r="B3" s="44">
        <v>258188</v>
      </c>
      <c r="C3" s="45" t="s">
        <v>1221</v>
      </c>
      <c r="D3" s="119">
        <v>1610.87</v>
      </c>
      <c r="E3" t="s">
        <v>23</v>
      </c>
    </row>
    <row r="4" spans="1:5">
      <c r="A4" s="43">
        <v>46029</v>
      </c>
      <c r="B4" s="44">
        <v>84539</v>
      </c>
      <c r="C4" s="45" t="s">
        <v>1222</v>
      </c>
      <c r="D4" s="119">
        <v>181.05</v>
      </c>
      <c r="E4" t="s">
        <v>23</v>
      </c>
    </row>
    <row r="5" spans="1:5">
      <c r="A5" s="43">
        <v>46030</v>
      </c>
      <c r="B5" s="44">
        <v>197630</v>
      </c>
      <c r="C5" s="45" t="s">
        <v>1223</v>
      </c>
      <c r="D5" s="119">
        <v>93</v>
      </c>
      <c r="E5" t="s">
        <v>23</v>
      </c>
    </row>
    <row r="6" spans="1:5">
      <c r="A6" s="43">
        <v>46030</v>
      </c>
      <c r="B6" s="44">
        <v>23467</v>
      </c>
      <c r="C6" s="45" t="s">
        <v>1224</v>
      </c>
      <c r="D6" s="119">
        <v>612.5</v>
      </c>
      <c r="E6" t="s">
        <v>23</v>
      </c>
    </row>
    <row r="7" spans="1:5">
      <c r="A7" s="43">
        <v>46030</v>
      </c>
      <c r="B7" s="44">
        <v>75348</v>
      </c>
      <c r="C7" s="45" t="s">
        <v>1225</v>
      </c>
      <c r="D7" s="119">
        <v>1982.2</v>
      </c>
      <c r="E7" t="s">
        <v>23</v>
      </c>
    </row>
    <row r="8" spans="1:5">
      <c r="A8" s="43">
        <v>46030</v>
      </c>
      <c r="B8" s="44">
        <v>84851</v>
      </c>
      <c r="C8" s="45" t="s">
        <v>1226</v>
      </c>
      <c r="D8" s="119">
        <v>28</v>
      </c>
      <c r="E8" t="s">
        <v>23</v>
      </c>
    </row>
    <row r="9" spans="1:5">
      <c r="A9" s="43">
        <v>46031</v>
      </c>
      <c r="B9" s="44">
        <v>45349</v>
      </c>
      <c r="C9" s="45" t="s">
        <v>1227</v>
      </c>
      <c r="D9" s="119">
        <v>1079.58</v>
      </c>
      <c r="E9" t="s">
        <v>23</v>
      </c>
    </row>
    <row r="10" spans="1:5">
      <c r="A10" s="43">
        <v>46034</v>
      </c>
      <c r="B10" s="44">
        <v>115266</v>
      </c>
      <c r="C10" s="45" t="s">
        <v>1228</v>
      </c>
      <c r="D10" s="119">
        <v>272</v>
      </c>
      <c r="E10" t="s">
        <v>23</v>
      </c>
    </row>
    <row r="11" spans="1:5">
      <c r="A11" s="43">
        <v>46034</v>
      </c>
      <c r="B11" s="44">
        <v>258290</v>
      </c>
      <c r="C11" s="45" t="s">
        <v>1221</v>
      </c>
      <c r="D11" s="119">
        <v>1319.59</v>
      </c>
      <c r="E11" t="s">
        <v>23</v>
      </c>
    </row>
    <row r="12" spans="1:5">
      <c r="A12" s="43">
        <v>46034</v>
      </c>
      <c r="B12" s="44">
        <v>75375</v>
      </c>
      <c r="C12" s="45" t="s">
        <v>1225</v>
      </c>
      <c r="D12" s="119">
        <v>6646.2</v>
      </c>
      <c r="E12" t="s">
        <v>23</v>
      </c>
    </row>
    <row r="13" spans="1:5">
      <c r="A13" s="43">
        <v>46035</v>
      </c>
      <c r="B13" s="44">
        <v>2033</v>
      </c>
      <c r="C13" s="45" t="s">
        <v>1229</v>
      </c>
      <c r="D13" s="119">
        <v>365.4</v>
      </c>
      <c r="E13" t="s">
        <v>23</v>
      </c>
    </row>
    <row r="14" spans="1:5">
      <c r="A14" s="43">
        <v>46035</v>
      </c>
      <c r="B14" s="44">
        <v>23489</v>
      </c>
      <c r="C14" s="45" t="s">
        <v>1224</v>
      </c>
      <c r="D14" s="119">
        <v>816.8</v>
      </c>
      <c r="E14" t="s">
        <v>23</v>
      </c>
    </row>
    <row r="15" spans="1:5">
      <c r="A15" s="43">
        <v>46035</v>
      </c>
      <c r="B15" s="44">
        <v>258088</v>
      </c>
      <c r="C15" s="45" t="s">
        <v>1221</v>
      </c>
      <c r="D15" s="119">
        <v>717.27</v>
      </c>
      <c r="E15" t="s">
        <v>23</v>
      </c>
    </row>
    <row r="16" spans="1:5">
      <c r="A16" s="43">
        <v>46035</v>
      </c>
      <c r="B16" s="44">
        <v>266825</v>
      </c>
      <c r="C16" s="45" t="s">
        <v>1230</v>
      </c>
      <c r="D16" s="119">
        <v>35</v>
      </c>
      <c r="E16" t="s">
        <v>23</v>
      </c>
    </row>
    <row r="17" spans="1:5">
      <c r="A17" s="43">
        <v>46035</v>
      </c>
      <c r="B17" s="44">
        <v>31991</v>
      </c>
      <c r="C17" s="45" t="s">
        <v>1231</v>
      </c>
      <c r="D17" s="119">
        <v>50</v>
      </c>
      <c r="E17" t="s">
        <v>23</v>
      </c>
    </row>
    <row r="18" spans="1:5">
      <c r="A18" s="43">
        <v>46035</v>
      </c>
      <c r="B18" s="44">
        <v>32061</v>
      </c>
      <c r="C18" s="45" t="s">
        <v>1231</v>
      </c>
      <c r="D18" s="119">
        <v>75</v>
      </c>
      <c r="E18" t="s">
        <v>23</v>
      </c>
    </row>
    <row r="19" spans="1:5">
      <c r="A19" s="43">
        <v>46035</v>
      </c>
      <c r="B19" s="44">
        <v>3499</v>
      </c>
      <c r="C19" s="45" t="s">
        <v>1232</v>
      </c>
      <c r="D19" s="119">
        <v>490</v>
      </c>
      <c r="E19" t="s">
        <v>23</v>
      </c>
    </row>
    <row r="20" spans="1:5">
      <c r="A20" s="43">
        <v>46035</v>
      </c>
      <c r="B20" s="44">
        <v>36032</v>
      </c>
      <c r="C20" s="45" t="s">
        <v>1233</v>
      </c>
      <c r="D20" s="119">
        <v>2301.69</v>
      </c>
      <c r="E20" t="s">
        <v>23</v>
      </c>
    </row>
    <row r="21" spans="1:5">
      <c r="A21" s="43">
        <v>46036</v>
      </c>
      <c r="B21" s="44">
        <v>197872</v>
      </c>
      <c r="C21" s="45" t="s">
        <v>1223</v>
      </c>
      <c r="D21" s="119">
        <v>95.55</v>
      </c>
      <c r="E21" t="s">
        <v>23</v>
      </c>
    </row>
    <row r="22" spans="1:5">
      <c r="A22" s="43">
        <v>46036</v>
      </c>
      <c r="B22" s="44">
        <v>197948</v>
      </c>
      <c r="C22" s="45" t="s">
        <v>1223</v>
      </c>
      <c r="D22" s="119">
        <v>45.26</v>
      </c>
      <c r="E22" t="s">
        <v>23</v>
      </c>
    </row>
    <row r="23" spans="1:5">
      <c r="A23" s="43">
        <v>46036</v>
      </c>
      <c r="B23" s="44">
        <v>258375</v>
      </c>
      <c r="C23" s="45" t="s">
        <v>1221</v>
      </c>
      <c r="D23" s="119">
        <v>367.17</v>
      </c>
      <c r="E23" t="s">
        <v>23</v>
      </c>
    </row>
    <row r="24" spans="1:5">
      <c r="A24" s="43">
        <v>46036</v>
      </c>
      <c r="B24" s="44">
        <v>32115</v>
      </c>
      <c r="C24" s="45" t="s">
        <v>1231</v>
      </c>
      <c r="D24" s="119">
        <v>20</v>
      </c>
      <c r="E24" t="s">
        <v>23</v>
      </c>
    </row>
    <row r="25" spans="1:5">
      <c r="A25" s="43">
        <v>46036</v>
      </c>
      <c r="B25" s="44">
        <v>75436</v>
      </c>
      <c r="C25" s="45" t="s">
        <v>1225</v>
      </c>
      <c r="D25" s="119">
        <v>2047.42</v>
      </c>
      <c r="E25" t="s">
        <v>23</v>
      </c>
    </row>
    <row r="26" spans="1:5">
      <c r="A26" s="43">
        <v>46036</v>
      </c>
      <c r="B26" s="44">
        <v>84633</v>
      </c>
      <c r="C26" s="45" t="s">
        <v>1222</v>
      </c>
      <c r="D26" s="119">
        <v>697.57</v>
      </c>
      <c r="E26" t="s">
        <v>23</v>
      </c>
    </row>
    <row r="27" spans="1:5">
      <c r="A27" s="43">
        <v>46036</v>
      </c>
      <c r="B27" s="44">
        <v>8781</v>
      </c>
      <c r="C27" s="45" t="s">
        <v>1234</v>
      </c>
      <c r="D27" s="119">
        <v>250</v>
      </c>
      <c r="E27" t="s">
        <v>23</v>
      </c>
    </row>
    <row r="28" spans="1:5">
      <c r="A28" s="43">
        <v>46037</v>
      </c>
      <c r="B28" s="44">
        <v>119910</v>
      </c>
      <c r="C28" s="45" t="s">
        <v>1235</v>
      </c>
      <c r="D28" s="119">
        <v>1738.19</v>
      </c>
      <c r="E28" t="s">
        <v>23</v>
      </c>
    </row>
    <row r="29" spans="1:5">
      <c r="A29" s="43">
        <v>46037</v>
      </c>
      <c r="B29" s="44">
        <v>198171</v>
      </c>
      <c r="C29" s="45" t="s">
        <v>1223</v>
      </c>
      <c r="D29" s="119">
        <v>1214.0999999999999</v>
      </c>
      <c r="E29" t="s">
        <v>23</v>
      </c>
    </row>
    <row r="30" spans="1:5">
      <c r="A30" s="43">
        <v>46037</v>
      </c>
      <c r="B30" s="44">
        <v>32174</v>
      </c>
      <c r="C30" s="45" t="s">
        <v>1231</v>
      </c>
      <c r="D30" s="119">
        <v>425</v>
      </c>
      <c r="E30" t="s">
        <v>23</v>
      </c>
    </row>
    <row r="31" spans="1:5">
      <c r="A31" s="43">
        <v>46037</v>
      </c>
      <c r="B31" s="44">
        <v>3839</v>
      </c>
      <c r="C31" s="45" t="s">
        <v>1236</v>
      </c>
      <c r="D31" s="119">
        <v>7650</v>
      </c>
      <c r="E31" t="s">
        <v>23</v>
      </c>
    </row>
    <row r="32" spans="1:5">
      <c r="A32" s="43">
        <v>46038</v>
      </c>
      <c r="B32" s="44">
        <v>115342</v>
      </c>
      <c r="C32" s="45" t="s">
        <v>1228</v>
      </c>
      <c r="D32" s="119">
        <v>466.5</v>
      </c>
      <c r="E32" t="s">
        <v>23</v>
      </c>
    </row>
    <row r="33" spans="1:5">
      <c r="A33" s="43">
        <v>46038</v>
      </c>
      <c r="B33" s="44">
        <v>1503</v>
      </c>
      <c r="C33" s="45" t="s">
        <v>1237</v>
      </c>
      <c r="D33" s="119">
        <v>9773.7999999999993</v>
      </c>
      <c r="E33" t="s">
        <v>23</v>
      </c>
    </row>
    <row r="34" spans="1:5">
      <c r="A34" s="43">
        <v>46038</v>
      </c>
      <c r="B34" s="44">
        <v>16760</v>
      </c>
      <c r="C34" s="45" t="s">
        <v>1238</v>
      </c>
      <c r="D34" s="119">
        <v>182.32</v>
      </c>
      <c r="E34" t="s">
        <v>23</v>
      </c>
    </row>
    <row r="35" spans="1:5">
      <c r="A35" s="43">
        <v>46038</v>
      </c>
      <c r="B35" s="44">
        <v>2526</v>
      </c>
      <c r="C35" s="45" t="s">
        <v>1229</v>
      </c>
      <c r="D35" s="119">
        <v>315</v>
      </c>
      <c r="E35" t="s">
        <v>23</v>
      </c>
    </row>
    <row r="36" spans="1:5">
      <c r="A36" s="43">
        <v>46038</v>
      </c>
      <c r="B36" s="44">
        <v>258451</v>
      </c>
      <c r="C36" s="45" t="s">
        <v>1221</v>
      </c>
      <c r="D36" s="119">
        <v>368.82</v>
      </c>
      <c r="E36" t="s">
        <v>23</v>
      </c>
    </row>
    <row r="37" spans="1:5">
      <c r="A37" s="43">
        <v>46038</v>
      </c>
      <c r="B37" s="44">
        <v>34435</v>
      </c>
      <c r="C37" s="45" t="s">
        <v>1239</v>
      </c>
      <c r="D37" s="119">
        <v>1044</v>
      </c>
      <c r="E37" t="s">
        <v>23</v>
      </c>
    </row>
    <row r="38" spans="1:5">
      <c r="A38" s="43">
        <v>46038</v>
      </c>
      <c r="B38" s="44">
        <v>67413</v>
      </c>
      <c r="C38" s="45" t="s">
        <v>1240</v>
      </c>
      <c r="D38" s="119">
        <v>91.58</v>
      </c>
      <c r="E38" t="s">
        <v>23</v>
      </c>
    </row>
    <row r="39" spans="1:5">
      <c r="A39" s="43">
        <v>46041</v>
      </c>
      <c r="B39" s="44">
        <v>115387</v>
      </c>
      <c r="C39" s="45" t="s">
        <v>1228</v>
      </c>
      <c r="D39" s="119">
        <v>900</v>
      </c>
      <c r="E39" t="s">
        <v>23</v>
      </c>
    </row>
    <row r="40" spans="1:5">
      <c r="A40" s="43">
        <v>46042</v>
      </c>
      <c r="B40" s="44">
        <v>1</v>
      </c>
      <c r="C40" s="45" t="s">
        <v>1241</v>
      </c>
      <c r="D40" s="119">
        <v>1950</v>
      </c>
      <c r="E40" t="s">
        <v>23</v>
      </c>
    </row>
    <row r="41" spans="1:5">
      <c r="A41" s="43">
        <v>46044</v>
      </c>
      <c r="B41" s="44">
        <v>16790</v>
      </c>
      <c r="C41" s="45" t="s">
        <v>1238</v>
      </c>
      <c r="D41" s="119">
        <v>558.62</v>
      </c>
      <c r="E41" t="s">
        <v>23</v>
      </c>
    </row>
    <row r="42" spans="1:5">
      <c r="A42" s="43">
        <v>46044</v>
      </c>
      <c r="B42" s="44">
        <v>267008</v>
      </c>
      <c r="C42" s="45" t="s">
        <v>1230</v>
      </c>
      <c r="D42" s="119">
        <v>303.75</v>
      </c>
      <c r="E42" t="s">
        <v>23</v>
      </c>
    </row>
    <row r="43" spans="1:5">
      <c r="A43" s="43">
        <v>46044</v>
      </c>
      <c r="B43" s="44">
        <v>3174</v>
      </c>
      <c r="C43" s="45" t="s">
        <v>1242</v>
      </c>
      <c r="D43" s="119">
        <v>61</v>
      </c>
      <c r="E43" t="s">
        <v>23</v>
      </c>
    </row>
    <row r="44" spans="1:5">
      <c r="A44" s="43">
        <v>46044</v>
      </c>
      <c r="B44" s="44">
        <v>32204</v>
      </c>
      <c r="C44" s="45" t="s">
        <v>1231</v>
      </c>
      <c r="D44" s="119">
        <v>230</v>
      </c>
      <c r="E44" t="s">
        <v>23</v>
      </c>
    </row>
    <row r="45" spans="1:5">
      <c r="A45" s="43">
        <v>46044</v>
      </c>
      <c r="B45" s="44">
        <v>75478</v>
      </c>
      <c r="C45" s="45" t="s">
        <v>1225</v>
      </c>
      <c r="D45" s="119">
        <v>574.75</v>
      </c>
      <c r="E45" t="s">
        <v>23</v>
      </c>
    </row>
    <row r="46" spans="1:5">
      <c r="A46" s="43">
        <v>46045</v>
      </c>
      <c r="B46" s="44">
        <v>120125</v>
      </c>
      <c r="C46" s="45" t="s">
        <v>1235</v>
      </c>
      <c r="D46" s="119">
        <v>1336.67</v>
      </c>
      <c r="E46" t="s">
        <v>23</v>
      </c>
    </row>
    <row r="47" spans="1:5">
      <c r="A47" s="43">
        <v>46045</v>
      </c>
      <c r="B47" s="44">
        <v>148103</v>
      </c>
      <c r="C47" s="45" t="s">
        <v>1243</v>
      </c>
      <c r="D47" s="119">
        <v>1438.41</v>
      </c>
      <c r="E47" t="s">
        <v>23</v>
      </c>
    </row>
    <row r="48" spans="1:5">
      <c r="A48" s="43">
        <v>46045</v>
      </c>
      <c r="B48" s="44">
        <v>16875</v>
      </c>
      <c r="C48" s="45" t="s">
        <v>1238</v>
      </c>
      <c r="D48" s="119">
        <v>371</v>
      </c>
      <c r="E48" t="s">
        <v>23</v>
      </c>
    </row>
    <row r="49" spans="1:5">
      <c r="A49" s="43">
        <v>46045</v>
      </c>
      <c r="B49" s="44">
        <v>198570</v>
      </c>
      <c r="C49" s="45" t="s">
        <v>1223</v>
      </c>
      <c r="D49" s="119">
        <v>271.58</v>
      </c>
      <c r="E49" t="s">
        <v>23</v>
      </c>
    </row>
    <row r="50" spans="1:5">
      <c r="A50" s="43">
        <v>46045</v>
      </c>
      <c r="B50" s="44">
        <v>2541</v>
      </c>
      <c r="C50" s="45" t="s">
        <v>1229</v>
      </c>
      <c r="D50" s="119">
        <v>333</v>
      </c>
      <c r="E50" t="s">
        <v>23</v>
      </c>
    </row>
    <row r="51" spans="1:5">
      <c r="A51" s="43">
        <v>46045</v>
      </c>
      <c r="B51" s="44">
        <v>258676</v>
      </c>
      <c r="C51" s="45" t="s">
        <v>1221</v>
      </c>
      <c r="D51" s="119">
        <v>3967.59</v>
      </c>
      <c r="E51" t="s">
        <v>23</v>
      </c>
    </row>
    <row r="52" spans="1:5">
      <c r="A52" s="43">
        <v>46045</v>
      </c>
      <c r="B52" s="44">
        <v>258833</v>
      </c>
      <c r="C52" s="45" t="s">
        <v>1221</v>
      </c>
      <c r="D52" s="119">
        <v>2528.6999999999998</v>
      </c>
      <c r="E52" t="s">
        <v>23</v>
      </c>
    </row>
    <row r="53" spans="1:5">
      <c r="A53" s="43">
        <v>46045</v>
      </c>
      <c r="B53" s="44">
        <v>32235</v>
      </c>
      <c r="C53" s="45" t="s">
        <v>1231</v>
      </c>
      <c r="D53" s="119">
        <v>150</v>
      </c>
      <c r="E53" t="s">
        <v>23</v>
      </c>
    </row>
    <row r="54" spans="1:5">
      <c r="A54" s="43">
        <v>46045</v>
      </c>
      <c r="B54" s="44">
        <v>3293</v>
      </c>
      <c r="C54" s="45" t="s">
        <v>1244</v>
      </c>
      <c r="D54" s="119">
        <v>257</v>
      </c>
      <c r="E54" t="s">
        <v>23</v>
      </c>
    </row>
    <row r="55" spans="1:5">
      <c r="A55" s="43">
        <v>46045</v>
      </c>
      <c r="B55" s="44">
        <v>67473</v>
      </c>
      <c r="C55" s="45" t="s">
        <v>1240</v>
      </c>
      <c r="D55" s="119">
        <v>457.8</v>
      </c>
      <c r="E55" t="s">
        <v>23</v>
      </c>
    </row>
    <row r="56" spans="1:5">
      <c r="A56" s="43">
        <v>46045</v>
      </c>
      <c r="B56" s="44">
        <v>67481</v>
      </c>
      <c r="C56" s="45" t="s">
        <v>1240</v>
      </c>
      <c r="D56" s="119">
        <v>190.8</v>
      </c>
      <c r="E56" t="s">
        <v>23</v>
      </c>
    </row>
    <row r="57" spans="1:5">
      <c r="A57" s="43">
        <v>46045</v>
      </c>
      <c r="B57" s="44">
        <v>75523</v>
      </c>
      <c r="C57" s="45" t="s">
        <v>1225</v>
      </c>
      <c r="D57" s="119">
        <v>737</v>
      </c>
      <c r="E57" t="s">
        <v>23</v>
      </c>
    </row>
    <row r="58" spans="1:5">
      <c r="A58" s="43">
        <v>46045</v>
      </c>
      <c r="B58" s="44">
        <v>7644</v>
      </c>
      <c r="C58" s="45" t="s">
        <v>1245</v>
      </c>
      <c r="D58" s="119">
        <v>550</v>
      </c>
      <c r="E58" t="s">
        <v>23</v>
      </c>
    </row>
    <row r="59" spans="1:5">
      <c r="A59" s="43">
        <v>46045</v>
      </c>
      <c r="B59" s="44">
        <v>84761</v>
      </c>
      <c r="C59" s="45" t="s">
        <v>1222</v>
      </c>
      <c r="D59" s="119">
        <v>378.29</v>
      </c>
      <c r="E59" t="s">
        <v>23</v>
      </c>
    </row>
    <row r="60" spans="1:5">
      <c r="A60" s="43">
        <v>46045</v>
      </c>
      <c r="B60" s="44">
        <v>85548</v>
      </c>
      <c r="C60" s="45" t="s">
        <v>1226</v>
      </c>
      <c r="D60" s="119">
        <v>466.21</v>
      </c>
      <c r="E60" t="s">
        <v>23</v>
      </c>
    </row>
    <row r="61" spans="1:5">
      <c r="A61" s="43">
        <v>46048</v>
      </c>
      <c r="B61" s="44">
        <v>144</v>
      </c>
      <c r="C61" s="45" t="s">
        <v>1246</v>
      </c>
      <c r="D61" s="119">
        <v>1176</v>
      </c>
      <c r="E61" t="s">
        <v>23</v>
      </c>
    </row>
    <row r="62" spans="1:5">
      <c r="A62" s="43">
        <v>46048</v>
      </c>
      <c r="B62" s="44">
        <v>148165</v>
      </c>
      <c r="C62" s="45" t="s">
        <v>1243</v>
      </c>
      <c r="D62" s="119">
        <v>282.85000000000002</v>
      </c>
      <c r="E62" t="s">
        <v>23</v>
      </c>
    </row>
    <row r="63" spans="1:5">
      <c r="A63" s="43">
        <v>46048</v>
      </c>
      <c r="B63" s="44">
        <v>198820</v>
      </c>
      <c r="C63" s="45" t="s">
        <v>1223</v>
      </c>
      <c r="D63" s="119">
        <v>32.01</v>
      </c>
      <c r="E63" t="s">
        <v>23</v>
      </c>
    </row>
    <row r="64" spans="1:5">
      <c r="A64" s="43">
        <v>46048</v>
      </c>
      <c r="B64" s="44">
        <v>4056</v>
      </c>
      <c r="C64" s="45" t="s">
        <v>1247</v>
      </c>
      <c r="D64" s="119">
        <v>278</v>
      </c>
      <c r="E64" t="s">
        <v>23</v>
      </c>
    </row>
    <row r="65" spans="1:5">
      <c r="A65" s="43">
        <v>46048</v>
      </c>
      <c r="B65" s="44">
        <v>45446</v>
      </c>
      <c r="C65" s="45" t="s">
        <v>1227</v>
      </c>
      <c r="D65" s="119">
        <v>4224.67</v>
      </c>
      <c r="E65" t="s">
        <v>23</v>
      </c>
    </row>
    <row r="66" spans="1:5">
      <c r="A66" s="43">
        <v>46048</v>
      </c>
      <c r="B66" s="44">
        <v>5522</v>
      </c>
      <c r="C66" s="45" t="s">
        <v>1248</v>
      </c>
      <c r="D66" s="119">
        <v>445</v>
      </c>
      <c r="E66" t="s">
        <v>23</v>
      </c>
    </row>
    <row r="67" spans="1:5">
      <c r="A67" s="43">
        <v>46048</v>
      </c>
      <c r="B67" s="44">
        <v>84829</v>
      </c>
      <c r="C67" s="45" t="s">
        <v>1222</v>
      </c>
      <c r="D67" s="119">
        <v>546.57000000000005</v>
      </c>
      <c r="E67" t="s">
        <v>23</v>
      </c>
    </row>
    <row r="68" spans="1:5">
      <c r="A68" s="43">
        <v>46050</v>
      </c>
      <c r="B68" s="44">
        <v>1352</v>
      </c>
      <c r="C68" s="45" t="s">
        <v>1249</v>
      </c>
      <c r="D68" s="119">
        <v>464.29</v>
      </c>
      <c r="E68" t="s">
        <v>23</v>
      </c>
    </row>
    <row r="69" spans="1:5">
      <c r="A69" s="43">
        <v>46050</v>
      </c>
      <c r="B69" s="44">
        <v>198939</v>
      </c>
      <c r="C69" s="45" t="s">
        <v>1223</v>
      </c>
      <c r="D69" s="119">
        <v>150</v>
      </c>
      <c r="E69" t="s">
        <v>23</v>
      </c>
    </row>
    <row r="70" spans="1:5">
      <c r="A70" s="43">
        <v>46050</v>
      </c>
      <c r="B70" s="44">
        <v>2982</v>
      </c>
      <c r="C70" s="45" t="s">
        <v>1250</v>
      </c>
      <c r="D70" s="119">
        <v>385</v>
      </c>
      <c r="E70" t="s">
        <v>23</v>
      </c>
    </row>
    <row r="71" spans="1:5">
      <c r="A71" s="43">
        <v>46050</v>
      </c>
      <c r="B71" s="44">
        <v>32332</v>
      </c>
      <c r="C71" s="45" t="s">
        <v>1231</v>
      </c>
      <c r="D71" s="119">
        <v>115</v>
      </c>
      <c r="E71" t="s">
        <v>23</v>
      </c>
    </row>
    <row r="72" spans="1:5">
      <c r="A72" s="43">
        <v>46050</v>
      </c>
      <c r="B72" s="44">
        <v>5578</v>
      </c>
      <c r="C72" s="45" t="s">
        <v>1248</v>
      </c>
      <c r="D72" s="119">
        <v>139</v>
      </c>
      <c r="E72" t="s">
        <v>23</v>
      </c>
    </row>
    <row r="73" spans="1:5">
      <c r="A73" s="43">
        <v>46050</v>
      </c>
      <c r="B73" s="44">
        <v>75603</v>
      </c>
      <c r="C73" s="45" t="s">
        <v>1225</v>
      </c>
      <c r="D73" s="119">
        <v>470</v>
      </c>
      <c r="E73" t="s">
        <v>23</v>
      </c>
    </row>
    <row r="74" spans="1:5">
      <c r="A74" s="43">
        <v>46051</v>
      </c>
      <c r="B74" s="44">
        <v>115553</v>
      </c>
      <c r="C74" s="45" t="s">
        <v>1228</v>
      </c>
      <c r="D74" s="119">
        <v>907</v>
      </c>
      <c r="E74" t="s">
        <v>23</v>
      </c>
    </row>
    <row r="75" spans="1:5">
      <c r="A75" s="43">
        <v>46051</v>
      </c>
      <c r="B75" s="44">
        <v>115575</v>
      </c>
      <c r="C75" s="45" t="s">
        <v>1228</v>
      </c>
      <c r="D75" s="119">
        <v>611.5</v>
      </c>
      <c r="E75" t="s">
        <v>23</v>
      </c>
    </row>
    <row r="76" spans="1:5">
      <c r="A76" s="43">
        <v>46051</v>
      </c>
      <c r="B76" s="44">
        <v>2570</v>
      </c>
      <c r="C76" s="45" t="s">
        <v>1229</v>
      </c>
      <c r="D76" s="119">
        <v>414</v>
      </c>
      <c r="E76" t="s">
        <v>23</v>
      </c>
    </row>
    <row r="77" spans="1:5">
      <c r="A77" s="43">
        <v>46051</v>
      </c>
      <c r="B77" s="44">
        <v>32347</v>
      </c>
      <c r="C77" s="45" t="s">
        <v>1231</v>
      </c>
      <c r="D77" s="119">
        <v>240</v>
      </c>
      <c r="E77" t="s">
        <v>23</v>
      </c>
    </row>
    <row r="78" spans="1:5">
      <c r="A78" s="43">
        <v>46051</v>
      </c>
      <c r="B78" s="44">
        <v>67594</v>
      </c>
      <c r="C78" s="45" t="s">
        <v>1240</v>
      </c>
      <c r="D78" s="119">
        <v>53</v>
      </c>
      <c r="E78" t="s">
        <v>23</v>
      </c>
    </row>
    <row r="79" spans="1:5">
      <c r="A79" s="43">
        <v>46051</v>
      </c>
      <c r="B79" s="44">
        <v>8823</v>
      </c>
      <c r="C79" s="45" t="s">
        <v>1234</v>
      </c>
      <c r="D79" s="119">
        <v>1200</v>
      </c>
      <c r="E79" t="s">
        <v>23</v>
      </c>
    </row>
    <row r="80" spans="1:5">
      <c r="A80" s="43">
        <v>46052</v>
      </c>
      <c r="B80" s="44">
        <v>115617</v>
      </c>
      <c r="C80" s="45" t="s">
        <v>1228</v>
      </c>
      <c r="D80" s="119">
        <v>633.75</v>
      </c>
      <c r="E80" t="s">
        <v>23</v>
      </c>
    </row>
    <row r="81" spans="1:5">
      <c r="A81" s="43">
        <v>46052</v>
      </c>
      <c r="B81" s="44">
        <v>13735</v>
      </c>
      <c r="C81" s="45" t="s">
        <v>1251</v>
      </c>
      <c r="D81" s="119">
        <v>410.87</v>
      </c>
      <c r="E81" t="s">
        <v>23</v>
      </c>
    </row>
    <row r="82" spans="1:5">
      <c r="A82" s="43">
        <v>46052</v>
      </c>
      <c r="B82" s="44">
        <v>199222</v>
      </c>
      <c r="C82" s="45" t="s">
        <v>1223</v>
      </c>
      <c r="D82" s="119">
        <v>660.8</v>
      </c>
      <c r="E82" t="s">
        <v>23</v>
      </c>
    </row>
    <row r="83" spans="1:5">
      <c r="A83" s="43">
        <v>46052</v>
      </c>
      <c r="B83" s="44">
        <v>2576</v>
      </c>
      <c r="C83" s="45" t="s">
        <v>1229</v>
      </c>
      <c r="D83" s="119">
        <v>432.9</v>
      </c>
      <c r="E83" t="s">
        <v>23</v>
      </c>
    </row>
    <row r="84" spans="1:5">
      <c r="A84" s="43">
        <v>46052</v>
      </c>
      <c r="B84" s="44">
        <v>258998</v>
      </c>
      <c r="C84" s="45" t="s">
        <v>1221</v>
      </c>
      <c r="D84" s="119">
        <v>972.5</v>
      </c>
      <c r="E84" t="s">
        <v>23</v>
      </c>
    </row>
    <row r="85" spans="1:5">
      <c r="A85" s="43">
        <v>46052</v>
      </c>
      <c r="B85" s="44">
        <v>32373</v>
      </c>
      <c r="C85" s="45" t="s">
        <v>1231</v>
      </c>
      <c r="D85" s="119">
        <v>120</v>
      </c>
      <c r="E85" t="s">
        <v>23</v>
      </c>
    </row>
    <row r="86" spans="1:5">
      <c r="A86" s="43">
        <v>46052</v>
      </c>
      <c r="B86" s="44">
        <v>3351</v>
      </c>
      <c r="C86" s="45" t="s">
        <v>1244</v>
      </c>
      <c r="D86" s="119">
        <v>35</v>
      </c>
      <c r="E86" t="s">
        <v>23</v>
      </c>
    </row>
    <row r="87" spans="1:5">
      <c r="A87" s="43">
        <v>46052</v>
      </c>
      <c r="B87" s="44">
        <v>34563</v>
      </c>
      <c r="C87" s="45" t="s">
        <v>1239</v>
      </c>
      <c r="D87" s="119">
        <v>348</v>
      </c>
      <c r="E87" t="s">
        <v>23</v>
      </c>
    </row>
    <row r="88" spans="1:5">
      <c r="A88" s="43">
        <v>46052</v>
      </c>
      <c r="B88" s="44">
        <v>72122</v>
      </c>
      <c r="C88" s="45" t="s">
        <v>1252</v>
      </c>
      <c r="D88" s="119">
        <v>402.68</v>
      </c>
      <c r="E88" t="s">
        <v>23</v>
      </c>
    </row>
    <row r="89" spans="1:5">
      <c r="A89" s="43">
        <v>46052</v>
      </c>
      <c r="B89" s="44">
        <v>75625</v>
      </c>
      <c r="C89" s="45" t="s">
        <v>1225</v>
      </c>
      <c r="D89" s="119">
        <v>2069</v>
      </c>
      <c r="E89" t="s">
        <v>23</v>
      </c>
    </row>
    <row r="90" spans="1:5">
      <c r="A90" s="114">
        <v>46056</v>
      </c>
      <c r="B90" s="115">
        <v>17226</v>
      </c>
      <c r="C90" s="116" t="s">
        <v>1238</v>
      </c>
      <c r="D90" s="120">
        <v>420</v>
      </c>
      <c r="E90" s="124" t="s">
        <v>24</v>
      </c>
    </row>
    <row r="91" spans="1:5">
      <c r="A91" s="114">
        <v>46056</v>
      </c>
      <c r="B91" s="115">
        <v>199519</v>
      </c>
      <c r="C91" s="116" t="s">
        <v>1223</v>
      </c>
      <c r="D91" s="120">
        <v>21.3</v>
      </c>
      <c r="E91" s="124" t="s">
        <v>24</v>
      </c>
    </row>
    <row r="92" spans="1:5">
      <c r="A92" s="114">
        <v>46057</v>
      </c>
      <c r="B92" s="115">
        <v>199619</v>
      </c>
      <c r="C92" s="116" t="s">
        <v>1223</v>
      </c>
      <c r="D92" s="120">
        <v>40.29</v>
      </c>
      <c r="E92" s="124" t="s">
        <v>24</v>
      </c>
    </row>
    <row r="93" spans="1:5">
      <c r="A93" s="114">
        <v>46057</v>
      </c>
      <c r="B93" s="115">
        <v>259338</v>
      </c>
      <c r="C93" s="116" t="s">
        <v>1221</v>
      </c>
      <c r="D93" s="120">
        <v>375.23</v>
      </c>
      <c r="E93" s="124" t="s">
        <v>24</v>
      </c>
    </row>
    <row r="94" spans="1:5">
      <c r="A94" s="114">
        <v>46058</v>
      </c>
      <c r="B94" s="115">
        <v>115641</v>
      </c>
      <c r="C94" s="116" t="s">
        <v>1228</v>
      </c>
      <c r="D94" s="120">
        <v>4100</v>
      </c>
      <c r="E94" s="124" t="s">
        <v>24</v>
      </c>
    </row>
    <row r="95" spans="1:5">
      <c r="A95" s="114">
        <v>46058</v>
      </c>
      <c r="B95" s="115">
        <v>2605</v>
      </c>
      <c r="C95" s="116" t="s">
        <v>1229</v>
      </c>
      <c r="D95" s="120">
        <v>398.88</v>
      </c>
      <c r="E95" s="124" t="s">
        <v>24</v>
      </c>
    </row>
    <row r="96" spans="1:5">
      <c r="A96" s="114">
        <v>46058</v>
      </c>
      <c r="B96" s="115">
        <v>5798</v>
      </c>
      <c r="C96" s="116" t="s">
        <v>1253</v>
      </c>
      <c r="D96" s="120">
        <v>261.17</v>
      </c>
      <c r="E96" s="124" t="s">
        <v>24</v>
      </c>
    </row>
    <row r="97" spans="1:5">
      <c r="A97" s="114">
        <v>46058</v>
      </c>
      <c r="B97" s="115">
        <v>67719</v>
      </c>
      <c r="C97" s="116" t="s">
        <v>1240</v>
      </c>
      <c r="D97" s="120">
        <v>842.7</v>
      </c>
      <c r="E97" s="124" t="s">
        <v>24</v>
      </c>
    </row>
    <row r="98" spans="1:5">
      <c r="A98" s="114">
        <v>46059</v>
      </c>
      <c r="B98" s="115">
        <v>115737</v>
      </c>
      <c r="C98" s="116" t="s">
        <v>1228</v>
      </c>
      <c r="D98" s="120">
        <v>598.6</v>
      </c>
      <c r="E98" s="124" t="s">
        <v>24</v>
      </c>
    </row>
    <row r="99" spans="1:5">
      <c r="A99" s="114">
        <v>46059</v>
      </c>
      <c r="B99" s="115">
        <v>23498</v>
      </c>
      <c r="C99" s="116" t="s">
        <v>1254</v>
      </c>
      <c r="D99" s="120">
        <v>1548.75</v>
      </c>
      <c r="E99" s="124" t="s">
        <v>24</v>
      </c>
    </row>
    <row r="100" spans="1:5">
      <c r="A100" s="114">
        <v>46059</v>
      </c>
      <c r="B100" s="115">
        <v>3953</v>
      </c>
      <c r="C100" s="116" t="s">
        <v>1236</v>
      </c>
      <c r="D100" s="120">
        <v>6900</v>
      </c>
      <c r="E100" s="124" t="s">
        <v>24</v>
      </c>
    </row>
    <row r="101" spans="1:5">
      <c r="A101" s="114">
        <v>46059</v>
      </c>
      <c r="B101" s="115">
        <v>7935</v>
      </c>
      <c r="C101" s="116" t="s">
        <v>1255</v>
      </c>
      <c r="D101" s="120">
        <v>250</v>
      </c>
      <c r="E101" s="124" t="s">
        <v>24</v>
      </c>
    </row>
    <row r="102" spans="1:5">
      <c r="A102" s="114">
        <v>46063</v>
      </c>
      <c r="B102" s="115">
        <v>23713</v>
      </c>
      <c r="C102" s="116" t="s">
        <v>1224</v>
      </c>
      <c r="D102" s="120">
        <v>390.3</v>
      </c>
      <c r="E102" s="124" t="s">
        <v>24</v>
      </c>
    </row>
    <row r="103" spans="1:5">
      <c r="A103" s="114">
        <v>46064</v>
      </c>
      <c r="B103" s="115">
        <v>115773</v>
      </c>
      <c r="C103" s="116" t="s">
        <v>1228</v>
      </c>
      <c r="D103" s="120">
        <v>450</v>
      </c>
      <c r="E103" s="124" t="s">
        <v>24</v>
      </c>
    </row>
    <row r="104" spans="1:5">
      <c r="A104" s="114">
        <v>46064</v>
      </c>
      <c r="B104" s="115">
        <v>130225</v>
      </c>
      <c r="C104" s="116" t="s">
        <v>1256</v>
      </c>
      <c r="D104" s="120">
        <v>82.6</v>
      </c>
      <c r="E104" s="124" t="s">
        <v>24</v>
      </c>
    </row>
    <row r="105" spans="1:5">
      <c r="A105" s="114">
        <v>46064</v>
      </c>
      <c r="B105" s="115">
        <v>148445</v>
      </c>
      <c r="C105" s="116" t="s">
        <v>1243</v>
      </c>
      <c r="D105" s="120">
        <v>1914.51</v>
      </c>
      <c r="E105" s="124" t="s">
        <v>24</v>
      </c>
    </row>
    <row r="106" spans="1:5">
      <c r="A106" s="114">
        <v>46064</v>
      </c>
      <c r="B106" s="115">
        <v>1559</v>
      </c>
      <c r="C106" s="116" t="s">
        <v>1237</v>
      </c>
      <c r="D106" s="120">
        <v>13785.4</v>
      </c>
      <c r="E106" s="124" t="s">
        <v>24</v>
      </c>
    </row>
    <row r="107" spans="1:5">
      <c r="A107" s="114">
        <v>46064</v>
      </c>
      <c r="B107" s="115">
        <v>259563</v>
      </c>
      <c r="C107" s="116" t="s">
        <v>1221</v>
      </c>
      <c r="D107" s="120">
        <v>1593.64</v>
      </c>
      <c r="E107" s="124" t="s">
        <v>24</v>
      </c>
    </row>
    <row r="108" spans="1:5">
      <c r="A108" s="114">
        <v>46065</v>
      </c>
      <c r="B108" s="115">
        <v>115787</v>
      </c>
      <c r="C108" s="116" t="s">
        <v>1228</v>
      </c>
      <c r="D108" s="120">
        <v>425</v>
      </c>
      <c r="E108" s="124" t="s">
        <v>24</v>
      </c>
    </row>
    <row r="109" spans="1:5">
      <c r="A109" s="114">
        <v>46065</v>
      </c>
      <c r="B109" s="115">
        <v>199977</v>
      </c>
      <c r="C109" s="116" t="s">
        <v>1223</v>
      </c>
      <c r="D109" s="120">
        <v>1015</v>
      </c>
      <c r="E109" s="124" t="s">
        <v>24</v>
      </c>
    </row>
    <row r="110" spans="1:5">
      <c r="A110" s="114">
        <v>46065</v>
      </c>
      <c r="B110" s="115">
        <v>2327</v>
      </c>
      <c r="C110" s="116" t="s">
        <v>1257</v>
      </c>
      <c r="D110" s="120">
        <v>812.5</v>
      </c>
      <c r="E110" s="124" t="s">
        <v>24</v>
      </c>
    </row>
    <row r="111" spans="1:5">
      <c r="A111" s="114">
        <v>46065</v>
      </c>
      <c r="B111" s="115">
        <v>23524</v>
      </c>
      <c r="C111" s="116" t="s">
        <v>1254</v>
      </c>
      <c r="D111" s="120">
        <v>749.09</v>
      </c>
      <c r="E111" s="124" t="s">
        <v>24</v>
      </c>
    </row>
    <row r="112" spans="1:5">
      <c r="A112" s="114">
        <v>46065</v>
      </c>
      <c r="B112" s="115">
        <v>259678</v>
      </c>
      <c r="C112" s="116" t="s">
        <v>1221</v>
      </c>
      <c r="D112" s="120">
        <v>1730.93</v>
      </c>
      <c r="E112" s="124" t="s">
        <v>24</v>
      </c>
    </row>
    <row r="113" spans="1:5">
      <c r="A113" s="114">
        <v>46065</v>
      </c>
      <c r="B113" s="115">
        <v>2619</v>
      </c>
      <c r="C113" s="116" t="s">
        <v>1229</v>
      </c>
      <c r="D113" s="120">
        <v>342</v>
      </c>
      <c r="E113" s="124" t="s">
        <v>24</v>
      </c>
    </row>
    <row r="114" spans="1:5">
      <c r="A114" s="114">
        <v>46065</v>
      </c>
      <c r="B114" s="115">
        <v>2889</v>
      </c>
      <c r="C114" s="116" t="s">
        <v>1258</v>
      </c>
      <c r="D114" s="120">
        <v>360</v>
      </c>
      <c r="E114" s="124" t="s">
        <v>24</v>
      </c>
    </row>
    <row r="115" spans="1:5">
      <c r="A115" s="114">
        <v>46065</v>
      </c>
      <c r="B115" s="115">
        <v>33678</v>
      </c>
      <c r="C115" s="116" t="s">
        <v>1259</v>
      </c>
      <c r="D115" s="120">
        <v>521.04999999999995</v>
      </c>
      <c r="E115" s="124" t="s">
        <v>24</v>
      </c>
    </row>
    <row r="116" spans="1:5">
      <c r="A116" s="114">
        <v>46065</v>
      </c>
      <c r="B116" s="115">
        <v>347</v>
      </c>
      <c r="C116" s="116" t="s">
        <v>1260</v>
      </c>
      <c r="D116" s="120">
        <v>1966.56</v>
      </c>
      <c r="E116" s="124" t="s">
        <v>24</v>
      </c>
    </row>
    <row r="117" spans="1:5">
      <c r="A117" s="114">
        <v>46065</v>
      </c>
      <c r="B117" s="115">
        <v>67804</v>
      </c>
      <c r="C117" s="116" t="s">
        <v>1240</v>
      </c>
      <c r="D117" s="120">
        <v>74.2</v>
      </c>
      <c r="E117" s="124" t="s">
        <v>24</v>
      </c>
    </row>
    <row r="118" spans="1:5">
      <c r="A118" s="114">
        <v>46065</v>
      </c>
      <c r="B118" s="115">
        <v>67805</v>
      </c>
      <c r="C118" s="116" t="s">
        <v>1240</v>
      </c>
      <c r="D118" s="120">
        <v>201.4</v>
      </c>
      <c r="E118" s="124" t="s">
        <v>24</v>
      </c>
    </row>
    <row r="119" spans="1:5">
      <c r="A119" s="114">
        <v>46065</v>
      </c>
      <c r="B119" s="115">
        <v>85082</v>
      </c>
      <c r="C119" s="116" t="s">
        <v>1222</v>
      </c>
      <c r="D119" s="120">
        <v>739.08</v>
      </c>
      <c r="E119" s="124" t="s">
        <v>24</v>
      </c>
    </row>
    <row r="120" spans="1:5">
      <c r="A120" s="114">
        <v>46065</v>
      </c>
      <c r="B120" s="115">
        <v>8847</v>
      </c>
      <c r="C120" s="116" t="s">
        <v>1234</v>
      </c>
      <c r="D120" s="120">
        <v>250</v>
      </c>
      <c r="E120" s="124" t="s">
        <v>24</v>
      </c>
    </row>
    <row r="121" spans="1:5">
      <c r="A121" s="114">
        <v>46071</v>
      </c>
      <c r="B121" s="115">
        <v>115844</v>
      </c>
      <c r="C121" s="116" t="s">
        <v>1228</v>
      </c>
      <c r="D121" s="120">
        <v>66</v>
      </c>
      <c r="E121" s="124" t="s">
        <v>24</v>
      </c>
    </row>
    <row r="122" spans="1:5">
      <c r="A122" s="114">
        <v>46071</v>
      </c>
      <c r="B122" s="115">
        <v>148524</v>
      </c>
      <c r="C122" s="116" t="s">
        <v>1243</v>
      </c>
      <c r="D122" s="120">
        <v>333.62</v>
      </c>
      <c r="E122" s="124" t="s">
        <v>24</v>
      </c>
    </row>
    <row r="123" spans="1:5">
      <c r="A123" s="114">
        <v>46071</v>
      </c>
      <c r="B123" s="115">
        <v>17485</v>
      </c>
      <c r="C123" s="116" t="s">
        <v>1238</v>
      </c>
      <c r="D123" s="120">
        <v>365.7</v>
      </c>
      <c r="E123" s="124" t="s">
        <v>24</v>
      </c>
    </row>
    <row r="124" spans="1:5">
      <c r="A124" s="114">
        <v>46071</v>
      </c>
      <c r="B124" s="115">
        <v>200226</v>
      </c>
      <c r="C124" s="116" t="s">
        <v>1223</v>
      </c>
      <c r="D124" s="120">
        <v>164.01</v>
      </c>
      <c r="E124" s="124" t="s">
        <v>24</v>
      </c>
    </row>
    <row r="125" spans="1:5">
      <c r="A125" s="114">
        <v>46071</v>
      </c>
      <c r="B125" s="115">
        <v>200383</v>
      </c>
      <c r="C125" s="116" t="s">
        <v>1223</v>
      </c>
      <c r="D125" s="120">
        <v>1070.77</v>
      </c>
      <c r="E125" s="124" t="s">
        <v>24</v>
      </c>
    </row>
    <row r="126" spans="1:5">
      <c r="A126" s="114">
        <v>46071</v>
      </c>
      <c r="B126" s="115">
        <v>200384</v>
      </c>
      <c r="C126" s="116" t="s">
        <v>1223</v>
      </c>
      <c r="D126" s="120">
        <v>226.12</v>
      </c>
      <c r="E126" s="124" t="s">
        <v>24</v>
      </c>
    </row>
    <row r="127" spans="1:5">
      <c r="A127" s="114">
        <v>46071</v>
      </c>
      <c r="B127" s="115">
        <v>200385</v>
      </c>
      <c r="C127" s="116" t="s">
        <v>1223</v>
      </c>
      <c r="D127" s="120">
        <v>97.04</v>
      </c>
      <c r="E127" s="124" t="s">
        <v>24</v>
      </c>
    </row>
    <row r="128" spans="1:5">
      <c r="A128" s="114">
        <v>46071</v>
      </c>
      <c r="B128" s="115">
        <v>268057</v>
      </c>
      <c r="C128" s="116" t="s">
        <v>1230</v>
      </c>
      <c r="D128" s="120">
        <v>375</v>
      </c>
      <c r="E128" s="124" t="s">
        <v>24</v>
      </c>
    </row>
    <row r="129" spans="1:5">
      <c r="A129" s="114">
        <v>46071</v>
      </c>
      <c r="B129" s="115">
        <v>3460</v>
      </c>
      <c r="C129" s="116" t="s">
        <v>1244</v>
      </c>
      <c r="D129" s="120">
        <v>264</v>
      </c>
      <c r="E129" s="124" t="s">
        <v>24</v>
      </c>
    </row>
    <row r="130" spans="1:5">
      <c r="A130" s="114">
        <v>46071</v>
      </c>
      <c r="B130" s="115">
        <v>67823</v>
      </c>
      <c r="C130" s="116" t="s">
        <v>1240</v>
      </c>
      <c r="D130" s="120">
        <v>960.62</v>
      </c>
      <c r="E130" s="124" t="s">
        <v>24</v>
      </c>
    </row>
    <row r="131" spans="1:5">
      <c r="A131" s="114">
        <v>46071</v>
      </c>
      <c r="B131" s="115">
        <v>67829</v>
      </c>
      <c r="C131" s="116" t="s">
        <v>1240</v>
      </c>
      <c r="D131" s="120">
        <v>38.159999999999997</v>
      </c>
      <c r="E131" s="124" t="s">
        <v>24</v>
      </c>
    </row>
    <row r="132" spans="1:5">
      <c r="A132" s="114">
        <v>46071</v>
      </c>
      <c r="B132" s="115">
        <v>75844</v>
      </c>
      <c r="C132" s="116" t="s">
        <v>1225</v>
      </c>
      <c r="D132" s="120">
        <v>576.75</v>
      </c>
      <c r="E132" s="124" t="s">
        <v>24</v>
      </c>
    </row>
    <row r="133" spans="1:5">
      <c r="A133" s="114">
        <v>46071</v>
      </c>
      <c r="B133" s="115">
        <v>8872</v>
      </c>
      <c r="C133" s="116" t="s">
        <v>1234</v>
      </c>
      <c r="D133" s="120">
        <v>317</v>
      </c>
      <c r="E133" s="124" t="s">
        <v>24</v>
      </c>
    </row>
    <row r="134" spans="1:5">
      <c r="A134" s="114">
        <v>46072</v>
      </c>
      <c r="B134" s="115">
        <v>1263</v>
      </c>
      <c r="C134" s="116" t="s">
        <v>1261</v>
      </c>
      <c r="D134" s="120">
        <v>1710</v>
      </c>
      <c r="E134" s="124" t="s">
        <v>24</v>
      </c>
    </row>
    <row r="135" spans="1:5">
      <c r="A135" s="114">
        <v>46072</v>
      </c>
      <c r="B135" s="115">
        <v>2922</v>
      </c>
      <c r="C135" s="116" t="s">
        <v>1258</v>
      </c>
      <c r="D135" s="120">
        <v>235</v>
      </c>
      <c r="E135" s="124" t="s">
        <v>24</v>
      </c>
    </row>
    <row r="136" spans="1:5">
      <c r="A136" s="114">
        <v>46073</v>
      </c>
      <c r="B136" s="115">
        <v>115876</v>
      </c>
      <c r="C136" s="116" t="s">
        <v>1228</v>
      </c>
      <c r="D136" s="120">
        <v>174.8</v>
      </c>
      <c r="E136" s="124" t="s">
        <v>24</v>
      </c>
    </row>
    <row r="137" spans="1:5">
      <c r="A137" s="114">
        <v>46073</v>
      </c>
      <c r="B137" s="115">
        <v>17047</v>
      </c>
      <c r="C137" s="116" t="s">
        <v>1220</v>
      </c>
      <c r="D137" s="120">
        <v>1092.71</v>
      </c>
      <c r="E137" s="124" t="s">
        <v>24</v>
      </c>
    </row>
    <row r="138" spans="1:5">
      <c r="A138" s="114">
        <v>46073</v>
      </c>
      <c r="B138" s="115">
        <v>259771</v>
      </c>
      <c r="C138" s="116" t="s">
        <v>1221</v>
      </c>
      <c r="D138" s="120">
        <v>457.49</v>
      </c>
      <c r="E138" s="124" t="s">
        <v>24</v>
      </c>
    </row>
    <row r="139" spans="1:5">
      <c r="A139" s="114">
        <v>46076</v>
      </c>
      <c r="B139" s="115">
        <v>1579</v>
      </c>
      <c r="C139" s="116" t="s">
        <v>1237</v>
      </c>
      <c r="D139" s="120">
        <v>1603.59</v>
      </c>
      <c r="E139" s="124" t="s">
        <v>24</v>
      </c>
    </row>
    <row r="140" spans="1:5">
      <c r="A140" s="114">
        <v>46076</v>
      </c>
      <c r="B140" s="115">
        <v>23814</v>
      </c>
      <c r="C140" s="116" t="s">
        <v>1224</v>
      </c>
      <c r="D140" s="120">
        <v>575</v>
      </c>
      <c r="E140" s="124" t="s">
        <v>24</v>
      </c>
    </row>
    <row r="141" spans="1:5">
      <c r="A141" s="114">
        <v>46076</v>
      </c>
      <c r="B141" s="115">
        <v>259855</v>
      </c>
      <c r="C141" s="116" t="s">
        <v>1221</v>
      </c>
      <c r="D141" s="120">
        <v>1000.95</v>
      </c>
      <c r="E141" s="124" t="s">
        <v>24</v>
      </c>
    </row>
    <row r="142" spans="1:5">
      <c r="A142" s="114">
        <v>46076</v>
      </c>
      <c r="B142" s="115">
        <v>36281</v>
      </c>
      <c r="C142" s="116" t="s">
        <v>1233</v>
      </c>
      <c r="D142" s="120">
        <v>1841.35</v>
      </c>
      <c r="E142" s="124" t="s">
        <v>24</v>
      </c>
    </row>
    <row r="143" spans="1:5">
      <c r="A143" s="114">
        <v>46076</v>
      </c>
      <c r="B143" s="115">
        <v>67878</v>
      </c>
      <c r="C143" s="116" t="s">
        <v>1240</v>
      </c>
      <c r="D143" s="120">
        <v>328.6</v>
      </c>
      <c r="E143" s="124" t="s">
        <v>24</v>
      </c>
    </row>
    <row r="144" spans="1:5">
      <c r="A144" s="114">
        <v>46076</v>
      </c>
      <c r="B144" s="115">
        <v>85175</v>
      </c>
      <c r="C144" s="116" t="s">
        <v>1222</v>
      </c>
      <c r="D144" s="120">
        <v>378.29</v>
      </c>
      <c r="E144" s="124" t="s">
        <v>24</v>
      </c>
    </row>
    <row r="145" spans="1:5">
      <c r="A145" s="114">
        <v>46077</v>
      </c>
      <c r="B145" s="115">
        <v>200774</v>
      </c>
      <c r="C145" s="116" t="s">
        <v>1223</v>
      </c>
      <c r="D145" s="120">
        <v>179.01</v>
      </c>
      <c r="E145" s="124" t="s">
        <v>24</v>
      </c>
    </row>
    <row r="146" spans="1:5">
      <c r="A146" s="114">
        <v>46077</v>
      </c>
      <c r="B146" s="115">
        <v>200875</v>
      </c>
      <c r="C146" s="116" t="s">
        <v>1223</v>
      </c>
      <c r="D146" s="120">
        <v>27.9</v>
      </c>
      <c r="E146" s="124" t="s">
        <v>24</v>
      </c>
    </row>
    <row r="147" spans="1:5">
      <c r="A147" s="114">
        <v>46078</v>
      </c>
      <c r="B147" s="115">
        <v>260036</v>
      </c>
      <c r="C147" s="116" t="s">
        <v>1221</v>
      </c>
      <c r="D147" s="120">
        <v>1147.45</v>
      </c>
      <c r="E147" s="124" t="s">
        <v>24</v>
      </c>
    </row>
    <row r="148" spans="1:5">
      <c r="A148" s="114">
        <v>46078</v>
      </c>
      <c r="B148" s="115">
        <v>4148</v>
      </c>
      <c r="C148" s="116" t="s">
        <v>1247</v>
      </c>
      <c r="D148" s="120">
        <v>268.5</v>
      </c>
      <c r="E148" s="124" t="s">
        <v>24</v>
      </c>
    </row>
    <row r="149" spans="1:5">
      <c r="A149" s="114">
        <v>46078</v>
      </c>
      <c r="B149" s="115">
        <v>44132</v>
      </c>
      <c r="C149" s="116" t="s">
        <v>1262</v>
      </c>
      <c r="D149" s="120">
        <v>60</v>
      </c>
      <c r="E149" s="124" t="s">
        <v>24</v>
      </c>
    </row>
    <row r="150" spans="1:5">
      <c r="A150" s="114">
        <v>46078</v>
      </c>
      <c r="B150" s="115">
        <v>75905</v>
      </c>
      <c r="C150" s="116" t="s">
        <v>1225</v>
      </c>
      <c r="D150" s="120">
        <v>720</v>
      </c>
      <c r="E150" s="124" t="s">
        <v>24</v>
      </c>
    </row>
    <row r="151" spans="1:5">
      <c r="A151" s="114">
        <v>46079</v>
      </c>
      <c r="B151" s="115">
        <v>148681</v>
      </c>
      <c r="C151" s="116" t="s">
        <v>1243</v>
      </c>
      <c r="D151" s="120">
        <v>1256.1600000000001</v>
      </c>
      <c r="E151" s="124" t="s">
        <v>24</v>
      </c>
    </row>
    <row r="152" spans="1:5">
      <c r="A152" s="114">
        <v>46079</v>
      </c>
      <c r="B152" s="115">
        <v>1583</v>
      </c>
      <c r="C152" s="116" t="s">
        <v>1237</v>
      </c>
      <c r="D152" s="120">
        <v>7496.24</v>
      </c>
      <c r="E152" s="124" t="s">
        <v>24</v>
      </c>
    </row>
    <row r="153" spans="1:5">
      <c r="A153" s="114">
        <v>46079</v>
      </c>
      <c r="B153" s="115">
        <v>3028</v>
      </c>
      <c r="C153" s="116" t="s">
        <v>1258</v>
      </c>
      <c r="D153" s="120">
        <v>297</v>
      </c>
      <c r="E153" s="124" t="s">
        <v>24</v>
      </c>
    </row>
    <row r="154" spans="1:5">
      <c r="A154" s="114">
        <v>46079</v>
      </c>
      <c r="B154" s="115">
        <v>3513</v>
      </c>
      <c r="C154" s="116" t="s">
        <v>1244</v>
      </c>
      <c r="D154" s="120">
        <v>500</v>
      </c>
      <c r="E154" s="124" t="s">
        <v>24</v>
      </c>
    </row>
    <row r="155" spans="1:5">
      <c r="A155" s="114">
        <v>46079</v>
      </c>
      <c r="B155" s="115">
        <v>4158</v>
      </c>
      <c r="C155" s="116" t="s">
        <v>1247</v>
      </c>
      <c r="D155" s="120">
        <v>324</v>
      </c>
      <c r="E155" s="124" t="s">
        <v>24</v>
      </c>
    </row>
    <row r="156" spans="1:5">
      <c r="A156" s="114">
        <v>46079</v>
      </c>
      <c r="B156" s="115">
        <v>75944</v>
      </c>
      <c r="C156" s="116" t="s">
        <v>1225</v>
      </c>
      <c r="D156" s="120">
        <v>2318.1799999999998</v>
      </c>
      <c r="E156" s="124" t="s">
        <v>24</v>
      </c>
    </row>
    <row r="157" spans="1:5">
      <c r="A157" s="114">
        <v>46080</v>
      </c>
      <c r="B157" s="115">
        <v>1333</v>
      </c>
      <c r="C157" s="116" t="s">
        <v>1261</v>
      </c>
      <c r="D157" s="120">
        <v>1414.1</v>
      </c>
      <c r="E157" s="124" t="s">
        <v>24</v>
      </c>
    </row>
    <row r="158" spans="1:5">
      <c r="A158" s="114">
        <v>46080</v>
      </c>
      <c r="B158" s="115">
        <v>17748</v>
      </c>
      <c r="C158" s="116" t="s">
        <v>1238</v>
      </c>
      <c r="D158" s="120">
        <v>701.65</v>
      </c>
      <c r="E158" s="124" t="s">
        <v>24</v>
      </c>
    </row>
    <row r="159" spans="1:5">
      <c r="A159" s="114">
        <v>46080</v>
      </c>
      <c r="B159" s="115">
        <v>200968</v>
      </c>
      <c r="C159" s="116" t="s">
        <v>1223</v>
      </c>
      <c r="D159" s="120">
        <v>60</v>
      </c>
      <c r="E159" s="124" t="s">
        <v>24</v>
      </c>
    </row>
    <row r="160" spans="1:5">
      <c r="A160" s="114">
        <v>46080</v>
      </c>
      <c r="B160" s="115">
        <v>200973</v>
      </c>
      <c r="C160" s="116" t="s">
        <v>1223</v>
      </c>
      <c r="D160" s="120">
        <v>75.069999999999993</v>
      </c>
      <c r="E160" s="124" t="s">
        <v>24</v>
      </c>
    </row>
    <row r="161" spans="1:5">
      <c r="A161" s="114">
        <v>46080</v>
      </c>
      <c r="B161" s="115">
        <v>201110</v>
      </c>
      <c r="C161" s="116" t="s">
        <v>1223</v>
      </c>
      <c r="D161" s="120">
        <v>784.3</v>
      </c>
      <c r="E161" s="124" t="s">
        <v>24</v>
      </c>
    </row>
    <row r="162" spans="1:5">
      <c r="A162" s="114">
        <v>46080</v>
      </c>
      <c r="B162" s="115">
        <v>23875</v>
      </c>
      <c r="C162" s="116" t="s">
        <v>1224</v>
      </c>
      <c r="D162" s="120">
        <v>477.6</v>
      </c>
      <c r="E162" s="124" t="s">
        <v>24</v>
      </c>
    </row>
    <row r="163" spans="1:5">
      <c r="A163" s="114">
        <v>46080</v>
      </c>
      <c r="B163" s="115">
        <v>260200</v>
      </c>
      <c r="C163" s="116" t="s">
        <v>1221</v>
      </c>
      <c r="D163" s="120">
        <v>698.96</v>
      </c>
      <c r="E163" s="124" t="s">
        <v>24</v>
      </c>
    </row>
    <row r="164" spans="1:5">
      <c r="A164" s="114">
        <v>46080</v>
      </c>
      <c r="B164" s="115">
        <v>260225</v>
      </c>
      <c r="C164" s="116" t="s">
        <v>1221</v>
      </c>
      <c r="D164" s="120">
        <v>957.82</v>
      </c>
      <c r="E164" s="124" t="s">
        <v>24</v>
      </c>
    </row>
    <row r="165" spans="1:5">
      <c r="A165" s="114">
        <v>46080</v>
      </c>
      <c r="B165" s="115">
        <v>296</v>
      </c>
      <c r="C165" s="116" t="s">
        <v>1263</v>
      </c>
      <c r="D165" s="120">
        <v>596.70000000000005</v>
      </c>
      <c r="E165" s="124" t="s">
        <v>24</v>
      </c>
    </row>
    <row r="166" spans="1:5">
      <c r="A166" s="114">
        <v>46080</v>
      </c>
      <c r="B166" s="115">
        <v>305500</v>
      </c>
      <c r="C166" s="116" t="s">
        <v>1264</v>
      </c>
      <c r="D166" s="120">
        <v>384.53</v>
      </c>
      <c r="E166" s="124" t="s">
        <v>24</v>
      </c>
    </row>
    <row r="167" spans="1:5">
      <c r="A167" s="114">
        <v>46080</v>
      </c>
      <c r="B167" s="115">
        <v>67970</v>
      </c>
      <c r="C167" s="116" t="s">
        <v>1240</v>
      </c>
      <c r="D167" s="120">
        <v>1340.9</v>
      </c>
      <c r="E167" s="124" t="s">
        <v>24</v>
      </c>
    </row>
    <row r="168" spans="1:5">
      <c r="A168" s="114">
        <v>46080</v>
      </c>
      <c r="B168" s="115">
        <v>75973</v>
      </c>
      <c r="C168" s="116" t="s">
        <v>1225</v>
      </c>
      <c r="D168" s="120">
        <v>1726</v>
      </c>
      <c r="E168" s="124" t="s">
        <v>24</v>
      </c>
    </row>
    <row r="169" spans="1:5">
      <c r="A169" s="114">
        <v>46080</v>
      </c>
      <c r="B169" s="115">
        <v>7955</v>
      </c>
      <c r="C169" s="116" t="s">
        <v>1255</v>
      </c>
      <c r="D169" s="120">
        <v>385</v>
      </c>
      <c r="E169" s="124" t="s">
        <v>24</v>
      </c>
    </row>
    <row r="170" spans="1:5">
      <c r="A170" s="114">
        <v>46083</v>
      </c>
      <c r="B170" s="115">
        <v>1575</v>
      </c>
      <c r="C170" s="116" t="s">
        <v>1265</v>
      </c>
      <c r="D170" s="120">
        <v>2990</v>
      </c>
      <c r="E170" s="124" t="s">
        <v>25</v>
      </c>
    </row>
    <row r="171" spans="1:5">
      <c r="A171" s="114">
        <v>46083</v>
      </c>
      <c r="B171" s="115">
        <v>201220</v>
      </c>
      <c r="C171" s="116" t="s">
        <v>1223</v>
      </c>
      <c r="D171" s="120">
        <v>1769.17</v>
      </c>
      <c r="E171" s="124" t="s">
        <v>25</v>
      </c>
    </row>
    <row r="172" spans="1:5">
      <c r="A172" s="114">
        <v>46083</v>
      </c>
      <c r="B172" s="115">
        <v>2672</v>
      </c>
      <c r="C172" s="116" t="s">
        <v>1229</v>
      </c>
      <c r="D172" s="120">
        <v>743.85</v>
      </c>
      <c r="E172" s="124" t="s">
        <v>25</v>
      </c>
    </row>
    <row r="173" spans="1:5">
      <c r="A173" s="114">
        <v>46083</v>
      </c>
      <c r="B173" s="115">
        <v>3807</v>
      </c>
      <c r="C173" s="116" t="s">
        <v>1266</v>
      </c>
      <c r="D173" s="120">
        <v>1300</v>
      </c>
      <c r="E173" s="124" t="s">
        <v>25</v>
      </c>
    </row>
    <row r="174" spans="1:5">
      <c r="A174" s="114">
        <v>46083</v>
      </c>
      <c r="B174" s="115">
        <v>85363</v>
      </c>
      <c r="C174" s="116" t="s">
        <v>1222</v>
      </c>
      <c r="D174" s="120">
        <v>90.53</v>
      </c>
      <c r="E174" s="124" t="s">
        <v>25</v>
      </c>
    </row>
    <row r="175" spans="1:5">
      <c r="A175" s="114">
        <v>46084</v>
      </c>
      <c r="B175" s="115">
        <v>75991</v>
      </c>
      <c r="C175" s="116" t="s">
        <v>1225</v>
      </c>
      <c r="D175" s="120">
        <v>1243.68</v>
      </c>
      <c r="E175" s="124" t="s">
        <v>25</v>
      </c>
    </row>
    <row r="176" spans="1:5">
      <c r="A176" s="114">
        <v>46085</v>
      </c>
      <c r="B176" s="115">
        <v>148774</v>
      </c>
      <c r="C176" s="116" t="s">
        <v>1243</v>
      </c>
      <c r="D176" s="120">
        <v>659.39</v>
      </c>
      <c r="E176" s="124" t="s">
        <v>25</v>
      </c>
    </row>
    <row r="177" spans="1:5">
      <c r="A177" s="114">
        <v>46085</v>
      </c>
      <c r="B177" s="115">
        <v>260358</v>
      </c>
      <c r="C177" s="116" t="s">
        <v>1221</v>
      </c>
      <c r="D177" s="120">
        <v>2020.92</v>
      </c>
      <c r="E177" s="124" t="s">
        <v>25</v>
      </c>
    </row>
    <row r="178" spans="1:5">
      <c r="A178" s="114">
        <v>46085</v>
      </c>
      <c r="B178" s="115">
        <v>32764</v>
      </c>
      <c r="C178" s="116" t="s">
        <v>1231</v>
      </c>
      <c r="D178" s="120">
        <v>312</v>
      </c>
      <c r="E178" s="124" t="s">
        <v>25</v>
      </c>
    </row>
    <row r="179" spans="1:5">
      <c r="A179" s="114">
        <v>46086</v>
      </c>
      <c r="B179" s="115">
        <v>8900</v>
      </c>
      <c r="C179" s="116" t="s">
        <v>1234</v>
      </c>
      <c r="D179" s="120">
        <v>500</v>
      </c>
      <c r="E179" s="124" t="s">
        <v>25</v>
      </c>
    </row>
    <row r="180" spans="1:5">
      <c r="A180" s="114">
        <v>46087</v>
      </c>
      <c r="B180" s="115">
        <v>130477</v>
      </c>
      <c r="C180" s="116" t="s">
        <v>1256</v>
      </c>
      <c r="D180" s="120">
        <v>383.4</v>
      </c>
      <c r="E180" s="124" t="s">
        <v>25</v>
      </c>
    </row>
    <row r="181" spans="1:5">
      <c r="A181" s="114">
        <v>46087</v>
      </c>
      <c r="B181" s="115">
        <v>130525</v>
      </c>
      <c r="C181" s="116" t="s">
        <v>1256</v>
      </c>
      <c r="D181" s="120">
        <v>145.27000000000001</v>
      </c>
      <c r="E181" s="124" t="s">
        <v>25</v>
      </c>
    </row>
    <row r="182" spans="1:5">
      <c r="A182" s="114">
        <v>46087</v>
      </c>
      <c r="B182" s="115">
        <v>148823</v>
      </c>
      <c r="C182" s="116" t="s">
        <v>1243</v>
      </c>
      <c r="D182" s="120">
        <v>124.91</v>
      </c>
      <c r="E182" s="124" t="s">
        <v>25</v>
      </c>
    </row>
    <row r="183" spans="1:5">
      <c r="A183" s="114">
        <v>46087</v>
      </c>
      <c r="B183" s="115">
        <v>17072</v>
      </c>
      <c r="C183" s="116" t="s">
        <v>1220</v>
      </c>
      <c r="D183" s="120">
        <v>755.05</v>
      </c>
      <c r="E183" s="124" t="s">
        <v>25</v>
      </c>
    </row>
    <row r="184" spans="1:5">
      <c r="A184" s="114">
        <v>46087</v>
      </c>
      <c r="B184" s="115">
        <v>201349</v>
      </c>
      <c r="C184" s="116" t="s">
        <v>1223</v>
      </c>
      <c r="D184" s="120">
        <v>86</v>
      </c>
      <c r="E184" s="124" t="s">
        <v>25</v>
      </c>
    </row>
    <row r="185" spans="1:5">
      <c r="A185" s="114">
        <v>46087</v>
      </c>
      <c r="B185" s="115">
        <v>201622</v>
      </c>
      <c r="C185" s="116" t="s">
        <v>1223</v>
      </c>
      <c r="D185" s="120">
        <v>802.46</v>
      </c>
      <c r="E185" s="124" t="s">
        <v>25</v>
      </c>
    </row>
    <row r="186" spans="1:5">
      <c r="A186" s="114">
        <v>46087</v>
      </c>
      <c r="B186" s="115">
        <v>22118</v>
      </c>
      <c r="C186" s="116" t="s">
        <v>1267</v>
      </c>
      <c r="D186" s="120">
        <v>449.58</v>
      </c>
      <c r="E186" s="124" t="s">
        <v>25</v>
      </c>
    </row>
    <row r="187" spans="1:5">
      <c r="A187" s="114">
        <v>46087</v>
      </c>
      <c r="B187" s="115">
        <v>23924</v>
      </c>
      <c r="C187" s="116" t="s">
        <v>1224</v>
      </c>
      <c r="D187" s="120">
        <v>260</v>
      </c>
      <c r="E187" s="124" t="s">
        <v>25</v>
      </c>
    </row>
    <row r="188" spans="1:5">
      <c r="A188" s="114">
        <v>46087</v>
      </c>
      <c r="B188" s="115">
        <v>260484</v>
      </c>
      <c r="C188" s="116" t="s">
        <v>1221</v>
      </c>
      <c r="D188" s="120">
        <v>15093.14</v>
      </c>
      <c r="E188" s="124" t="s">
        <v>25</v>
      </c>
    </row>
    <row r="189" spans="1:5">
      <c r="A189" s="114">
        <v>46087</v>
      </c>
      <c r="B189" s="115">
        <v>2887</v>
      </c>
      <c r="C189" s="116" t="s">
        <v>1268</v>
      </c>
      <c r="D189" s="120">
        <v>385.84</v>
      </c>
      <c r="E189" s="124" t="s">
        <v>25</v>
      </c>
    </row>
    <row r="190" spans="1:5">
      <c r="A190" s="114">
        <v>46087</v>
      </c>
      <c r="B190" s="115">
        <v>3114</v>
      </c>
      <c r="C190" s="116" t="s">
        <v>1258</v>
      </c>
      <c r="D190" s="120">
        <v>21</v>
      </c>
      <c r="E190" s="124" t="s">
        <v>25</v>
      </c>
    </row>
    <row r="191" spans="1:5">
      <c r="A191" s="114">
        <v>46087</v>
      </c>
      <c r="B191" s="115">
        <v>32767</v>
      </c>
      <c r="C191" s="116" t="s">
        <v>1231</v>
      </c>
      <c r="D191" s="120">
        <v>32</v>
      </c>
      <c r="E191" s="124" t="s">
        <v>25</v>
      </c>
    </row>
    <row r="192" spans="1:5">
      <c r="A192" s="114">
        <v>46087</v>
      </c>
      <c r="B192" s="115">
        <v>373</v>
      </c>
      <c r="C192" s="116" t="s">
        <v>1260</v>
      </c>
      <c r="D192" s="120">
        <v>1229.0999999999999</v>
      </c>
      <c r="E192" s="124" t="s">
        <v>25</v>
      </c>
    </row>
    <row r="193" spans="1:5">
      <c r="A193" s="114">
        <v>46087</v>
      </c>
      <c r="B193" s="115">
        <v>76032</v>
      </c>
      <c r="C193" s="116" t="s">
        <v>1225</v>
      </c>
      <c r="D193" s="120">
        <v>720</v>
      </c>
      <c r="E193" s="124" t="s">
        <v>25</v>
      </c>
    </row>
    <row r="194" spans="1:5">
      <c r="A194" s="114">
        <v>46087</v>
      </c>
      <c r="B194" s="115">
        <v>76052</v>
      </c>
      <c r="C194" s="116" t="s">
        <v>1225</v>
      </c>
      <c r="D194" s="120">
        <v>1303.6300000000001</v>
      </c>
      <c r="E194" s="124" t="s">
        <v>25</v>
      </c>
    </row>
    <row r="195" spans="1:5">
      <c r="A195" s="114">
        <v>46087</v>
      </c>
      <c r="B195" s="115">
        <v>85442</v>
      </c>
      <c r="C195" s="116" t="s">
        <v>1222</v>
      </c>
      <c r="D195" s="120">
        <v>308.86</v>
      </c>
      <c r="E195" s="124" t="s">
        <v>25</v>
      </c>
    </row>
    <row r="196" spans="1:5">
      <c r="A196" s="114">
        <v>46087</v>
      </c>
      <c r="B196" s="115">
        <v>87751</v>
      </c>
      <c r="C196" s="116" t="s">
        <v>1226</v>
      </c>
      <c r="D196" s="120">
        <v>105.79</v>
      </c>
      <c r="E196" s="124" t="s">
        <v>25</v>
      </c>
    </row>
    <row r="197" spans="1:5">
      <c r="A197" s="114">
        <v>46091</v>
      </c>
      <c r="B197" s="115">
        <v>148875</v>
      </c>
      <c r="C197" s="116" t="s">
        <v>1243</v>
      </c>
      <c r="D197" s="120">
        <v>262.83</v>
      </c>
      <c r="E197" s="124" t="s">
        <v>25</v>
      </c>
    </row>
    <row r="198" spans="1:5">
      <c r="A198" s="114">
        <v>46091</v>
      </c>
      <c r="B198" s="115">
        <v>201837</v>
      </c>
      <c r="C198" s="116" t="s">
        <v>1223</v>
      </c>
      <c r="D198" s="120">
        <v>773.78</v>
      </c>
      <c r="E198" s="124" t="s">
        <v>25</v>
      </c>
    </row>
    <row r="199" spans="1:5">
      <c r="A199" s="114">
        <v>46091</v>
      </c>
      <c r="B199" s="115">
        <v>201848</v>
      </c>
      <c r="C199" s="116" t="s">
        <v>1223</v>
      </c>
      <c r="D199" s="120">
        <v>385.73</v>
      </c>
      <c r="E199" s="124" t="s">
        <v>25</v>
      </c>
    </row>
    <row r="200" spans="1:5">
      <c r="A200" s="114">
        <v>46091</v>
      </c>
      <c r="B200" s="115">
        <v>23658</v>
      </c>
      <c r="C200" s="116" t="s">
        <v>1254</v>
      </c>
      <c r="D200" s="120">
        <v>628.32000000000005</v>
      </c>
      <c r="E200" s="124" t="s">
        <v>25</v>
      </c>
    </row>
    <row r="201" spans="1:5">
      <c r="A201" s="114">
        <v>46091</v>
      </c>
      <c r="B201" s="115">
        <v>260606</v>
      </c>
      <c r="C201" s="116" t="s">
        <v>1221</v>
      </c>
      <c r="D201" s="120">
        <v>1914.91</v>
      </c>
      <c r="E201" s="124" t="s">
        <v>25</v>
      </c>
    </row>
    <row r="202" spans="1:5">
      <c r="A202" s="114">
        <v>46091</v>
      </c>
      <c r="B202" s="115">
        <v>2698</v>
      </c>
      <c r="C202" s="116" t="s">
        <v>1229</v>
      </c>
      <c r="D202" s="120">
        <v>270</v>
      </c>
      <c r="E202" s="124" t="s">
        <v>25</v>
      </c>
    </row>
    <row r="203" spans="1:5">
      <c r="A203" s="114">
        <v>46091</v>
      </c>
      <c r="B203" s="115">
        <v>3592</v>
      </c>
      <c r="C203" s="116" t="s">
        <v>1244</v>
      </c>
      <c r="D203" s="120">
        <v>106</v>
      </c>
      <c r="E203" s="124" t="s">
        <v>25</v>
      </c>
    </row>
    <row r="204" spans="1:5">
      <c r="A204" s="114">
        <v>46092</v>
      </c>
      <c r="B204" s="115">
        <v>116188</v>
      </c>
      <c r="C204" s="116" t="s">
        <v>1228</v>
      </c>
      <c r="D204" s="120">
        <v>54</v>
      </c>
      <c r="E204" s="124" t="s">
        <v>25</v>
      </c>
    </row>
    <row r="205" spans="1:5">
      <c r="A205" s="114">
        <v>46092</v>
      </c>
      <c r="B205" s="115">
        <v>1344</v>
      </c>
      <c r="C205" s="116" t="s">
        <v>1269</v>
      </c>
      <c r="D205" s="120">
        <v>565</v>
      </c>
      <c r="E205" s="124" t="s">
        <v>25</v>
      </c>
    </row>
    <row r="206" spans="1:5">
      <c r="A206" s="114">
        <v>46092</v>
      </c>
      <c r="B206" s="115">
        <v>201869</v>
      </c>
      <c r="C206" s="116" t="s">
        <v>1223</v>
      </c>
      <c r="D206" s="120">
        <v>174.66</v>
      </c>
      <c r="E206" s="124" t="s">
        <v>25</v>
      </c>
    </row>
    <row r="207" spans="1:5">
      <c r="A207" s="114">
        <v>46092</v>
      </c>
      <c r="B207" s="115">
        <v>23680</v>
      </c>
      <c r="C207" s="116" t="s">
        <v>1254</v>
      </c>
      <c r="D207" s="120">
        <v>437.62</v>
      </c>
      <c r="E207" s="124" t="s">
        <v>25</v>
      </c>
    </row>
    <row r="208" spans="1:5">
      <c r="A208" s="114">
        <v>46092</v>
      </c>
      <c r="B208" s="115">
        <v>260675</v>
      </c>
      <c r="C208" s="116" t="s">
        <v>1221</v>
      </c>
      <c r="D208" s="120">
        <v>1147.5999999999999</v>
      </c>
      <c r="E208" s="124" t="s">
        <v>25</v>
      </c>
    </row>
    <row r="209" spans="1:5">
      <c r="A209" s="114">
        <v>46092</v>
      </c>
      <c r="B209" s="115">
        <v>2705</v>
      </c>
      <c r="C209" s="116" t="s">
        <v>1229</v>
      </c>
      <c r="D209" s="120">
        <v>325</v>
      </c>
      <c r="E209" s="124" t="s">
        <v>25</v>
      </c>
    </row>
    <row r="210" spans="1:5">
      <c r="A210" s="114">
        <v>46092</v>
      </c>
      <c r="B210" s="115">
        <v>2712</v>
      </c>
      <c r="C210" s="116" t="s">
        <v>1229</v>
      </c>
      <c r="D210" s="120">
        <v>283.5</v>
      </c>
      <c r="E210" s="124" t="s">
        <v>25</v>
      </c>
    </row>
    <row r="211" spans="1:5">
      <c r="A211" s="114">
        <v>46092</v>
      </c>
      <c r="B211" s="115">
        <v>3139</v>
      </c>
      <c r="C211" s="116" t="s">
        <v>1258</v>
      </c>
      <c r="D211" s="120">
        <v>270</v>
      </c>
      <c r="E211" s="124" t="s">
        <v>25</v>
      </c>
    </row>
    <row r="212" spans="1:5">
      <c r="A212" s="114">
        <v>46092</v>
      </c>
      <c r="B212" s="115">
        <v>3148</v>
      </c>
      <c r="C212" s="116" t="s">
        <v>1258</v>
      </c>
      <c r="D212" s="120">
        <v>445</v>
      </c>
      <c r="E212" s="124" t="s">
        <v>25</v>
      </c>
    </row>
    <row r="213" spans="1:5">
      <c r="A213" s="114">
        <v>46092</v>
      </c>
      <c r="B213" s="115">
        <v>32865</v>
      </c>
      <c r="C213" s="116" t="s">
        <v>1231</v>
      </c>
      <c r="D213" s="120">
        <v>187.5</v>
      </c>
      <c r="E213" s="124" t="s">
        <v>25</v>
      </c>
    </row>
    <row r="214" spans="1:5">
      <c r="A214" s="114">
        <v>46092</v>
      </c>
      <c r="B214" s="115">
        <v>85522</v>
      </c>
      <c r="C214" s="116" t="s">
        <v>1222</v>
      </c>
      <c r="D214" s="120">
        <v>665.63</v>
      </c>
      <c r="E214" s="124" t="s">
        <v>25</v>
      </c>
    </row>
    <row r="215" spans="1:5">
      <c r="A215" s="114">
        <v>46093</v>
      </c>
      <c r="B215" s="115">
        <v>116129</v>
      </c>
      <c r="C215" s="116" t="s">
        <v>1228</v>
      </c>
      <c r="D215" s="120">
        <v>83</v>
      </c>
      <c r="E215" s="124" t="s">
        <v>25</v>
      </c>
    </row>
    <row r="216" spans="1:5">
      <c r="A216" s="114">
        <v>46093</v>
      </c>
      <c r="B216" s="115">
        <v>260780</v>
      </c>
      <c r="C216" s="116" t="s">
        <v>1221</v>
      </c>
      <c r="D216" s="120">
        <v>1490.82</v>
      </c>
      <c r="E216" s="124" t="s">
        <v>25</v>
      </c>
    </row>
    <row r="217" spans="1:5">
      <c r="A217" s="114">
        <v>46093</v>
      </c>
      <c r="B217" s="115">
        <v>3115</v>
      </c>
      <c r="C217" s="116" t="s">
        <v>1258</v>
      </c>
      <c r="D217" s="120">
        <v>705</v>
      </c>
      <c r="E217" s="124" t="s">
        <v>25</v>
      </c>
    </row>
    <row r="218" spans="1:5">
      <c r="A218" s="114">
        <v>46093</v>
      </c>
      <c r="B218" s="115">
        <v>3321</v>
      </c>
      <c r="C218" s="116" t="s">
        <v>1270</v>
      </c>
      <c r="D218" s="120">
        <v>799.68</v>
      </c>
      <c r="E218" s="124" t="s">
        <v>25</v>
      </c>
    </row>
    <row r="219" spans="1:5">
      <c r="A219" s="114">
        <v>46093</v>
      </c>
      <c r="B219" s="115">
        <v>76124</v>
      </c>
      <c r="C219" s="116" t="s">
        <v>1225</v>
      </c>
      <c r="D219" s="120">
        <v>577.5</v>
      </c>
      <c r="E219" s="124" t="s">
        <v>25</v>
      </c>
    </row>
    <row r="220" spans="1:5">
      <c r="A220" s="114">
        <v>46094</v>
      </c>
      <c r="B220" s="115">
        <v>116241</v>
      </c>
      <c r="C220" s="116" t="s">
        <v>1228</v>
      </c>
      <c r="D220" s="120">
        <v>50</v>
      </c>
      <c r="E220" s="124" t="s">
        <v>25</v>
      </c>
    </row>
    <row r="221" spans="1:5">
      <c r="A221" s="114">
        <v>46094</v>
      </c>
      <c r="B221" s="115">
        <v>202068</v>
      </c>
      <c r="C221" s="116" t="s">
        <v>1223</v>
      </c>
      <c r="D221" s="120">
        <v>135</v>
      </c>
      <c r="E221" s="124" t="s">
        <v>25</v>
      </c>
    </row>
    <row r="222" spans="1:5">
      <c r="A222" s="114">
        <v>46094</v>
      </c>
      <c r="B222" s="115">
        <v>202087</v>
      </c>
      <c r="C222" s="116" t="s">
        <v>1223</v>
      </c>
      <c r="D222" s="120">
        <v>95.67</v>
      </c>
      <c r="E222" s="124" t="s">
        <v>25</v>
      </c>
    </row>
    <row r="223" spans="1:5">
      <c r="A223" s="114">
        <v>46094</v>
      </c>
      <c r="B223" s="115">
        <v>85543</v>
      </c>
      <c r="C223" s="116" t="s">
        <v>1222</v>
      </c>
      <c r="D223" s="120">
        <v>215.13</v>
      </c>
      <c r="E223" s="124" t="s">
        <v>25</v>
      </c>
    </row>
    <row r="224" spans="1:5">
      <c r="A224" s="114">
        <v>46097</v>
      </c>
      <c r="B224" s="115">
        <v>116265</v>
      </c>
      <c r="C224" s="116" t="s">
        <v>1228</v>
      </c>
      <c r="D224" s="120">
        <v>21.3</v>
      </c>
      <c r="E224" s="124" t="s">
        <v>25</v>
      </c>
    </row>
    <row r="225" spans="1:5">
      <c r="A225" s="114">
        <v>46097</v>
      </c>
      <c r="B225" s="115">
        <v>18031</v>
      </c>
      <c r="C225" s="116" t="s">
        <v>1238</v>
      </c>
      <c r="D225" s="120">
        <v>154.55000000000001</v>
      </c>
      <c r="E225" s="124" t="s">
        <v>25</v>
      </c>
    </row>
    <row r="226" spans="1:5">
      <c r="A226" s="114">
        <v>46097</v>
      </c>
      <c r="B226" s="115">
        <v>23997</v>
      </c>
      <c r="C226" s="116" t="s">
        <v>1224</v>
      </c>
      <c r="D226" s="120">
        <v>424</v>
      </c>
      <c r="E226" s="124" t="s">
        <v>25</v>
      </c>
    </row>
    <row r="227" spans="1:5">
      <c r="A227" s="114">
        <v>46097</v>
      </c>
      <c r="B227" s="115">
        <v>260842</v>
      </c>
      <c r="C227" s="116" t="s">
        <v>1221</v>
      </c>
      <c r="D227" s="120">
        <v>1585.49</v>
      </c>
      <c r="E227" s="124" t="s">
        <v>25</v>
      </c>
    </row>
    <row r="228" spans="1:5">
      <c r="A228" s="114">
        <v>46097</v>
      </c>
      <c r="B228" s="115">
        <v>2720</v>
      </c>
      <c r="C228" s="116" t="s">
        <v>1229</v>
      </c>
      <c r="D228" s="120">
        <v>342</v>
      </c>
      <c r="E228" s="124" t="s">
        <v>25</v>
      </c>
    </row>
    <row r="229" spans="1:5">
      <c r="A229" s="114">
        <v>46097</v>
      </c>
      <c r="B229" s="115">
        <v>32830</v>
      </c>
      <c r="C229" s="116" t="s">
        <v>1271</v>
      </c>
      <c r="D229" s="120">
        <v>3232.96</v>
      </c>
      <c r="E229" s="124" t="s">
        <v>25</v>
      </c>
    </row>
    <row r="230" spans="1:5">
      <c r="A230" s="114">
        <v>46097</v>
      </c>
      <c r="B230" s="115">
        <v>3631</v>
      </c>
      <c r="C230" s="116" t="s">
        <v>1244</v>
      </c>
      <c r="D230" s="120">
        <v>139.69999999999999</v>
      </c>
      <c r="E230" s="124" t="s">
        <v>25</v>
      </c>
    </row>
    <row r="231" spans="1:5">
      <c r="A231" s="114">
        <v>46097</v>
      </c>
      <c r="B231" s="115">
        <v>68138</v>
      </c>
      <c r="C231" s="116" t="s">
        <v>1240</v>
      </c>
      <c r="D231" s="120">
        <v>47.7</v>
      </c>
      <c r="E231" s="124" t="s">
        <v>25</v>
      </c>
    </row>
    <row r="232" spans="1:5">
      <c r="A232" s="114">
        <v>46098</v>
      </c>
      <c r="B232" s="115">
        <v>1454</v>
      </c>
      <c r="C232" s="116" t="s">
        <v>1261</v>
      </c>
      <c r="D232" s="120">
        <v>170</v>
      </c>
      <c r="E232" s="124" t="s">
        <v>25</v>
      </c>
    </row>
    <row r="233" spans="1:5">
      <c r="A233" s="114">
        <v>46098</v>
      </c>
      <c r="B233" s="115">
        <v>202414</v>
      </c>
      <c r="C233" s="116" t="s">
        <v>1223</v>
      </c>
      <c r="D233" s="120">
        <v>845.04</v>
      </c>
      <c r="E233" s="124" t="s">
        <v>25</v>
      </c>
    </row>
    <row r="234" spans="1:5">
      <c r="A234" s="114">
        <v>46098</v>
      </c>
      <c r="B234" s="115">
        <v>4224</v>
      </c>
      <c r="C234" s="116" t="s">
        <v>1247</v>
      </c>
      <c r="D234" s="120">
        <v>424.9</v>
      </c>
      <c r="E234" s="124" t="s">
        <v>25</v>
      </c>
    </row>
    <row r="235" spans="1:5">
      <c r="A235" s="114">
        <v>46098</v>
      </c>
      <c r="B235" s="115">
        <v>76167</v>
      </c>
      <c r="C235" s="116" t="s">
        <v>1225</v>
      </c>
      <c r="D235" s="120">
        <v>598</v>
      </c>
      <c r="E235" s="124" t="s">
        <v>25</v>
      </c>
    </row>
    <row r="236" spans="1:5">
      <c r="A236" s="114">
        <v>46098</v>
      </c>
      <c r="B236" s="115">
        <v>85558</v>
      </c>
      <c r="C236" s="116" t="s">
        <v>1222</v>
      </c>
      <c r="D236" s="120">
        <v>464.02</v>
      </c>
      <c r="E236" s="124" t="s">
        <v>25</v>
      </c>
    </row>
    <row r="237" spans="1:5">
      <c r="A237" s="114">
        <v>46098</v>
      </c>
      <c r="B237" s="115">
        <v>85574</v>
      </c>
      <c r="C237" s="116" t="s">
        <v>1222</v>
      </c>
      <c r="D237" s="120">
        <v>789.17</v>
      </c>
      <c r="E237" s="124" t="s">
        <v>25</v>
      </c>
    </row>
    <row r="238" spans="1:5">
      <c r="A238" s="114">
        <v>46099</v>
      </c>
      <c r="B238" s="115">
        <v>88921</v>
      </c>
      <c r="C238" s="116" t="s">
        <v>1226</v>
      </c>
      <c r="D238" s="120">
        <v>683.6</v>
      </c>
      <c r="E238" s="124" t="s">
        <v>25</v>
      </c>
    </row>
    <row r="239" spans="1:5">
      <c r="A239" s="114">
        <v>46100</v>
      </c>
      <c r="B239" s="115">
        <v>17094</v>
      </c>
      <c r="C239" s="116" t="s">
        <v>1220</v>
      </c>
      <c r="D239" s="120">
        <v>951.78</v>
      </c>
      <c r="E239" s="124" t="s">
        <v>25</v>
      </c>
    </row>
    <row r="240" spans="1:5">
      <c r="A240" s="114">
        <v>46100</v>
      </c>
      <c r="B240" s="115">
        <v>23721</v>
      </c>
      <c r="C240" s="116" t="s">
        <v>1254</v>
      </c>
      <c r="D240" s="120">
        <v>499.8</v>
      </c>
      <c r="E240" s="124" t="s">
        <v>25</v>
      </c>
    </row>
    <row r="241" spans="1:5">
      <c r="A241" s="114">
        <v>46100</v>
      </c>
      <c r="B241" s="115">
        <v>261018</v>
      </c>
      <c r="C241" s="116" t="s">
        <v>1221</v>
      </c>
      <c r="D241" s="120">
        <v>436.24</v>
      </c>
      <c r="E241" s="124" t="s">
        <v>25</v>
      </c>
    </row>
    <row r="242" spans="1:5">
      <c r="A242" s="114">
        <v>46100</v>
      </c>
      <c r="B242" s="115">
        <v>76212</v>
      </c>
      <c r="C242" s="116" t="s">
        <v>1225</v>
      </c>
      <c r="D242" s="120">
        <v>609.6</v>
      </c>
      <c r="E242" s="124" t="s">
        <v>25</v>
      </c>
    </row>
    <row r="243" spans="1:5">
      <c r="A243" s="114">
        <v>46101</v>
      </c>
      <c r="B243" s="115">
        <v>116366</v>
      </c>
      <c r="C243" s="116" t="s">
        <v>1228</v>
      </c>
      <c r="D243" s="120">
        <v>684</v>
      </c>
      <c r="E243" s="124" t="s">
        <v>25</v>
      </c>
    </row>
    <row r="244" spans="1:5">
      <c r="A244" s="114">
        <v>46101</v>
      </c>
      <c r="B244" s="115">
        <v>149061</v>
      </c>
      <c r="C244" s="116" t="s">
        <v>1243</v>
      </c>
      <c r="D244" s="120">
        <v>1178.21</v>
      </c>
      <c r="E244" s="124" t="s">
        <v>25</v>
      </c>
    </row>
    <row r="245" spans="1:5">
      <c r="A245" s="114">
        <v>46101</v>
      </c>
      <c r="B245" s="115">
        <v>17107</v>
      </c>
      <c r="C245" s="116" t="s">
        <v>1220</v>
      </c>
      <c r="D245" s="120">
        <v>507</v>
      </c>
      <c r="E245" s="124" t="s">
        <v>25</v>
      </c>
    </row>
    <row r="246" spans="1:5">
      <c r="A246" s="114">
        <v>46101</v>
      </c>
      <c r="B246" s="115">
        <v>202694</v>
      </c>
      <c r="C246" s="116" t="s">
        <v>1223</v>
      </c>
      <c r="D246" s="120">
        <v>271.48</v>
      </c>
      <c r="E246" s="124" t="s">
        <v>25</v>
      </c>
    </row>
    <row r="247" spans="1:5">
      <c r="A247" s="114">
        <v>46101</v>
      </c>
      <c r="B247" s="115">
        <v>202695</v>
      </c>
      <c r="C247" s="116" t="s">
        <v>1223</v>
      </c>
      <c r="D247" s="120">
        <v>2650.07</v>
      </c>
      <c r="E247" s="124" t="s">
        <v>25</v>
      </c>
    </row>
    <row r="248" spans="1:5">
      <c r="A248" s="114">
        <v>46101</v>
      </c>
      <c r="B248" s="115">
        <v>68211</v>
      </c>
      <c r="C248" s="116" t="s">
        <v>1240</v>
      </c>
      <c r="D248" s="120">
        <v>259.7</v>
      </c>
      <c r="E248" s="124" t="s">
        <v>25</v>
      </c>
    </row>
    <row r="249" spans="1:5">
      <c r="A249" s="114">
        <v>46101</v>
      </c>
      <c r="B249" s="115">
        <v>76237</v>
      </c>
      <c r="C249" s="116" t="s">
        <v>1225</v>
      </c>
      <c r="D249" s="120">
        <v>270</v>
      </c>
      <c r="E249" s="124" t="s">
        <v>25</v>
      </c>
    </row>
    <row r="250" spans="1:5">
      <c r="A250" s="114">
        <v>46101</v>
      </c>
      <c r="B250" s="115">
        <v>815</v>
      </c>
      <c r="C250" s="116" t="s">
        <v>1272</v>
      </c>
      <c r="D250" s="120">
        <v>419.68</v>
      </c>
      <c r="E250" s="124" t="s">
        <v>25</v>
      </c>
    </row>
    <row r="251" spans="1:5">
      <c r="A251" s="114">
        <v>46101</v>
      </c>
      <c r="B251" s="115">
        <v>85633</v>
      </c>
      <c r="C251" s="116" t="s">
        <v>1222</v>
      </c>
      <c r="D251" s="120">
        <v>263.06</v>
      </c>
      <c r="E251" s="124" t="s">
        <v>25</v>
      </c>
    </row>
    <row r="252" spans="1:5">
      <c r="A252" s="114">
        <v>46104</v>
      </c>
      <c r="B252" s="115">
        <v>18210</v>
      </c>
      <c r="C252" s="116" t="s">
        <v>1238</v>
      </c>
      <c r="D252" s="120">
        <v>142.5</v>
      </c>
      <c r="E252" s="124" t="s">
        <v>25</v>
      </c>
    </row>
    <row r="253" spans="1:5">
      <c r="A253" s="114">
        <v>46104</v>
      </c>
      <c r="B253" s="115">
        <v>2752</v>
      </c>
      <c r="C253" s="116" t="s">
        <v>1229</v>
      </c>
      <c r="D253" s="120">
        <v>800</v>
      </c>
      <c r="E253" s="124" t="s">
        <v>25</v>
      </c>
    </row>
    <row r="254" spans="1:5">
      <c r="A254" s="114">
        <v>46104</v>
      </c>
      <c r="B254" s="115">
        <v>2997</v>
      </c>
      <c r="C254" s="116" t="s">
        <v>1250</v>
      </c>
      <c r="D254" s="120">
        <v>385</v>
      </c>
      <c r="E254" s="124" t="s">
        <v>25</v>
      </c>
    </row>
    <row r="255" spans="1:5">
      <c r="A255" s="114">
        <v>46104</v>
      </c>
      <c r="B255" s="115">
        <v>3244</v>
      </c>
      <c r="C255" s="116" t="s">
        <v>1258</v>
      </c>
      <c r="D255" s="120">
        <v>186</v>
      </c>
      <c r="E255" s="124" t="s">
        <v>25</v>
      </c>
    </row>
    <row r="256" spans="1:5">
      <c r="A256" s="114">
        <v>46104</v>
      </c>
      <c r="B256" s="115">
        <v>33000</v>
      </c>
      <c r="C256" s="116" t="s">
        <v>1231</v>
      </c>
      <c r="D256" s="120">
        <v>150</v>
      </c>
      <c r="E256" s="124" t="s">
        <v>25</v>
      </c>
    </row>
    <row r="257" spans="1:5">
      <c r="A257" s="114">
        <v>46104</v>
      </c>
      <c r="B257" s="115">
        <v>3671</v>
      </c>
      <c r="C257" s="116" t="s">
        <v>1244</v>
      </c>
      <c r="D257" s="120">
        <v>30</v>
      </c>
      <c r="E257" s="124" t="s">
        <v>25</v>
      </c>
    </row>
    <row r="258" spans="1:5">
      <c r="A258" s="114">
        <v>46104</v>
      </c>
      <c r="B258" s="115">
        <v>45717</v>
      </c>
      <c r="C258" s="116" t="s">
        <v>1227</v>
      </c>
      <c r="D258" s="120">
        <v>1116.29</v>
      </c>
      <c r="E258" s="124" t="s">
        <v>25</v>
      </c>
    </row>
    <row r="259" spans="1:5">
      <c r="A259" s="114">
        <v>46104</v>
      </c>
      <c r="B259" s="115">
        <v>5427</v>
      </c>
      <c r="C259" s="116" t="s">
        <v>1273</v>
      </c>
      <c r="D259" s="120">
        <v>348</v>
      </c>
      <c r="E259" s="124" t="s">
        <v>25</v>
      </c>
    </row>
    <row r="260" spans="1:5">
      <c r="A260" s="114">
        <v>46104</v>
      </c>
      <c r="B260" s="115">
        <v>73124</v>
      </c>
      <c r="C260" s="116" t="s">
        <v>1274</v>
      </c>
      <c r="D260" s="120">
        <v>1708.05</v>
      </c>
      <c r="E260" s="124" t="s">
        <v>25</v>
      </c>
    </row>
    <row r="261" spans="1:5">
      <c r="A261" s="114">
        <v>46104</v>
      </c>
      <c r="B261" s="115">
        <v>7673</v>
      </c>
      <c r="C261" s="116" t="s">
        <v>1245</v>
      </c>
      <c r="D261" s="120">
        <v>1100</v>
      </c>
      <c r="E261" s="124" t="s">
        <v>25</v>
      </c>
    </row>
    <row r="262" spans="1:5">
      <c r="A262" s="114">
        <v>46105</v>
      </c>
      <c r="B262" s="115">
        <v>108988</v>
      </c>
      <c r="C262" s="116" t="s">
        <v>1275</v>
      </c>
      <c r="D262" s="120">
        <v>13.5</v>
      </c>
      <c r="E262" s="124" t="s">
        <v>25</v>
      </c>
    </row>
    <row r="263" spans="1:5">
      <c r="A263" s="114">
        <v>46105</v>
      </c>
      <c r="B263" s="115">
        <v>29036</v>
      </c>
      <c r="C263" s="116" t="s">
        <v>1276</v>
      </c>
      <c r="D263" s="120">
        <v>180</v>
      </c>
      <c r="E263" s="124" t="s">
        <v>25</v>
      </c>
    </row>
    <row r="264" spans="1:5">
      <c r="A264" s="114">
        <v>46105</v>
      </c>
      <c r="B264" s="115">
        <v>64269</v>
      </c>
      <c r="C264" s="116" t="s">
        <v>1277</v>
      </c>
      <c r="D264" s="120">
        <v>356</v>
      </c>
      <c r="E264" s="124" t="s">
        <v>25</v>
      </c>
    </row>
    <row r="265" spans="1:5">
      <c r="A265" s="114">
        <v>46105</v>
      </c>
      <c r="B265" s="115">
        <v>68252</v>
      </c>
      <c r="C265" s="116" t="s">
        <v>1240</v>
      </c>
      <c r="D265" s="120">
        <v>280.89999999999998</v>
      </c>
      <c r="E265" s="124" t="s">
        <v>25</v>
      </c>
    </row>
    <row r="266" spans="1:5">
      <c r="A266" s="114">
        <v>46106</v>
      </c>
      <c r="B266" s="115">
        <v>202799</v>
      </c>
      <c r="C266" s="116" t="s">
        <v>1223</v>
      </c>
      <c r="D266" s="120">
        <v>123.54</v>
      </c>
      <c r="E266" s="124" t="s">
        <v>25</v>
      </c>
    </row>
    <row r="267" spans="1:5">
      <c r="A267" s="114">
        <v>46106</v>
      </c>
      <c r="B267" s="115">
        <v>261335</v>
      </c>
      <c r="C267" s="116" t="s">
        <v>1221</v>
      </c>
      <c r="D267" s="120">
        <v>3677.31</v>
      </c>
      <c r="E267" s="124" t="s">
        <v>25</v>
      </c>
    </row>
    <row r="268" spans="1:5">
      <c r="A268" s="114">
        <v>46106</v>
      </c>
      <c r="B268" s="115">
        <v>2774</v>
      </c>
      <c r="C268" s="116" t="s">
        <v>1229</v>
      </c>
      <c r="D268" s="120">
        <v>377.05</v>
      </c>
      <c r="E268" s="124" t="s">
        <v>25</v>
      </c>
    </row>
    <row r="269" spans="1:5">
      <c r="A269" s="114">
        <v>46106</v>
      </c>
      <c r="B269" s="115">
        <v>36495</v>
      </c>
      <c r="C269" s="116" t="s">
        <v>1233</v>
      </c>
      <c r="D269" s="120">
        <v>3068.92</v>
      </c>
      <c r="E269" s="124" t="s">
        <v>25</v>
      </c>
    </row>
    <row r="270" spans="1:5">
      <c r="A270" s="114">
        <v>46106</v>
      </c>
      <c r="B270" s="115">
        <v>74505</v>
      </c>
      <c r="C270" s="116" t="s">
        <v>1278</v>
      </c>
      <c r="D270" s="120">
        <v>1935</v>
      </c>
      <c r="E270" s="124" t="s">
        <v>25</v>
      </c>
    </row>
    <row r="271" spans="1:5">
      <c r="A271" s="114">
        <v>46106</v>
      </c>
      <c r="B271" s="115">
        <v>8960</v>
      </c>
      <c r="C271" s="116" t="s">
        <v>1234</v>
      </c>
      <c r="D271" s="120">
        <v>150</v>
      </c>
      <c r="E271" s="124" t="s">
        <v>25</v>
      </c>
    </row>
    <row r="272" spans="1:5">
      <c r="A272" s="114">
        <v>46107</v>
      </c>
      <c r="B272" s="115">
        <v>149180</v>
      </c>
      <c r="C272" s="116" t="s">
        <v>1243</v>
      </c>
      <c r="D272" s="120">
        <v>1511.24</v>
      </c>
      <c r="E272" s="124" t="s">
        <v>25</v>
      </c>
    </row>
    <row r="273" spans="1:5">
      <c r="A273" s="114">
        <v>46107</v>
      </c>
      <c r="B273" s="115">
        <v>153494</v>
      </c>
      <c r="C273" s="116" t="s">
        <v>1279</v>
      </c>
      <c r="D273" s="120">
        <v>4906.13</v>
      </c>
      <c r="E273" s="124" t="s">
        <v>25</v>
      </c>
    </row>
    <row r="274" spans="1:5">
      <c r="A274" s="114">
        <v>46107</v>
      </c>
      <c r="B274" s="115">
        <v>261431</v>
      </c>
      <c r="C274" s="116" t="s">
        <v>1221</v>
      </c>
      <c r="D274" s="120">
        <v>3084.47</v>
      </c>
      <c r="E274" s="124" t="s">
        <v>25</v>
      </c>
    </row>
    <row r="275" spans="1:5">
      <c r="A275" s="114">
        <v>46107</v>
      </c>
      <c r="B275" s="115">
        <v>269462</v>
      </c>
      <c r="C275" s="116" t="s">
        <v>1230</v>
      </c>
      <c r="D275" s="120">
        <v>345.06</v>
      </c>
      <c r="E275" s="124" t="s">
        <v>25</v>
      </c>
    </row>
    <row r="276" spans="1:5">
      <c r="A276" s="114">
        <v>46107</v>
      </c>
      <c r="B276" s="115">
        <v>2778</v>
      </c>
      <c r="C276" s="116" t="s">
        <v>1229</v>
      </c>
      <c r="D276" s="120">
        <v>415.53</v>
      </c>
      <c r="E276" s="124" t="s">
        <v>25</v>
      </c>
    </row>
    <row r="277" spans="1:5">
      <c r="A277" s="114">
        <v>46107</v>
      </c>
      <c r="B277" s="115">
        <v>3256</v>
      </c>
      <c r="C277" s="116" t="s">
        <v>1258</v>
      </c>
      <c r="D277" s="120">
        <v>540</v>
      </c>
      <c r="E277" s="124" t="s">
        <v>25</v>
      </c>
    </row>
    <row r="278" spans="1:5">
      <c r="A278" s="114">
        <v>46107</v>
      </c>
      <c r="B278" s="115">
        <v>33056</v>
      </c>
      <c r="C278" s="116" t="s">
        <v>1231</v>
      </c>
      <c r="D278" s="120">
        <v>187.5</v>
      </c>
      <c r="E278" s="124" t="s">
        <v>25</v>
      </c>
    </row>
    <row r="279" spans="1:5">
      <c r="A279" s="114">
        <v>46107</v>
      </c>
      <c r="B279" s="115">
        <v>4267</v>
      </c>
      <c r="C279" s="116" t="s">
        <v>1247</v>
      </c>
      <c r="D279" s="120">
        <v>1024.5</v>
      </c>
      <c r="E279" s="124" t="s">
        <v>25</v>
      </c>
    </row>
    <row r="280" spans="1:5">
      <c r="A280" s="114">
        <v>46107</v>
      </c>
      <c r="B280" s="115">
        <v>76312</v>
      </c>
      <c r="C280" s="116" t="s">
        <v>1225</v>
      </c>
      <c r="D280" s="120">
        <v>2337.8000000000002</v>
      </c>
      <c r="E280" s="124" t="s">
        <v>25</v>
      </c>
    </row>
    <row r="281" spans="1:5">
      <c r="A281" s="114">
        <v>46107</v>
      </c>
      <c r="B281" s="115">
        <v>85733</v>
      </c>
      <c r="C281" s="116" t="s">
        <v>1222</v>
      </c>
      <c r="D281" s="120">
        <v>143.78</v>
      </c>
      <c r="E281" s="124" t="s">
        <v>25</v>
      </c>
    </row>
    <row r="282" spans="1:5">
      <c r="A282" s="114">
        <v>46108</v>
      </c>
      <c r="B282" s="115">
        <v>140852</v>
      </c>
      <c r="C282" s="116" t="s">
        <v>1280</v>
      </c>
      <c r="D282" s="120">
        <v>1372.02</v>
      </c>
      <c r="E282" s="124" t="s">
        <v>25</v>
      </c>
    </row>
    <row r="283" spans="1:5">
      <c r="A283" s="114">
        <v>46108</v>
      </c>
      <c r="B283" s="115">
        <v>17496</v>
      </c>
      <c r="C283" s="116" t="s">
        <v>1281</v>
      </c>
      <c r="D283" s="120">
        <v>351</v>
      </c>
      <c r="E283" s="124" t="s">
        <v>25</v>
      </c>
    </row>
    <row r="284" spans="1:5">
      <c r="A284" s="114">
        <v>46108</v>
      </c>
      <c r="B284" s="115">
        <v>18323</v>
      </c>
      <c r="C284" s="116" t="s">
        <v>1238</v>
      </c>
      <c r="D284" s="120">
        <v>1744.6</v>
      </c>
      <c r="E284" s="124" t="s">
        <v>25</v>
      </c>
    </row>
    <row r="285" spans="1:5">
      <c r="A285" s="114">
        <v>46108</v>
      </c>
      <c r="B285" s="115">
        <v>203039</v>
      </c>
      <c r="C285" s="116" t="s">
        <v>1223</v>
      </c>
      <c r="D285" s="120">
        <v>2840.66</v>
      </c>
      <c r="E285" s="124" t="s">
        <v>25</v>
      </c>
    </row>
    <row r="286" spans="1:5">
      <c r="A286" s="114">
        <v>46108</v>
      </c>
      <c r="B286" s="115">
        <v>53822</v>
      </c>
      <c r="C286" s="116" t="s">
        <v>1282</v>
      </c>
      <c r="D286" s="120">
        <v>9668.99</v>
      </c>
      <c r="E286" s="124" t="s">
        <v>25</v>
      </c>
    </row>
    <row r="287" spans="1:5">
      <c r="A287" s="114">
        <v>46108</v>
      </c>
      <c r="B287" s="115">
        <v>53823</v>
      </c>
      <c r="C287" s="116" t="s">
        <v>1282</v>
      </c>
      <c r="D287" s="120">
        <v>456.91</v>
      </c>
      <c r="E287" s="124" t="s">
        <v>25</v>
      </c>
    </row>
    <row r="288" spans="1:5">
      <c r="A288" s="114">
        <v>46108</v>
      </c>
      <c r="B288" s="115">
        <v>68306</v>
      </c>
      <c r="C288" s="116" t="s">
        <v>1240</v>
      </c>
      <c r="D288" s="120">
        <v>1176.5999999999999</v>
      </c>
      <c r="E288" s="124" t="s">
        <v>25</v>
      </c>
    </row>
    <row r="289" spans="1:5">
      <c r="A289" s="114">
        <v>46108</v>
      </c>
      <c r="B289" s="115">
        <v>68333</v>
      </c>
      <c r="C289" s="116" t="s">
        <v>1240</v>
      </c>
      <c r="D289" s="120">
        <v>778.04</v>
      </c>
      <c r="E289" s="124" t="s">
        <v>25</v>
      </c>
    </row>
    <row r="290" spans="1:5">
      <c r="A290" s="114">
        <v>46108</v>
      </c>
      <c r="B290" s="115">
        <v>76292</v>
      </c>
      <c r="C290" s="116" t="s">
        <v>1225</v>
      </c>
      <c r="D290" s="120">
        <v>2574</v>
      </c>
      <c r="E290" s="124" t="s">
        <v>25</v>
      </c>
    </row>
    <row r="291" spans="1:5">
      <c r="A291" s="114">
        <v>46108</v>
      </c>
      <c r="B291" s="115">
        <v>85774</v>
      </c>
      <c r="C291" s="116" t="s">
        <v>1222</v>
      </c>
      <c r="D291" s="120">
        <v>490</v>
      </c>
      <c r="E291" s="124" t="s">
        <v>25</v>
      </c>
    </row>
    <row r="292" spans="1:5">
      <c r="A292" s="114">
        <v>46108</v>
      </c>
      <c r="B292" s="115">
        <v>89318</v>
      </c>
      <c r="C292" s="116" t="s">
        <v>1226</v>
      </c>
      <c r="D292" s="120">
        <v>193.2</v>
      </c>
      <c r="E292" s="124" t="s">
        <v>25</v>
      </c>
    </row>
    <row r="293" spans="1:5">
      <c r="A293" s="114">
        <v>46108</v>
      </c>
      <c r="B293" s="115">
        <v>895</v>
      </c>
      <c r="C293" s="116" t="s">
        <v>1239</v>
      </c>
      <c r="D293" s="120">
        <v>360</v>
      </c>
      <c r="E293" s="124" t="s">
        <v>25</v>
      </c>
    </row>
    <row r="294" spans="1:5">
      <c r="A294" s="114">
        <v>46111</v>
      </c>
      <c r="B294" s="115">
        <v>103739</v>
      </c>
      <c r="C294" s="116" t="s">
        <v>1283</v>
      </c>
      <c r="D294" s="120">
        <v>823.18</v>
      </c>
      <c r="E294" s="124" t="s">
        <v>25</v>
      </c>
    </row>
    <row r="295" spans="1:5">
      <c r="A295" s="114">
        <v>46111</v>
      </c>
      <c r="B295" s="115">
        <v>121701</v>
      </c>
      <c r="C295" s="116" t="s">
        <v>1235</v>
      </c>
      <c r="D295" s="120">
        <v>5296</v>
      </c>
      <c r="E295" s="124" t="s">
        <v>25</v>
      </c>
    </row>
    <row r="296" spans="1:5">
      <c r="A296" s="114">
        <v>46111</v>
      </c>
      <c r="B296" s="115">
        <v>76334</v>
      </c>
      <c r="C296" s="116" t="s">
        <v>1225</v>
      </c>
      <c r="D296" s="120">
        <v>2713.3</v>
      </c>
      <c r="E296" s="124" t="s">
        <v>25</v>
      </c>
    </row>
    <row r="297" spans="1:5">
      <c r="A297" s="114">
        <v>46112</v>
      </c>
      <c r="B297" s="115">
        <v>116497</v>
      </c>
      <c r="C297" s="116" t="s">
        <v>1228</v>
      </c>
      <c r="D297" s="120">
        <v>70</v>
      </c>
      <c r="E297" s="124" t="s">
        <v>25</v>
      </c>
    </row>
    <row r="298" spans="1:5">
      <c r="A298" s="114">
        <v>46112</v>
      </c>
      <c r="B298" s="115">
        <v>1543</v>
      </c>
      <c r="C298" s="116" t="s">
        <v>1261</v>
      </c>
      <c r="D298" s="120">
        <v>910</v>
      </c>
      <c r="E298" s="124" t="s">
        <v>25</v>
      </c>
    </row>
    <row r="299" spans="1:5">
      <c r="A299" s="114">
        <v>46112</v>
      </c>
      <c r="B299" s="115">
        <v>261513</v>
      </c>
      <c r="C299" s="116" t="s">
        <v>1221</v>
      </c>
      <c r="D299" s="120">
        <v>1102.22</v>
      </c>
      <c r="E299" s="124" t="s">
        <v>25</v>
      </c>
    </row>
    <row r="300" spans="1:5">
      <c r="A300" s="114">
        <v>46112</v>
      </c>
      <c r="B300" s="115">
        <v>2791</v>
      </c>
      <c r="C300" s="116" t="s">
        <v>1229</v>
      </c>
      <c r="D300" s="120">
        <v>159.16999999999999</v>
      </c>
      <c r="E300" s="124" t="s">
        <v>25</v>
      </c>
    </row>
    <row r="301" spans="1:5">
      <c r="A301" s="114">
        <v>46112</v>
      </c>
      <c r="B301" s="115">
        <v>2794</v>
      </c>
      <c r="C301" s="116" t="s">
        <v>1229</v>
      </c>
      <c r="D301" s="120">
        <v>463.05</v>
      </c>
      <c r="E301" s="124" t="s">
        <v>25</v>
      </c>
    </row>
    <row r="302" spans="1:5">
      <c r="A302" s="114">
        <v>46112</v>
      </c>
      <c r="B302" s="115">
        <v>3000</v>
      </c>
      <c r="C302" s="116" t="s">
        <v>1250</v>
      </c>
      <c r="D302" s="120">
        <v>770</v>
      </c>
      <c r="E302" s="124" t="s">
        <v>25</v>
      </c>
    </row>
    <row r="303" spans="1:5">
      <c r="A303" s="114">
        <v>46112</v>
      </c>
      <c r="B303" s="115">
        <v>3837</v>
      </c>
      <c r="C303" s="116" t="s">
        <v>1284</v>
      </c>
      <c r="D303" s="120">
        <v>540</v>
      </c>
      <c r="E303" s="124" t="s">
        <v>25</v>
      </c>
    </row>
    <row r="304" spans="1:5">
      <c r="A304" s="114">
        <v>46112</v>
      </c>
      <c r="B304" s="115">
        <v>4113</v>
      </c>
      <c r="C304" s="116" t="s">
        <v>1236</v>
      </c>
      <c r="D304" s="120">
        <v>1600</v>
      </c>
      <c r="E304" s="124" t="s">
        <v>25</v>
      </c>
    </row>
    <row r="305" spans="1:5">
      <c r="A305" s="114">
        <v>46112</v>
      </c>
      <c r="B305" s="115">
        <v>85793</v>
      </c>
      <c r="C305" s="116" t="s">
        <v>1222</v>
      </c>
      <c r="D305" s="120">
        <v>218.33</v>
      </c>
      <c r="E305" s="124" t="s">
        <v>25</v>
      </c>
    </row>
    <row r="306" spans="1:5">
      <c r="A306" s="108">
        <v>46114</v>
      </c>
      <c r="B306" s="109">
        <v>23811</v>
      </c>
      <c r="C306" s="110" t="s">
        <v>1254</v>
      </c>
      <c r="D306" s="111">
        <v>693.6</v>
      </c>
      <c r="E306" t="s">
        <v>26</v>
      </c>
    </row>
    <row r="307" spans="1:5">
      <c r="A307" s="108">
        <v>46118</v>
      </c>
      <c r="B307" s="109">
        <v>15917</v>
      </c>
      <c r="C307" s="110" t="s">
        <v>1285</v>
      </c>
      <c r="D307" s="111">
        <v>1710</v>
      </c>
      <c r="E307" t="s">
        <v>26</v>
      </c>
    </row>
    <row r="308" spans="1:5">
      <c r="A308" s="108">
        <v>46118</v>
      </c>
      <c r="B308" s="109">
        <v>203811</v>
      </c>
      <c r="C308" s="110" t="s">
        <v>1223</v>
      </c>
      <c r="D308" s="111">
        <v>904.09</v>
      </c>
      <c r="E308" t="s">
        <v>26</v>
      </c>
    </row>
    <row r="309" spans="1:5">
      <c r="A309" s="108">
        <v>46118</v>
      </c>
      <c r="B309" s="109">
        <v>33161</v>
      </c>
      <c r="C309" s="110" t="s">
        <v>1231</v>
      </c>
      <c r="D309" s="111">
        <v>197.5</v>
      </c>
      <c r="E309" t="s">
        <v>26</v>
      </c>
    </row>
    <row r="310" spans="1:5">
      <c r="A310" s="108">
        <v>46118</v>
      </c>
      <c r="B310" s="109">
        <v>3419</v>
      </c>
      <c r="C310" s="110" t="s">
        <v>1268</v>
      </c>
      <c r="D310" s="111">
        <v>344.5</v>
      </c>
      <c r="E310" t="s">
        <v>26</v>
      </c>
    </row>
    <row r="311" spans="1:5">
      <c r="A311" s="108">
        <v>46118</v>
      </c>
      <c r="B311" s="109">
        <v>4294</v>
      </c>
      <c r="C311" s="110" t="s">
        <v>1247</v>
      </c>
      <c r="D311" s="111">
        <v>328</v>
      </c>
      <c r="E311" t="s">
        <v>26</v>
      </c>
    </row>
    <row r="312" spans="1:5">
      <c r="A312" s="108">
        <v>46118</v>
      </c>
      <c r="B312" s="109">
        <v>76396</v>
      </c>
      <c r="C312" s="110" t="s">
        <v>1225</v>
      </c>
      <c r="D312" s="111">
        <v>470</v>
      </c>
      <c r="E312" t="s">
        <v>26</v>
      </c>
    </row>
    <row r="313" spans="1:5">
      <c r="A313" s="108">
        <v>46118</v>
      </c>
      <c r="B313" s="109">
        <v>85849</v>
      </c>
      <c r="C313" s="110" t="s">
        <v>1222</v>
      </c>
      <c r="D313" s="111">
        <v>143.78</v>
      </c>
      <c r="E313" t="s">
        <v>26</v>
      </c>
    </row>
    <row r="314" spans="1:5">
      <c r="A314" s="108">
        <v>46118</v>
      </c>
      <c r="B314" s="109">
        <v>89587</v>
      </c>
      <c r="C314" s="110" t="s">
        <v>1226</v>
      </c>
      <c r="D314" s="111">
        <v>298.87</v>
      </c>
      <c r="E314" t="s">
        <v>26</v>
      </c>
    </row>
    <row r="315" spans="1:5">
      <c r="A315" s="108">
        <v>46119</v>
      </c>
      <c r="B315" s="109">
        <v>261720</v>
      </c>
      <c r="C315" s="110" t="s">
        <v>1221</v>
      </c>
      <c r="D315" s="111">
        <v>787.98</v>
      </c>
      <c r="E315" t="s">
        <v>26</v>
      </c>
    </row>
    <row r="316" spans="1:5">
      <c r="A316" s="108">
        <v>46121</v>
      </c>
      <c r="B316" s="109">
        <v>116582</v>
      </c>
      <c r="C316" s="110" t="s">
        <v>1228</v>
      </c>
      <c r="D316" s="111">
        <v>97.5</v>
      </c>
      <c r="E316" t="s">
        <v>26</v>
      </c>
    </row>
    <row r="317" spans="1:5">
      <c r="A317" s="108">
        <v>46121</v>
      </c>
      <c r="B317" s="109">
        <v>116638</v>
      </c>
      <c r="C317" s="110" t="s">
        <v>1228</v>
      </c>
      <c r="D317" s="111">
        <v>65</v>
      </c>
      <c r="E317" t="s">
        <v>26</v>
      </c>
    </row>
    <row r="318" spans="1:5">
      <c r="A318" s="108">
        <v>46121</v>
      </c>
      <c r="B318" s="109">
        <v>18526</v>
      </c>
      <c r="C318" s="110" t="s">
        <v>1238</v>
      </c>
      <c r="D318" s="111">
        <v>1323.94</v>
      </c>
      <c r="E318" t="s">
        <v>26</v>
      </c>
    </row>
    <row r="319" spans="1:5">
      <c r="A319" s="108">
        <v>46121</v>
      </c>
      <c r="B319" s="109">
        <v>203928</v>
      </c>
      <c r="C319" s="110" t="s">
        <v>1223</v>
      </c>
      <c r="D319" s="111">
        <v>1114.4100000000001</v>
      </c>
      <c r="E319" t="s">
        <v>26</v>
      </c>
    </row>
    <row r="320" spans="1:5">
      <c r="A320" s="108">
        <v>46121</v>
      </c>
      <c r="B320" s="109">
        <v>204149</v>
      </c>
      <c r="C320" s="110" t="s">
        <v>1223</v>
      </c>
      <c r="D320" s="111">
        <v>166</v>
      </c>
      <c r="E320" t="s">
        <v>26</v>
      </c>
    </row>
    <row r="321" spans="1:5">
      <c r="A321" s="108">
        <v>46121</v>
      </c>
      <c r="B321" s="109">
        <v>261839</v>
      </c>
      <c r="C321" s="110" t="s">
        <v>1221</v>
      </c>
      <c r="D321" s="111">
        <v>2050.4899999999998</v>
      </c>
      <c r="E321" t="s">
        <v>26</v>
      </c>
    </row>
    <row r="322" spans="1:5">
      <c r="A322" s="108">
        <v>46121</v>
      </c>
      <c r="B322" s="109">
        <v>2812</v>
      </c>
      <c r="C322" s="110" t="s">
        <v>1229</v>
      </c>
      <c r="D322" s="111">
        <v>386.6</v>
      </c>
      <c r="E322" t="s">
        <v>26</v>
      </c>
    </row>
    <row r="323" spans="1:5">
      <c r="A323" s="108">
        <v>46121</v>
      </c>
      <c r="B323" s="109">
        <v>2818</v>
      </c>
      <c r="C323" s="110" t="s">
        <v>1229</v>
      </c>
      <c r="D323" s="111">
        <v>461.7</v>
      </c>
      <c r="E323" t="s">
        <v>26</v>
      </c>
    </row>
    <row r="324" spans="1:5">
      <c r="A324" s="108">
        <v>46121</v>
      </c>
      <c r="B324" s="109">
        <v>33212</v>
      </c>
      <c r="C324" s="110" t="s">
        <v>1231</v>
      </c>
      <c r="D324" s="111">
        <v>187.5</v>
      </c>
      <c r="E324" t="s">
        <v>26</v>
      </c>
    </row>
    <row r="325" spans="1:5">
      <c r="A325" s="108">
        <v>46121</v>
      </c>
      <c r="B325" s="109">
        <v>3775</v>
      </c>
      <c r="C325" s="110" t="s">
        <v>1244</v>
      </c>
      <c r="D325" s="111">
        <v>127</v>
      </c>
      <c r="E325" t="s">
        <v>26</v>
      </c>
    </row>
    <row r="326" spans="1:5">
      <c r="A326" s="108">
        <v>46121</v>
      </c>
      <c r="B326" s="109">
        <v>68424</v>
      </c>
      <c r="C326" s="110" t="s">
        <v>1240</v>
      </c>
      <c r="D326" s="111">
        <v>390.08</v>
      </c>
      <c r="E326" t="s">
        <v>26</v>
      </c>
    </row>
    <row r="327" spans="1:5">
      <c r="A327" s="108">
        <v>46121</v>
      </c>
      <c r="B327" s="109">
        <v>68444</v>
      </c>
      <c r="C327" s="110" t="s">
        <v>1240</v>
      </c>
      <c r="D327" s="111">
        <v>584.27</v>
      </c>
      <c r="E327" t="s">
        <v>26</v>
      </c>
    </row>
    <row r="328" spans="1:5">
      <c r="A328" s="108">
        <v>46121</v>
      </c>
      <c r="B328" s="109">
        <v>76465</v>
      </c>
      <c r="C328" s="110" t="s">
        <v>1225</v>
      </c>
      <c r="D328" s="111">
        <v>456.5</v>
      </c>
      <c r="E328" t="s">
        <v>26</v>
      </c>
    </row>
    <row r="329" spans="1:5">
      <c r="A329" s="108">
        <v>46121</v>
      </c>
      <c r="B329" s="109">
        <v>85940</v>
      </c>
      <c r="C329" s="110" t="s">
        <v>1222</v>
      </c>
      <c r="D329" s="111">
        <v>521</v>
      </c>
      <c r="E329" t="s">
        <v>26</v>
      </c>
    </row>
    <row r="330" spans="1:5">
      <c r="A330" s="108">
        <v>46122</v>
      </c>
      <c r="B330" s="109">
        <v>261969</v>
      </c>
      <c r="C330" s="110" t="s">
        <v>1221</v>
      </c>
      <c r="D330" s="111">
        <v>833.02</v>
      </c>
      <c r="E330" t="s">
        <v>26</v>
      </c>
    </row>
    <row r="331" spans="1:5">
      <c r="A331" s="108">
        <v>46122</v>
      </c>
      <c r="B331" s="109">
        <v>53867</v>
      </c>
      <c r="C331" s="110" t="s">
        <v>1282</v>
      </c>
      <c r="D331" s="111">
        <v>8862.7999999999993</v>
      </c>
      <c r="E331" t="s">
        <v>26</v>
      </c>
    </row>
    <row r="332" spans="1:5">
      <c r="A332" s="108">
        <v>46125</v>
      </c>
      <c r="B332" s="109">
        <v>24238</v>
      </c>
      <c r="C332" s="110" t="s">
        <v>1224</v>
      </c>
      <c r="D332" s="111">
        <v>482.07</v>
      </c>
      <c r="E332" t="s">
        <v>26</v>
      </c>
    </row>
    <row r="333" spans="1:5">
      <c r="A333" s="108">
        <v>46125</v>
      </c>
      <c r="B333" s="109">
        <v>262028</v>
      </c>
      <c r="C333" s="110" t="s">
        <v>1221</v>
      </c>
      <c r="D333" s="111">
        <v>1404.11</v>
      </c>
      <c r="E333" t="s">
        <v>26</v>
      </c>
    </row>
    <row r="334" spans="1:5">
      <c r="A334" s="108">
        <v>46125</v>
      </c>
      <c r="B334" s="109">
        <v>2823</v>
      </c>
      <c r="C334" s="110" t="s">
        <v>1229</v>
      </c>
      <c r="D334" s="111">
        <v>1305</v>
      </c>
      <c r="E334" t="s">
        <v>26</v>
      </c>
    </row>
    <row r="335" spans="1:5">
      <c r="A335" s="108">
        <v>46125</v>
      </c>
      <c r="B335" s="109">
        <v>33283</v>
      </c>
      <c r="C335" s="110" t="s">
        <v>1231</v>
      </c>
      <c r="D335" s="111">
        <v>1841</v>
      </c>
      <c r="E335" t="s">
        <v>26</v>
      </c>
    </row>
    <row r="336" spans="1:5">
      <c r="A336" s="108">
        <v>46125</v>
      </c>
      <c r="B336" s="109">
        <v>499085</v>
      </c>
      <c r="C336" s="110" t="s">
        <v>1286</v>
      </c>
      <c r="D336" s="111">
        <v>6057.13</v>
      </c>
      <c r="E336" t="s">
        <v>26</v>
      </c>
    </row>
    <row r="337" spans="1:5">
      <c r="A337" s="108">
        <v>46125</v>
      </c>
      <c r="B337" s="109">
        <v>85969</v>
      </c>
      <c r="C337" s="110" t="s">
        <v>1222</v>
      </c>
      <c r="D337" s="111">
        <v>556.91</v>
      </c>
      <c r="E337" t="s">
        <v>26</v>
      </c>
    </row>
    <row r="338" spans="1:5">
      <c r="A338" s="108">
        <v>46126</v>
      </c>
      <c r="B338" s="109">
        <v>262072</v>
      </c>
      <c r="C338" s="110" t="s">
        <v>1221</v>
      </c>
      <c r="D338" s="111">
        <v>632.73</v>
      </c>
      <c r="E338" t="s">
        <v>26</v>
      </c>
    </row>
    <row r="339" spans="1:5">
      <c r="A339" s="108">
        <v>46126</v>
      </c>
      <c r="B339" s="109">
        <v>73323</v>
      </c>
      <c r="C339" s="110" t="s">
        <v>1274</v>
      </c>
      <c r="D339" s="111">
        <v>1708.05</v>
      </c>
      <c r="E339" t="s">
        <v>26</v>
      </c>
    </row>
    <row r="340" spans="1:5">
      <c r="A340" s="108">
        <v>46126</v>
      </c>
      <c r="B340" s="109">
        <v>73324</v>
      </c>
      <c r="C340" s="110" t="s">
        <v>1274</v>
      </c>
      <c r="D340" s="111">
        <v>2562.08</v>
      </c>
      <c r="E340" t="s">
        <v>26</v>
      </c>
    </row>
    <row r="341" spans="1:5">
      <c r="A341" s="108">
        <v>46127</v>
      </c>
      <c r="B341" s="109">
        <v>204293</v>
      </c>
      <c r="C341" s="110" t="s">
        <v>1223</v>
      </c>
      <c r="D341" s="111">
        <v>664.56</v>
      </c>
      <c r="E341" t="s">
        <v>26</v>
      </c>
    </row>
    <row r="342" spans="1:5">
      <c r="A342" s="108">
        <v>46127</v>
      </c>
      <c r="B342" s="109">
        <v>204447</v>
      </c>
      <c r="C342" s="110" t="s">
        <v>1223</v>
      </c>
      <c r="D342" s="111">
        <v>577.41</v>
      </c>
      <c r="E342" t="s">
        <v>26</v>
      </c>
    </row>
    <row r="343" spans="1:5">
      <c r="A343" s="108">
        <v>46127</v>
      </c>
      <c r="B343" s="109">
        <v>262153</v>
      </c>
      <c r="C343" s="110" t="s">
        <v>1221</v>
      </c>
      <c r="D343" s="111">
        <v>358.4</v>
      </c>
      <c r="E343" t="s">
        <v>26</v>
      </c>
    </row>
    <row r="344" spans="1:5">
      <c r="A344" s="108">
        <v>46127</v>
      </c>
      <c r="B344" s="109">
        <v>2837</v>
      </c>
      <c r="C344" s="110" t="s">
        <v>1229</v>
      </c>
      <c r="D344" s="111">
        <v>1462.5</v>
      </c>
      <c r="E344" t="s">
        <v>26</v>
      </c>
    </row>
    <row r="345" spans="1:5">
      <c r="A345" s="108">
        <v>46127</v>
      </c>
      <c r="B345" s="109">
        <v>71306</v>
      </c>
      <c r="C345" s="110" t="s">
        <v>1287</v>
      </c>
      <c r="D345" s="111">
        <v>151.69999999999999</v>
      </c>
      <c r="E345" t="s">
        <v>26</v>
      </c>
    </row>
    <row r="346" spans="1:5">
      <c r="A346" s="108">
        <v>46127</v>
      </c>
      <c r="B346" s="109">
        <v>76516</v>
      </c>
      <c r="C346" s="110" t="s">
        <v>1225</v>
      </c>
      <c r="D346" s="111">
        <v>2795.2</v>
      </c>
      <c r="E346" t="s">
        <v>26</v>
      </c>
    </row>
    <row r="347" spans="1:5">
      <c r="A347" s="108">
        <v>46128</v>
      </c>
      <c r="B347" s="109">
        <v>1157</v>
      </c>
      <c r="C347" s="110" t="s">
        <v>1239</v>
      </c>
      <c r="D347" s="111">
        <v>522</v>
      </c>
      <c r="E347" t="s">
        <v>26</v>
      </c>
    </row>
    <row r="348" spans="1:5">
      <c r="A348" s="108">
        <v>46128</v>
      </c>
      <c r="B348" s="109">
        <v>1646</v>
      </c>
      <c r="C348" s="110" t="s">
        <v>1261</v>
      </c>
      <c r="D348" s="111">
        <v>708</v>
      </c>
      <c r="E348" t="s">
        <v>26</v>
      </c>
    </row>
    <row r="349" spans="1:5">
      <c r="A349" s="108">
        <v>46128</v>
      </c>
      <c r="B349" s="109">
        <v>18686</v>
      </c>
      <c r="C349" s="110" t="s">
        <v>1238</v>
      </c>
      <c r="D349" s="111">
        <v>953.5</v>
      </c>
      <c r="E349" t="s">
        <v>26</v>
      </c>
    </row>
    <row r="350" spans="1:5">
      <c r="A350" s="108">
        <v>46128</v>
      </c>
      <c r="B350" s="109">
        <v>204452</v>
      </c>
      <c r="C350" s="110" t="s">
        <v>1223</v>
      </c>
      <c r="D350" s="111">
        <v>309.75</v>
      </c>
      <c r="E350" t="s">
        <v>26</v>
      </c>
    </row>
    <row r="351" spans="1:5">
      <c r="A351" s="108">
        <v>46128</v>
      </c>
      <c r="B351" s="109">
        <v>204609</v>
      </c>
      <c r="C351" s="110" t="s">
        <v>1223</v>
      </c>
      <c r="D351" s="111">
        <v>522</v>
      </c>
      <c r="E351" t="s">
        <v>26</v>
      </c>
    </row>
    <row r="352" spans="1:5">
      <c r="A352" s="108">
        <v>46128</v>
      </c>
      <c r="B352" s="109">
        <v>3425</v>
      </c>
      <c r="C352" s="110" t="s">
        <v>1258</v>
      </c>
      <c r="D352" s="111">
        <v>191</v>
      </c>
      <c r="E352" t="s">
        <v>26</v>
      </c>
    </row>
    <row r="353" spans="1:5">
      <c r="A353" s="108">
        <v>46128</v>
      </c>
      <c r="B353" s="109">
        <v>76486</v>
      </c>
      <c r="C353" s="110" t="s">
        <v>1225</v>
      </c>
      <c r="D353" s="111">
        <v>640.5</v>
      </c>
      <c r="E353" t="s">
        <v>26</v>
      </c>
    </row>
    <row r="354" spans="1:5">
      <c r="A354" s="108">
        <v>46128</v>
      </c>
      <c r="B354" s="109">
        <v>9014</v>
      </c>
      <c r="C354" s="110" t="s">
        <v>1234</v>
      </c>
      <c r="D354" s="111">
        <v>205</v>
      </c>
      <c r="E354" t="s">
        <v>26</v>
      </c>
    </row>
    <row r="355" spans="1:5">
      <c r="A355" s="108">
        <v>46129</v>
      </c>
      <c r="B355" s="109">
        <v>1654</v>
      </c>
      <c r="C355" s="110" t="s">
        <v>1261</v>
      </c>
      <c r="D355" s="111">
        <v>177</v>
      </c>
      <c r="E355" t="s">
        <v>26</v>
      </c>
    </row>
    <row r="356" spans="1:5">
      <c r="A356" s="108">
        <v>46129</v>
      </c>
      <c r="B356" s="109">
        <v>262202</v>
      </c>
      <c r="C356" s="110" t="s">
        <v>1221</v>
      </c>
      <c r="D356" s="111">
        <v>5669.02</v>
      </c>
      <c r="E356" t="s">
        <v>26</v>
      </c>
    </row>
    <row r="357" spans="1:5">
      <c r="A357" s="108">
        <v>46129</v>
      </c>
      <c r="B357" s="109">
        <v>4340</v>
      </c>
      <c r="C357" s="110" t="s">
        <v>1247</v>
      </c>
      <c r="D357" s="111">
        <v>275</v>
      </c>
      <c r="E357" t="s">
        <v>26</v>
      </c>
    </row>
    <row r="358" spans="1:5">
      <c r="A358" s="108">
        <v>46129</v>
      </c>
      <c r="B358" s="109">
        <v>76538</v>
      </c>
      <c r="C358" s="110" t="s">
        <v>1225</v>
      </c>
      <c r="D358" s="111">
        <v>363</v>
      </c>
      <c r="E358" t="s">
        <v>26</v>
      </c>
    </row>
    <row r="359" spans="1:5">
      <c r="A359" s="108">
        <v>46132</v>
      </c>
      <c r="B359" s="109">
        <v>204782</v>
      </c>
      <c r="C359" s="110" t="s">
        <v>1223</v>
      </c>
      <c r="D359" s="111">
        <v>455.85</v>
      </c>
      <c r="E359" t="s">
        <v>26</v>
      </c>
    </row>
    <row r="360" spans="1:5">
      <c r="A360" s="108">
        <v>46132</v>
      </c>
      <c r="B360" s="109">
        <v>270226</v>
      </c>
      <c r="C360" s="110" t="s">
        <v>1230</v>
      </c>
      <c r="D360" s="111">
        <v>520</v>
      </c>
      <c r="E360" t="s">
        <v>26</v>
      </c>
    </row>
    <row r="361" spans="1:5">
      <c r="A361" s="108">
        <v>46132</v>
      </c>
      <c r="B361" s="109">
        <v>86021</v>
      </c>
      <c r="C361" s="110" t="s">
        <v>1222</v>
      </c>
      <c r="D361" s="111">
        <v>341.18</v>
      </c>
      <c r="E361" t="s">
        <v>26</v>
      </c>
    </row>
    <row r="362" spans="1:5">
      <c r="A362" s="108">
        <v>46134</v>
      </c>
      <c r="B362" s="109">
        <v>262436</v>
      </c>
      <c r="C362" s="110" t="s">
        <v>1221</v>
      </c>
      <c r="D362" s="111">
        <v>12179.77</v>
      </c>
      <c r="E362" t="s">
        <v>26</v>
      </c>
    </row>
    <row r="363" spans="1:5">
      <c r="A363" s="108">
        <v>46135</v>
      </c>
      <c r="B363" s="109">
        <v>18776</v>
      </c>
      <c r="C363" s="110" t="s">
        <v>1238</v>
      </c>
      <c r="D363" s="111">
        <v>212</v>
      </c>
      <c r="E363" t="s">
        <v>26</v>
      </c>
    </row>
    <row r="364" spans="1:5">
      <c r="A364" s="108">
        <v>46135</v>
      </c>
      <c r="B364" s="109">
        <v>4352</v>
      </c>
      <c r="C364" s="110" t="s">
        <v>1247</v>
      </c>
      <c r="D364" s="111">
        <v>500</v>
      </c>
      <c r="E364" t="s">
        <v>26</v>
      </c>
    </row>
    <row r="365" spans="1:5">
      <c r="A365" s="108">
        <v>46136</v>
      </c>
      <c r="B365" s="109">
        <v>1328</v>
      </c>
      <c r="C365" s="110" t="s">
        <v>1239</v>
      </c>
      <c r="D365" s="111">
        <v>400</v>
      </c>
      <c r="E365" t="s">
        <v>26</v>
      </c>
    </row>
    <row r="366" spans="1:5">
      <c r="A366" s="108">
        <v>46136</v>
      </c>
      <c r="B366" s="109">
        <v>17180</v>
      </c>
      <c r="C366" s="110" t="s">
        <v>1220</v>
      </c>
      <c r="D366" s="111">
        <v>784.07</v>
      </c>
      <c r="E366" t="s">
        <v>26</v>
      </c>
    </row>
    <row r="367" spans="1:5">
      <c r="A367" s="108">
        <v>46136</v>
      </c>
      <c r="B367" s="109">
        <v>18783</v>
      </c>
      <c r="C367" s="110" t="s">
        <v>1238</v>
      </c>
      <c r="D367" s="111">
        <v>757.9</v>
      </c>
      <c r="E367" t="s">
        <v>26</v>
      </c>
    </row>
    <row r="368" spans="1:5">
      <c r="A368" s="108">
        <v>46136</v>
      </c>
      <c r="B368" s="109">
        <v>262543</v>
      </c>
      <c r="C368" s="110" t="s">
        <v>1221</v>
      </c>
      <c r="D368" s="111">
        <v>1462.47</v>
      </c>
      <c r="E368" t="s">
        <v>26</v>
      </c>
    </row>
    <row r="369" spans="1:5">
      <c r="A369" s="108">
        <v>46136</v>
      </c>
      <c r="B369" s="109">
        <v>262620</v>
      </c>
      <c r="C369" s="110" t="s">
        <v>1221</v>
      </c>
      <c r="D369" s="111">
        <v>396.92</v>
      </c>
      <c r="E369" t="s">
        <v>26</v>
      </c>
    </row>
    <row r="370" spans="1:5">
      <c r="A370" s="108">
        <v>46136</v>
      </c>
      <c r="B370" s="109">
        <v>76603</v>
      </c>
      <c r="C370" s="110" t="s">
        <v>1225</v>
      </c>
      <c r="D370" s="111">
        <v>725.8</v>
      </c>
      <c r="E370" t="s">
        <v>26</v>
      </c>
    </row>
    <row r="371" spans="1:5">
      <c r="A371" s="108">
        <v>46136</v>
      </c>
      <c r="B371" s="109">
        <v>76624</v>
      </c>
      <c r="C371" s="110" t="s">
        <v>1225</v>
      </c>
      <c r="D371" s="111">
        <v>618.20000000000005</v>
      </c>
      <c r="E371" t="s">
        <v>26</v>
      </c>
    </row>
    <row r="372" spans="1:5">
      <c r="A372" s="108">
        <v>46136</v>
      </c>
      <c r="B372" s="109">
        <v>9033</v>
      </c>
      <c r="C372" s="110" t="s">
        <v>1234</v>
      </c>
      <c r="D372" s="111">
        <v>549</v>
      </c>
      <c r="E372" t="s">
        <v>26</v>
      </c>
    </row>
    <row r="373" spans="1:5">
      <c r="A373" s="108">
        <v>46136</v>
      </c>
      <c r="B373" s="109">
        <v>90420</v>
      </c>
      <c r="C373" s="110" t="s">
        <v>1226</v>
      </c>
      <c r="D373" s="111">
        <v>450</v>
      </c>
      <c r="E373" t="s">
        <v>26</v>
      </c>
    </row>
    <row r="374" spans="1:5">
      <c r="A374" s="108">
        <v>46140</v>
      </c>
      <c r="B374" s="109">
        <v>116898</v>
      </c>
      <c r="C374" s="110" t="s">
        <v>1228</v>
      </c>
      <c r="D374" s="111">
        <v>10.5</v>
      </c>
      <c r="E374" t="s">
        <v>26</v>
      </c>
    </row>
    <row r="375" spans="1:5">
      <c r="A375" s="108">
        <v>46140</v>
      </c>
      <c r="B375" s="109">
        <v>1439</v>
      </c>
      <c r="C375" s="110" t="s">
        <v>1249</v>
      </c>
      <c r="D375" s="111">
        <v>371.46</v>
      </c>
      <c r="E375" t="s">
        <v>26</v>
      </c>
    </row>
    <row r="376" spans="1:5">
      <c r="A376" s="108">
        <v>46140</v>
      </c>
      <c r="B376" s="109">
        <v>205173</v>
      </c>
      <c r="C376" s="110" t="s">
        <v>1223</v>
      </c>
      <c r="D376" s="111">
        <v>734.4</v>
      </c>
      <c r="E376" t="s">
        <v>26</v>
      </c>
    </row>
    <row r="377" spans="1:5">
      <c r="A377" s="108">
        <v>46140</v>
      </c>
      <c r="B377" s="109">
        <v>262685</v>
      </c>
      <c r="C377" s="110" t="s">
        <v>1221</v>
      </c>
      <c r="D377" s="111">
        <v>671.95</v>
      </c>
      <c r="E377" t="s">
        <v>26</v>
      </c>
    </row>
    <row r="378" spans="1:5">
      <c r="A378" s="108">
        <v>46140</v>
      </c>
      <c r="B378" s="109">
        <v>30894</v>
      </c>
      <c r="C378" s="110" t="s">
        <v>1288</v>
      </c>
      <c r="D378" s="111">
        <v>216</v>
      </c>
      <c r="E378" t="s">
        <v>26</v>
      </c>
    </row>
    <row r="379" spans="1:5">
      <c r="A379" s="108">
        <v>46140</v>
      </c>
      <c r="B379" s="109">
        <v>53911</v>
      </c>
      <c r="C379" s="110" t="s">
        <v>1282</v>
      </c>
      <c r="D379" s="111">
        <v>1087.3699999999999</v>
      </c>
      <c r="E379" t="s">
        <v>26</v>
      </c>
    </row>
    <row r="380" spans="1:5">
      <c r="A380" s="108">
        <v>46140</v>
      </c>
      <c r="B380" s="109">
        <v>86140</v>
      </c>
      <c r="C380" s="110" t="s">
        <v>1222</v>
      </c>
      <c r="D380" s="111">
        <v>499.7</v>
      </c>
      <c r="E380" t="s">
        <v>26</v>
      </c>
    </row>
    <row r="381" spans="1:5">
      <c r="A381" s="108">
        <v>46141</v>
      </c>
      <c r="B381" s="109">
        <v>131244</v>
      </c>
      <c r="C381" s="110" t="s">
        <v>1256</v>
      </c>
      <c r="D381" s="111">
        <v>111</v>
      </c>
      <c r="E381" t="s">
        <v>26</v>
      </c>
    </row>
    <row r="382" spans="1:5">
      <c r="A382" s="108">
        <v>46141</v>
      </c>
      <c r="B382" s="109">
        <v>18880</v>
      </c>
      <c r="C382" s="110" t="s">
        <v>1238</v>
      </c>
      <c r="D382" s="111">
        <v>23.85</v>
      </c>
      <c r="E382" t="s">
        <v>26</v>
      </c>
    </row>
    <row r="383" spans="1:5">
      <c r="A383" s="108">
        <v>46141</v>
      </c>
      <c r="B383" s="109">
        <v>205459</v>
      </c>
      <c r="C383" s="110" t="s">
        <v>1223</v>
      </c>
      <c r="D383" s="111">
        <v>164.17</v>
      </c>
      <c r="E383" t="s">
        <v>26</v>
      </c>
    </row>
    <row r="384" spans="1:5">
      <c r="A384" s="108">
        <v>46141</v>
      </c>
      <c r="B384" s="109">
        <v>24345</v>
      </c>
      <c r="C384" s="110" t="s">
        <v>1224</v>
      </c>
      <c r="D384" s="111">
        <v>290</v>
      </c>
      <c r="E384" t="s">
        <v>26</v>
      </c>
    </row>
    <row r="385" spans="1:5">
      <c r="A385" s="108">
        <v>46141</v>
      </c>
      <c r="B385" s="109">
        <v>2885</v>
      </c>
      <c r="C385" s="110" t="s">
        <v>1229</v>
      </c>
      <c r="D385" s="111">
        <v>342</v>
      </c>
      <c r="E385" t="s">
        <v>26</v>
      </c>
    </row>
    <row r="386" spans="1:5">
      <c r="A386" s="108">
        <v>46141</v>
      </c>
      <c r="B386" s="109">
        <v>5561</v>
      </c>
      <c r="C386" s="110" t="s">
        <v>1273</v>
      </c>
      <c r="D386" s="111">
        <v>899</v>
      </c>
      <c r="E386" t="s">
        <v>26</v>
      </c>
    </row>
    <row r="387" spans="1:5">
      <c r="A387" s="108">
        <v>46141</v>
      </c>
      <c r="B387" s="109">
        <v>68650</v>
      </c>
      <c r="C387" s="110" t="s">
        <v>1240</v>
      </c>
      <c r="D387" s="111">
        <v>479.6</v>
      </c>
      <c r="E387" t="s">
        <v>26</v>
      </c>
    </row>
    <row r="388" spans="1:5">
      <c r="A388" s="108">
        <v>46141</v>
      </c>
      <c r="B388" s="109">
        <v>9049</v>
      </c>
      <c r="C388" s="110" t="s">
        <v>1234</v>
      </c>
      <c r="D388" s="111">
        <v>307</v>
      </c>
      <c r="E388" t="s">
        <v>26</v>
      </c>
    </row>
    <row r="389" spans="1:5">
      <c r="A389" s="108">
        <v>46142</v>
      </c>
      <c r="B389" s="109">
        <v>205522</v>
      </c>
      <c r="C389" s="110" t="s">
        <v>1223</v>
      </c>
      <c r="D389" s="111">
        <v>1112.28</v>
      </c>
      <c r="E389" t="s">
        <v>26</v>
      </c>
    </row>
    <row r="390" spans="1:5">
      <c r="A390" s="108">
        <v>46142</v>
      </c>
      <c r="B390" s="109">
        <v>25257</v>
      </c>
      <c r="C390" s="110" t="s">
        <v>1289</v>
      </c>
      <c r="D390" s="111">
        <v>1924.38</v>
      </c>
      <c r="E390" t="s">
        <v>26</v>
      </c>
    </row>
    <row r="391" spans="1:5">
      <c r="A391" s="108">
        <v>46142</v>
      </c>
      <c r="B391" s="109">
        <v>262847</v>
      </c>
      <c r="C391" s="110" t="s">
        <v>1221</v>
      </c>
      <c r="D391" s="111">
        <v>1005.54</v>
      </c>
      <c r="E391" t="s">
        <v>26</v>
      </c>
    </row>
    <row r="392" spans="1:5">
      <c r="A392" s="108">
        <v>46142</v>
      </c>
      <c r="B392" s="109">
        <v>68743</v>
      </c>
      <c r="C392" s="110" t="s">
        <v>1240</v>
      </c>
      <c r="D392" s="111">
        <v>243.8</v>
      </c>
      <c r="E392" t="s">
        <v>26</v>
      </c>
    </row>
    <row r="393" spans="1:5">
      <c r="A393" s="108">
        <v>46142</v>
      </c>
      <c r="B393" s="109">
        <v>76696</v>
      </c>
      <c r="C393" s="110" t="s">
        <v>1225</v>
      </c>
      <c r="D393" s="111">
        <v>1032.5</v>
      </c>
      <c r="E393" t="s">
        <v>26</v>
      </c>
    </row>
    <row r="394" spans="1:5">
      <c r="A394" s="108">
        <v>46142</v>
      </c>
      <c r="B394" s="109">
        <v>909</v>
      </c>
      <c r="C394" s="110" t="s">
        <v>1290</v>
      </c>
      <c r="D394" s="111">
        <v>288</v>
      </c>
      <c r="E394" t="s">
        <v>26</v>
      </c>
    </row>
    <row r="395" spans="1:5">
      <c r="A395" s="108">
        <v>46141</v>
      </c>
      <c r="B395" s="109">
        <v>72685</v>
      </c>
      <c r="C395" s="110" t="s">
        <v>1291</v>
      </c>
      <c r="D395" s="293">
        <v>1999.4</v>
      </c>
      <c r="E395" t="s">
        <v>26</v>
      </c>
    </row>
    <row r="396" spans="1:5">
      <c r="A396" s="114">
        <v>46146</v>
      </c>
      <c r="B396" s="115">
        <v>116987</v>
      </c>
      <c r="C396" s="116" t="s">
        <v>1228</v>
      </c>
      <c r="D396" s="117">
        <v>200</v>
      </c>
      <c r="E396" s="124" t="s">
        <v>27</v>
      </c>
    </row>
    <row r="397" spans="1:5">
      <c r="A397" s="114">
        <v>46146</v>
      </c>
      <c r="B397" s="115">
        <v>72685</v>
      </c>
      <c r="C397" s="116" t="s">
        <v>1814</v>
      </c>
      <c r="D397" s="117">
        <v>1999.4</v>
      </c>
      <c r="E397" s="124" t="s">
        <v>27</v>
      </c>
    </row>
    <row r="398" spans="1:5">
      <c r="A398" s="114">
        <v>46147</v>
      </c>
      <c r="B398" s="115">
        <v>159</v>
      </c>
      <c r="C398" s="116" t="s">
        <v>1616</v>
      </c>
      <c r="D398" s="117">
        <v>190</v>
      </c>
      <c r="E398" s="124" t="s">
        <v>27</v>
      </c>
    </row>
    <row r="399" spans="1:5">
      <c r="A399" s="114">
        <v>46147</v>
      </c>
      <c r="B399" s="115">
        <v>17202</v>
      </c>
      <c r="C399" s="116" t="s">
        <v>1220</v>
      </c>
      <c r="D399" s="117">
        <v>535.54</v>
      </c>
      <c r="E399" s="124" t="s">
        <v>27</v>
      </c>
    </row>
    <row r="400" spans="1:5">
      <c r="A400" s="114">
        <v>46147</v>
      </c>
      <c r="B400" s="115">
        <v>2516</v>
      </c>
      <c r="C400" s="116" t="s">
        <v>1309</v>
      </c>
      <c r="D400" s="117">
        <v>1950</v>
      </c>
      <c r="E400" s="124" t="s">
        <v>27</v>
      </c>
    </row>
    <row r="401" spans="1:5">
      <c r="A401" s="114">
        <v>46147</v>
      </c>
      <c r="B401" s="115">
        <v>76719</v>
      </c>
      <c r="C401" s="116" t="s">
        <v>1225</v>
      </c>
      <c r="D401" s="117">
        <v>660</v>
      </c>
      <c r="E401" s="124" t="s">
        <v>27</v>
      </c>
    </row>
    <row r="402" spans="1:5">
      <c r="A402" s="114">
        <v>46149</v>
      </c>
      <c r="B402" s="115">
        <v>149784</v>
      </c>
      <c r="C402" s="116" t="s">
        <v>1243</v>
      </c>
      <c r="D402" s="117">
        <v>342.41</v>
      </c>
      <c r="E402" s="124" t="s">
        <v>27</v>
      </c>
    </row>
    <row r="403" spans="1:5">
      <c r="A403" s="114">
        <v>46149</v>
      </c>
      <c r="B403" s="115">
        <v>24014</v>
      </c>
      <c r="C403" s="116" t="s">
        <v>1254</v>
      </c>
      <c r="D403" s="117">
        <v>3009</v>
      </c>
      <c r="E403" s="124" t="s">
        <v>27</v>
      </c>
    </row>
    <row r="404" spans="1:5">
      <c r="A404" s="114">
        <v>46149</v>
      </c>
      <c r="B404" s="115">
        <v>263062</v>
      </c>
      <c r="C404" s="116" t="s">
        <v>1221</v>
      </c>
      <c r="D404" s="117">
        <v>442.85</v>
      </c>
      <c r="E404" s="124" t="s">
        <v>27</v>
      </c>
    </row>
    <row r="405" spans="1:5">
      <c r="A405" s="114">
        <v>46149</v>
      </c>
      <c r="B405" s="115">
        <v>3581</v>
      </c>
      <c r="C405" s="116" t="s">
        <v>1258</v>
      </c>
      <c r="D405" s="117">
        <v>198</v>
      </c>
      <c r="E405" s="124" t="s">
        <v>27</v>
      </c>
    </row>
    <row r="406" spans="1:5">
      <c r="A406" s="114">
        <v>46149</v>
      </c>
      <c r="B406" s="115">
        <v>44955</v>
      </c>
      <c r="C406" s="116" t="s">
        <v>1262</v>
      </c>
      <c r="D406" s="117">
        <v>676</v>
      </c>
      <c r="E406" s="124" t="s">
        <v>27</v>
      </c>
    </row>
    <row r="407" spans="1:5">
      <c r="A407" s="114">
        <v>46149</v>
      </c>
      <c r="B407" s="115">
        <v>76734</v>
      </c>
      <c r="C407" s="116" t="s">
        <v>1225</v>
      </c>
      <c r="D407" s="117">
        <v>836</v>
      </c>
      <c r="E407" s="124" t="s">
        <v>27</v>
      </c>
    </row>
    <row r="408" spans="1:5">
      <c r="A408" s="114">
        <v>46150</v>
      </c>
      <c r="B408" s="115">
        <v>117019</v>
      </c>
      <c r="C408" s="116" t="s">
        <v>1228</v>
      </c>
      <c r="D408" s="117">
        <v>250</v>
      </c>
      <c r="E408" s="124" t="s">
        <v>27</v>
      </c>
    </row>
    <row r="409" spans="1:5">
      <c r="A409" s="114">
        <v>46150</v>
      </c>
      <c r="B409" s="115">
        <v>154400</v>
      </c>
      <c r="C409" s="116" t="s">
        <v>1279</v>
      </c>
      <c r="D409" s="117">
        <v>1740.09</v>
      </c>
      <c r="E409" s="124" t="s">
        <v>27</v>
      </c>
    </row>
    <row r="410" spans="1:5">
      <c r="A410" s="114">
        <v>46150</v>
      </c>
      <c r="B410" s="115">
        <v>205790</v>
      </c>
      <c r="C410" s="116" t="s">
        <v>1223</v>
      </c>
      <c r="D410" s="117">
        <v>720</v>
      </c>
      <c r="E410" s="124" t="s">
        <v>27</v>
      </c>
    </row>
    <row r="411" spans="1:5">
      <c r="A411" s="114">
        <v>46150</v>
      </c>
      <c r="B411" s="115">
        <v>205803</v>
      </c>
      <c r="C411" s="116" t="s">
        <v>1223</v>
      </c>
      <c r="D411" s="117">
        <v>277.8</v>
      </c>
      <c r="E411" s="124" t="s">
        <v>27</v>
      </c>
    </row>
    <row r="412" spans="1:5">
      <c r="A412" s="114">
        <v>46150</v>
      </c>
      <c r="B412" s="115">
        <v>262971</v>
      </c>
      <c r="C412" s="116" t="s">
        <v>1221</v>
      </c>
      <c r="D412" s="117">
        <v>987.42</v>
      </c>
      <c r="E412" s="124" t="s">
        <v>27</v>
      </c>
    </row>
    <row r="413" spans="1:5">
      <c r="A413" s="114">
        <v>46150</v>
      </c>
      <c r="B413" s="115">
        <v>4393</v>
      </c>
      <c r="C413" s="116" t="s">
        <v>1247</v>
      </c>
      <c r="D413" s="117">
        <v>364</v>
      </c>
      <c r="E413" s="124" t="s">
        <v>27</v>
      </c>
    </row>
    <row r="414" spans="1:5">
      <c r="A414" s="114">
        <v>46150</v>
      </c>
      <c r="B414" s="115">
        <v>921</v>
      </c>
      <c r="C414" s="116" t="s">
        <v>1290</v>
      </c>
      <c r="D414" s="117">
        <v>236.25</v>
      </c>
      <c r="E414" s="124" t="s">
        <v>27</v>
      </c>
    </row>
    <row r="415" spans="1:5">
      <c r="A415" s="114">
        <v>46153</v>
      </c>
      <c r="B415" s="115">
        <v>25280</v>
      </c>
      <c r="C415" s="116" t="s">
        <v>1289</v>
      </c>
      <c r="D415" s="117">
        <v>1893.01</v>
      </c>
      <c r="E415" s="124" t="s">
        <v>27</v>
      </c>
    </row>
    <row r="416" spans="1:5">
      <c r="A416" s="114">
        <v>46153</v>
      </c>
      <c r="B416" s="115">
        <v>90996</v>
      </c>
      <c r="C416" s="116" t="s">
        <v>1226</v>
      </c>
      <c r="D416" s="117">
        <v>208</v>
      </c>
      <c r="E416" s="124" t="s">
        <v>27</v>
      </c>
    </row>
    <row r="417" spans="1:5">
      <c r="A417" s="114">
        <v>46154</v>
      </c>
      <c r="B417" s="115">
        <v>19050</v>
      </c>
      <c r="C417" s="116" t="s">
        <v>1815</v>
      </c>
      <c r="D417" s="117">
        <v>204</v>
      </c>
      <c r="E417" s="124" t="s">
        <v>27</v>
      </c>
    </row>
    <row r="418" spans="1:5">
      <c r="A418" s="114">
        <v>46154</v>
      </c>
      <c r="B418" s="115">
        <v>205938</v>
      </c>
      <c r="C418" s="116" t="s">
        <v>1223</v>
      </c>
      <c r="D418" s="117">
        <v>249.21</v>
      </c>
      <c r="E418" s="124" t="s">
        <v>27</v>
      </c>
    </row>
    <row r="419" spans="1:5">
      <c r="A419" s="114">
        <v>46154</v>
      </c>
      <c r="B419" s="115">
        <v>206154</v>
      </c>
      <c r="C419" s="116" t="s">
        <v>1223</v>
      </c>
      <c r="D419" s="117">
        <v>657.7</v>
      </c>
      <c r="E419" s="124" t="s">
        <v>27</v>
      </c>
    </row>
    <row r="420" spans="1:5">
      <c r="A420" s="114">
        <v>46154</v>
      </c>
      <c r="B420" s="115">
        <v>206275</v>
      </c>
      <c r="C420" s="116" t="s">
        <v>1223</v>
      </c>
      <c r="D420" s="117">
        <v>387.39</v>
      </c>
      <c r="E420" s="124" t="s">
        <v>27</v>
      </c>
    </row>
    <row r="421" spans="1:5">
      <c r="A421" s="114">
        <v>46154</v>
      </c>
      <c r="B421" s="115">
        <v>2099</v>
      </c>
      <c r="C421" s="116" t="s">
        <v>1816</v>
      </c>
      <c r="D421" s="117">
        <v>1091.99</v>
      </c>
      <c r="E421" s="124" t="s">
        <v>27</v>
      </c>
    </row>
    <row r="422" spans="1:5">
      <c r="A422" s="114">
        <v>46154</v>
      </c>
      <c r="B422" s="115">
        <v>24415</v>
      </c>
      <c r="C422" s="116" t="s">
        <v>1224</v>
      </c>
      <c r="D422" s="117">
        <v>290</v>
      </c>
      <c r="E422" s="124" t="s">
        <v>27</v>
      </c>
    </row>
    <row r="423" spans="1:5">
      <c r="A423" s="114">
        <v>46154</v>
      </c>
      <c r="B423" s="115">
        <v>270949</v>
      </c>
      <c r="C423" s="116" t="s">
        <v>1230</v>
      </c>
      <c r="D423" s="117">
        <v>520</v>
      </c>
      <c r="E423" s="124" t="s">
        <v>27</v>
      </c>
    </row>
    <row r="424" spans="1:5">
      <c r="A424" s="114">
        <v>46154</v>
      </c>
      <c r="B424" s="115">
        <v>4417</v>
      </c>
      <c r="C424" s="116" t="s">
        <v>1247</v>
      </c>
      <c r="D424" s="117">
        <v>1115</v>
      </c>
      <c r="E424" s="124" t="s">
        <v>27</v>
      </c>
    </row>
    <row r="425" spans="1:5">
      <c r="A425" s="114">
        <v>46154</v>
      </c>
      <c r="B425" s="115">
        <v>5753</v>
      </c>
      <c r="C425" s="116" t="s">
        <v>1248</v>
      </c>
      <c r="D425" s="117">
        <v>1143.7</v>
      </c>
      <c r="E425" s="124" t="s">
        <v>27</v>
      </c>
    </row>
    <row r="426" spans="1:5">
      <c r="A426" s="114">
        <v>46154</v>
      </c>
      <c r="B426" s="115">
        <v>68880</v>
      </c>
      <c r="C426" s="116" t="s">
        <v>1240</v>
      </c>
      <c r="D426" s="117">
        <v>328.6</v>
      </c>
      <c r="E426" s="124" t="s">
        <v>27</v>
      </c>
    </row>
    <row r="427" spans="1:5">
      <c r="A427" s="114">
        <v>46154</v>
      </c>
      <c r="B427" s="115">
        <v>76756</v>
      </c>
      <c r="C427" s="116" t="s">
        <v>1225</v>
      </c>
      <c r="D427" s="117">
        <v>258</v>
      </c>
      <c r="E427" s="124" t="s">
        <v>27</v>
      </c>
    </row>
    <row r="428" spans="1:5">
      <c r="A428" s="114">
        <v>46154</v>
      </c>
      <c r="B428" s="115">
        <v>86367</v>
      </c>
      <c r="C428" s="116" t="s">
        <v>1222</v>
      </c>
      <c r="D428" s="117">
        <v>85.73</v>
      </c>
      <c r="E428" s="124" t="s">
        <v>27</v>
      </c>
    </row>
    <row r="429" spans="1:5">
      <c r="A429" s="114">
        <v>46154</v>
      </c>
      <c r="B429" s="115">
        <v>91103</v>
      </c>
      <c r="C429" s="116" t="s">
        <v>1226</v>
      </c>
      <c r="D429" s="117">
        <v>320</v>
      </c>
      <c r="E429" s="124" t="s">
        <v>27</v>
      </c>
    </row>
    <row r="430" spans="1:5">
      <c r="A430" s="114">
        <v>46155</v>
      </c>
      <c r="B430" s="115">
        <v>14985</v>
      </c>
      <c r="C430" s="116" t="s">
        <v>1817</v>
      </c>
      <c r="D430" s="117">
        <v>49</v>
      </c>
      <c r="E430" s="124" t="s">
        <v>27</v>
      </c>
    </row>
    <row r="431" spans="1:5">
      <c r="A431" s="114">
        <v>46155</v>
      </c>
      <c r="B431" s="115">
        <v>17219</v>
      </c>
      <c r="C431" s="116" t="s">
        <v>1220</v>
      </c>
      <c r="D431" s="117">
        <v>1652.68</v>
      </c>
      <c r="E431" s="124" t="s">
        <v>27</v>
      </c>
    </row>
    <row r="432" spans="1:5">
      <c r="A432" s="114">
        <v>46155</v>
      </c>
      <c r="B432" s="115">
        <v>22444</v>
      </c>
      <c r="C432" s="116" t="s">
        <v>1818</v>
      </c>
      <c r="D432" s="117">
        <v>888.01</v>
      </c>
      <c r="E432" s="124" t="s">
        <v>27</v>
      </c>
    </row>
    <row r="433" spans="1:5">
      <c r="A433" s="114">
        <v>46155</v>
      </c>
      <c r="B433" s="115">
        <v>263221</v>
      </c>
      <c r="C433" s="116" t="s">
        <v>1221</v>
      </c>
      <c r="D433" s="117">
        <v>1096.0999999999999</v>
      </c>
      <c r="E433" s="124" t="s">
        <v>27</v>
      </c>
    </row>
    <row r="434" spans="1:5">
      <c r="A434" s="114">
        <v>46155</v>
      </c>
      <c r="B434" s="115">
        <v>3957</v>
      </c>
      <c r="C434" s="116" t="s">
        <v>1244</v>
      </c>
      <c r="D434" s="117">
        <v>104</v>
      </c>
      <c r="E434" s="124" t="s">
        <v>27</v>
      </c>
    </row>
    <row r="435" spans="1:5">
      <c r="A435" s="114">
        <v>46155</v>
      </c>
      <c r="B435" s="115">
        <v>4428</v>
      </c>
      <c r="C435" s="116" t="s">
        <v>1247</v>
      </c>
      <c r="D435" s="117">
        <v>823.5</v>
      </c>
      <c r="E435" s="124" t="s">
        <v>27</v>
      </c>
    </row>
    <row r="436" spans="1:5">
      <c r="A436" s="114">
        <v>46155</v>
      </c>
      <c r="B436" s="115">
        <v>68902</v>
      </c>
      <c r="C436" s="116" t="s">
        <v>1240</v>
      </c>
      <c r="D436" s="117">
        <v>797.6</v>
      </c>
      <c r="E436" s="124" t="s">
        <v>27</v>
      </c>
    </row>
    <row r="437" spans="1:5">
      <c r="A437" s="114">
        <v>46155</v>
      </c>
      <c r="B437" s="115">
        <v>76780</v>
      </c>
      <c r="C437" s="116" t="s">
        <v>1225</v>
      </c>
      <c r="D437" s="117">
        <v>339.64</v>
      </c>
      <c r="E437" s="124" t="s">
        <v>27</v>
      </c>
    </row>
    <row r="438" spans="1:5">
      <c r="A438" s="114">
        <v>46155</v>
      </c>
      <c r="B438" s="115">
        <v>76795</v>
      </c>
      <c r="C438" s="116" t="s">
        <v>1225</v>
      </c>
      <c r="D438" s="117">
        <v>1998.2</v>
      </c>
      <c r="E438" s="124" t="s">
        <v>27</v>
      </c>
    </row>
    <row r="439" spans="1:5">
      <c r="A439" s="114">
        <v>46155</v>
      </c>
      <c r="B439" s="115">
        <v>86397</v>
      </c>
      <c r="C439" s="116" t="s">
        <v>1222</v>
      </c>
      <c r="D439" s="117">
        <v>1060.74</v>
      </c>
      <c r="E439" s="124" t="s">
        <v>27</v>
      </c>
    </row>
    <row r="440" spans="1:5">
      <c r="A440" s="114">
        <v>46156</v>
      </c>
      <c r="B440" s="115">
        <v>12055</v>
      </c>
      <c r="C440" s="116" t="s">
        <v>1819</v>
      </c>
      <c r="D440" s="117">
        <v>53.98</v>
      </c>
      <c r="E440" s="124" t="s">
        <v>27</v>
      </c>
    </row>
    <row r="441" spans="1:5">
      <c r="A441" s="114">
        <v>46156</v>
      </c>
      <c r="B441" s="115">
        <v>12535</v>
      </c>
      <c r="C441" s="116" t="s">
        <v>1820</v>
      </c>
      <c r="D441" s="117">
        <v>26.99</v>
      </c>
      <c r="E441" s="124" t="s">
        <v>27</v>
      </c>
    </row>
    <row r="442" spans="1:5">
      <c r="A442" s="114">
        <v>46156</v>
      </c>
      <c r="B442" s="115">
        <v>1750</v>
      </c>
      <c r="C442" s="116" t="s">
        <v>1237</v>
      </c>
      <c r="D442" s="117">
        <v>1784.82</v>
      </c>
      <c r="E442" s="124" t="s">
        <v>27</v>
      </c>
    </row>
    <row r="443" spans="1:5">
      <c r="A443" s="114">
        <v>46156</v>
      </c>
      <c r="B443" s="115">
        <v>965</v>
      </c>
      <c r="C443" s="116" t="s">
        <v>1290</v>
      </c>
      <c r="D443" s="117">
        <v>567</v>
      </c>
      <c r="E443" s="124" t="s">
        <v>27</v>
      </c>
    </row>
    <row r="444" spans="1:5">
      <c r="A444" s="114">
        <v>46157</v>
      </c>
      <c r="B444" s="115">
        <v>16266</v>
      </c>
      <c r="C444" s="116" t="s">
        <v>1285</v>
      </c>
      <c r="D444" s="117">
        <v>342</v>
      </c>
      <c r="E444" s="124" t="s">
        <v>27</v>
      </c>
    </row>
    <row r="445" spans="1:5">
      <c r="A445" s="114">
        <v>46157</v>
      </c>
      <c r="B445" s="115">
        <v>19108</v>
      </c>
      <c r="C445" s="116" t="s">
        <v>1238</v>
      </c>
      <c r="D445" s="117">
        <v>1496.72</v>
      </c>
      <c r="E445" s="124" t="s">
        <v>27</v>
      </c>
    </row>
    <row r="446" spans="1:5">
      <c r="A446" s="114">
        <v>46157</v>
      </c>
      <c r="B446" s="115">
        <v>76818</v>
      </c>
      <c r="C446" s="116" t="s">
        <v>1225</v>
      </c>
      <c r="D446" s="117">
        <v>1333</v>
      </c>
      <c r="E446" s="124" t="s">
        <v>27</v>
      </c>
    </row>
    <row r="447" spans="1:5">
      <c r="A447" s="114">
        <v>46160</v>
      </c>
      <c r="B447" s="115">
        <v>1605</v>
      </c>
      <c r="C447" s="116" t="s">
        <v>1821</v>
      </c>
      <c r="D447" s="117">
        <v>1300.05</v>
      </c>
      <c r="E447" s="124" t="s">
        <v>27</v>
      </c>
    </row>
    <row r="448" spans="1:5">
      <c r="A448" s="114">
        <v>46160</v>
      </c>
      <c r="B448" s="115">
        <v>24484</v>
      </c>
      <c r="C448" s="116" t="s">
        <v>1224</v>
      </c>
      <c r="D448" s="117">
        <v>436</v>
      </c>
      <c r="E448" s="124" t="s">
        <v>27</v>
      </c>
    </row>
    <row r="449" spans="1:5">
      <c r="A449" s="114">
        <v>46160</v>
      </c>
      <c r="B449" s="115">
        <v>263393</v>
      </c>
      <c r="C449" s="116" t="s">
        <v>1221</v>
      </c>
      <c r="D449" s="117">
        <v>633.98</v>
      </c>
      <c r="E449" s="124" t="s">
        <v>27</v>
      </c>
    </row>
    <row r="450" spans="1:5">
      <c r="A450" s="114">
        <v>46160</v>
      </c>
      <c r="B450" s="115">
        <v>263415</v>
      </c>
      <c r="C450" s="116" t="s">
        <v>1221</v>
      </c>
      <c r="D450" s="117">
        <v>439.59</v>
      </c>
      <c r="E450" s="124" t="s">
        <v>27</v>
      </c>
    </row>
    <row r="451" spans="1:5">
      <c r="A451" s="114">
        <v>46160</v>
      </c>
      <c r="B451" s="115">
        <v>33663</v>
      </c>
      <c r="C451" s="116" t="s">
        <v>1231</v>
      </c>
      <c r="D451" s="117">
        <v>320</v>
      </c>
      <c r="E451" s="124" t="s">
        <v>27</v>
      </c>
    </row>
    <row r="452" spans="1:5">
      <c r="A452" s="114">
        <v>46160</v>
      </c>
      <c r="B452" s="115">
        <v>33765</v>
      </c>
      <c r="C452" s="116" t="s">
        <v>1259</v>
      </c>
      <c r="D452" s="117">
        <v>1003.74</v>
      </c>
      <c r="E452" s="124" t="s">
        <v>27</v>
      </c>
    </row>
    <row r="453" spans="1:5">
      <c r="A453" s="114">
        <v>46160</v>
      </c>
      <c r="B453" s="115">
        <v>86427</v>
      </c>
      <c r="C453" s="116" t="s">
        <v>1222</v>
      </c>
      <c r="D453" s="117">
        <v>1226</v>
      </c>
      <c r="E453" s="124" t="s">
        <v>27</v>
      </c>
    </row>
    <row r="454" spans="1:5">
      <c r="A454" s="114">
        <v>46160</v>
      </c>
      <c r="B454" s="115">
        <v>86444</v>
      </c>
      <c r="C454" s="116" t="s">
        <v>1222</v>
      </c>
      <c r="D454" s="117">
        <v>852</v>
      </c>
      <c r="E454" s="124" t="s">
        <v>27</v>
      </c>
    </row>
    <row r="455" spans="1:5">
      <c r="A455" s="114">
        <v>46161</v>
      </c>
      <c r="B455" s="115">
        <v>141933</v>
      </c>
      <c r="C455" s="116" t="s">
        <v>1280</v>
      </c>
      <c r="D455" s="117">
        <v>1372.01</v>
      </c>
      <c r="E455" s="124" t="s">
        <v>27</v>
      </c>
    </row>
    <row r="456" spans="1:5">
      <c r="A456" s="114">
        <v>46161</v>
      </c>
      <c r="B456" s="115">
        <v>206678</v>
      </c>
      <c r="C456" s="116" t="s">
        <v>1223</v>
      </c>
      <c r="D456" s="117">
        <v>714</v>
      </c>
      <c r="E456" s="124" t="s">
        <v>27</v>
      </c>
    </row>
    <row r="457" spans="1:5">
      <c r="A457" s="114">
        <v>46161</v>
      </c>
      <c r="B457" s="115">
        <v>206792</v>
      </c>
      <c r="C457" s="116" t="s">
        <v>1223</v>
      </c>
      <c r="D457" s="117">
        <v>2990.31</v>
      </c>
      <c r="E457" s="124" t="s">
        <v>27</v>
      </c>
    </row>
    <row r="458" spans="1:5">
      <c r="A458" s="114">
        <v>46161</v>
      </c>
      <c r="B458" s="115">
        <v>51299</v>
      </c>
      <c r="C458" s="116" t="s">
        <v>1822</v>
      </c>
      <c r="D458" s="117">
        <v>1693.31</v>
      </c>
      <c r="E458" s="124" t="s">
        <v>27</v>
      </c>
    </row>
    <row r="459" spans="1:5">
      <c r="A459" s="114">
        <v>46161</v>
      </c>
      <c r="B459" s="115">
        <v>86458</v>
      </c>
      <c r="C459" s="116" t="s">
        <v>1222</v>
      </c>
      <c r="D459" s="117">
        <v>85.73</v>
      </c>
      <c r="E459" s="124" t="s">
        <v>27</v>
      </c>
    </row>
    <row r="460" spans="1:5">
      <c r="A460" s="114">
        <v>46162</v>
      </c>
      <c r="B460" s="115">
        <v>4452</v>
      </c>
      <c r="C460" s="116" t="s">
        <v>1247</v>
      </c>
      <c r="D460" s="117">
        <v>1478</v>
      </c>
      <c r="E460" s="124" t="s">
        <v>27</v>
      </c>
    </row>
    <row r="461" spans="1:5">
      <c r="A461" s="114">
        <v>46162</v>
      </c>
      <c r="B461" s="115">
        <v>69003</v>
      </c>
      <c r="C461" s="116" t="s">
        <v>1240</v>
      </c>
      <c r="D461" s="117">
        <v>572.4</v>
      </c>
      <c r="E461" s="124" t="s">
        <v>27</v>
      </c>
    </row>
    <row r="462" spans="1:5">
      <c r="A462" s="114">
        <v>46162</v>
      </c>
      <c r="B462" s="115">
        <v>77</v>
      </c>
      <c r="C462" s="116" t="s">
        <v>1823</v>
      </c>
      <c r="D462" s="117">
        <v>2599</v>
      </c>
      <c r="E462" s="124" t="s">
        <v>27</v>
      </c>
    </row>
    <row r="463" spans="1:5">
      <c r="A463" s="114">
        <v>46162</v>
      </c>
      <c r="B463" s="115">
        <v>859</v>
      </c>
      <c r="C463" s="116" t="s">
        <v>1824</v>
      </c>
      <c r="D463" s="117">
        <v>603.25</v>
      </c>
      <c r="E463" s="124" t="s">
        <v>27</v>
      </c>
    </row>
    <row r="464" spans="1:5">
      <c r="A464" s="114">
        <v>46162</v>
      </c>
      <c r="B464" s="115">
        <v>91537</v>
      </c>
      <c r="C464" s="116" t="s">
        <v>1226</v>
      </c>
      <c r="D464" s="117">
        <v>855.77</v>
      </c>
      <c r="E464" s="124" t="s">
        <v>27</v>
      </c>
    </row>
    <row r="465" spans="1:5">
      <c r="A465" s="114">
        <v>46162</v>
      </c>
      <c r="B465" s="115">
        <v>975</v>
      </c>
      <c r="C465" s="116" t="s">
        <v>1290</v>
      </c>
      <c r="D465" s="117">
        <v>315</v>
      </c>
      <c r="E465" s="124" t="s">
        <v>27</v>
      </c>
    </row>
    <row r="466" spans="1:5">
      <c r="A466" s="114">
        <v>46163</v>
      </c>
      <c r="B466" s="115">
        <v>206915</v>
      </c>
      <c r="C466" s="116" t="s">
        <v>1223</v>
      </c>
      <c r="D466" s="117">
        <v>434.21</v>
      </c>
      <c r="E466" s="124" t="s">
        <v>27</v>
      </c>
    </row>
    <row r="467" spans="1:5">
      <c r="A467" s="114">
        <v>46163</v>
      </c>
      <c r="B467" s="115">
        <v>263508</v>
      </c>
      <c r="C467" s="116" t="s">
        <v>1221</v>
      </c>
      <c r="D467" s="117">
        <v>2788.61</v>
      </c>
      <c r="E467" s="124" t="s">
        <v>27</v>
      </c>
    </row>
    <row r="468" spans="1:5">
      <c r="A468" s="114">
        <v>46163</v>
      </c>
      <c r="B468" s="115">
        <v>4016</v>
      </c>
      <c r="C468" s="116" t="s">
        <v>1244</v>
      </c>
      <c r="D468" s="117">
        <v>35</v>
      </c>
      <c r="E468" s="124" t="s">
        <v>27</v>
      </c>
    </row>
    <row r="469" spans="1:5">
      <c r="A469" s="114">
        <v>46163</v>
      </c>
      <c r="B469" s="115">
        <v>5963</v>
      </c>
      <c r="C469" s="116" t="s">
        <v>1253</v>
      </c>
      <c r="D469" s="117">
        <v>665.97</v>
      </c>
      <c r="E469" s="124" t="s">
        <v>27</v>
      </c>
    </row>
    <row r="470" spans="1:5">
      <c r="A470" s="114">
        <v>46163</v>
      </c>
      <c r="B470" s="115">
        <v>76884</v>
      </c>
      <c r="C470" s="116" t="s">
        <v>1225</v>
      </c>
      <c r="D470" s="117">
        <v>1080</v>
      </c>
      <c r="E470" s="124" t="s">
        <v>27</v>
      </c>
    </row>
    <row r="471" spans="1:5">
      <c r="A471" s="114">
        <v>46163</v>
      </c>
      <c r="B471" s="115">
        <v>8058</v>
      </c>
      <c r="C471" s="116" t="s">
        <v>1255</v>
      </c>
      <c r="D471" s="117">
        <v>125</v>
      </c>
      <c r="E471" s="124" t="s">
        <v>27</v>
      </c>
    </row>
    <row r="472" spans="1:5">
      <c r="A472" s="114">
        <v>46164</v>
      </c>
      <c r="B472" s="115">
        <v>19100</v>
      </c>
      <c r="C472" s="116" t="s">
        <v>1815</v>
      </c>
      <c r="D472" s="117">
        <v>453</v>
      </c>
      <c r="E472" s="124" t="s">
        <v>27</v>
      </c>
    </row>
    <row r="473" spans="1:5">
      <c r="A473" s="114">
        <v>46164</v>
      </c>
      <c r="B473" s="115">
        <v>263633</v>
      </c>
      <c r="C473" s="116" t="s">
        <v>1221</v>
      </c>
      <c r="D473" s="117">
        <v>392.43</v>
      </c>
      <c r="E473" s="124" t="s">
        <v>27</v>
      </c>
    </row>
    <row r="474" spans="1:5">
      <c r="A474" s="114">
        <v>46164</v>
      </c>
      <c r="B474" s="115">
        <v>263662</v>
      </c>
      <c r="C474" s="116" t="s">
        <v>1221</v>
      </c>
      <c r="D474" s="117">
        <v>843.81</v>
      </c>
      <c r="E474" s="124" t="s">
        <v>27</v>
      </c>
    </row>
    <row r="475" spans="1:5">
      <c r="A475" s="114">
        <v>46164</v>
      </c>
      <c r="B475" s="115">
        <v>8376</v>
      </c>
      <c r="C475" s="116" t="s">
        <v>1825</v>
      </c>
      <c r="D475" s="117">
        <v>300</v>
      </c>
      <c r="E475" s="124" t="s">
        <v>27</v>
      </c>
    </row>
    <row r="476" spans="1:5">
      <c r="A476" s="114">
        <v>46167</v>
      </c>
      <c r="B476" s="115">
        <v>1007</v>
      </c>
      <c r="C476" s="116" t="s">
        <v>1290</v>
      </c>
      <c r="D476" s="117">
        <v>548.1</v>
      </c>
      <c r="E476" s="124" t="s">
        <v>27</v>
      </c>
    </row>
    <row r="477" spans="1:5">
      <c r="A477" s="114">
        <v>46167</v>
      </c>
      <c r="B477" s="115">
        <v>19326</v>
      </c>
      <c r="C477" s="116" t="s">
        <v>1238</v>
      </c>
      <c r="D477" s="117">
        <v>79.5</v>
      </c>
      <c r="E477" s="124" t="s">
        <v>27</v>
      </c>
    </row>
    <row r="478" spans="1:5">
      <c r="A478" s="114">
        <v>46167</v>
      </c>
      <c r="B478" s="115">
        <v>207116</v>
      </c>
      <c r="C478" s="116" t="s">
        <v>1223</v>
      </c>
      <c r="D478" s="117">
        <v>100</v>
      </c>
      <c r="E478" s="124" t="s">
        <v>27</v>
      </c>
    </row>
    <row r="479" spans="1:5">
      <c r="A479" s="114">
        <v>46167</v>
      </c>
      <c r="B479" s="115">
        <v>207157</v>
      </c>
      <c r="C479" s="116" t="s">
        <v>1223</v>
      </c>
      <c r="D479" s="117">
        <v>135.5</v>
      </c>
      <c r="E479" s="124" t="s">
        <v>27</v>
      </c>
    </row>
    <row r="480" spans="1:5">
      <c r="A480" s="114">
        <v>46167</v>
      </c>
      <c r="B480" s="115">
        <v>24533</v>
      </c>
      <c r="C480" s="116" t="s">
        <v>1224</v>
      </c>
      <c r="D480" s="117">
        <v>489</v>
      </c>
      <c r="E480" s="124" t="s">
        <v>27</v>
      </c>
    </row>
    <row r="481" spans="1:5">
      <c r="A481" s="114">
        <v>46167</v>
      </c>
      <c r="B481" s="115">
        <v>69100</v>
      </c>
      <c r="C481" s="116" t="s">
        <v>1240</v>
      </c>
      <c r="D481" s="117">
        <v>93.28</v>
      </c>
      <c r="E481" s="124" t="s">
        <v>27</v>
      </c>
    </row>
    <row r="482" spans="1:5">
      <c r="A482" s="114">
        <v>46167</v>
      </c>
      <c r="B482" s="115">
        <v>76918</v>
      </c>
      <c r="C482" s="116" t="s">
        <v>1225</v>
      </c>
      <c r="D482" s="117">
        <v>619.9</v>
      </c>
      <c r="E482" s="124" t="s">
        <v>27</v>
      </c>
    </row>
    <row r="483" spans="1:5">
      <c r="A483" s="114">
        <v>46167</v>
      </c>
      <c r="B483" s="115">
        <v>91779</v>
      </c>
      <c r="C483" s="116" t="s">
        <v>1226</v>
      </c>
      <c r="D483" s="117">
        <v>208</v>
      </c>
      <c r="E483" s="124" t="s">
        <v>27</v>
      </c>
    </row>
    <row r="484" spans="1:5">
      <c r="A484" s="114">
        <v>46168</v>
      </c>
      <c r="B484" s="115">
        <v>131594</v>
      </c>
      <c r="C484" s="116" t="s">
        <v>1256</v>
      </c>
      <c r="D484" s="117">
        <v>6.07</v>
      </c>
      <c r="E484" s="124" t="s">
        <v>27</v>
      </c>
    </row>
    <row r="485" spans="1:5">
      <c r="A485" s="114">
        <v>46168</v>
      </c>
      <c r="B485" s="115">
        <v>207253</v>
      </c>
      <c r="C485" s="116" t="s">
        <v>1223</v>
      </c>
      <c r="D485" s="117">
        <v>100</v>
      </c>
      <c r="E485" s="124" t="s">
        <v>27</v>
      </c>
    </row>
    <row r="486" spans="1:5">
      <c r="A486" s="114">
        <v>46168</v>
      </c>
      <c r="B486" s="115">
        <v>3754</v>
      </c>
      <c r="C486" s="116" t="s">
        <v>1258</v>
      </c>
      <c r="D486" s="117">
        <v>490</v>
      </c>
      <c r="E486" s="124" t="s">
        <v>27</v>
      </c>
    </row>
    <row r="487" spans="1:5">
      <c r="A487" s="114">
        <v>46168</v>
      </c>
      <c r="B487" s="115">
        <v>76931</v>
      </c>
      <c r="C487" s="116" t="s">
        <v>1225</v>
      </c>
      <c r="D487" s="117">
        <v>654</v>
      </c>
      <c r="E487" s="124" t="s">
        <v>27</v>
      </c>
    </row>
    <row r="488" spans="1:5">
      <c r="A488" s="114">
        <v>46169</v>
      </c>
      <c r="B488" s="115">
        <v>19116</v>
      </c>
      <c r="C488" s="116" t="s">
        <v>1815</v>
      </c>
      <c r="D488" s="117">
        <v>78</v>
      </c>
      <c r="E488" s="124" t="s">
        <v>27</v>
      </c>
    </row>
    <row r="489" spans="1:5">
      <c r="A489" s="114">
        <v>46169</v>
      </c>
      <c r="B489" s="115">
        <v>33773</v>
      </c>
      <c r="C489" s="116" t="s">
        <v>1231</v>
      </c>
      <c r="D489" s="117">
        <v>120</v>
      </c>
      <c r="E489" s="124" t="s">
        <v>27</v>
      </c>
    </row>
    <row r="490" spans="1:5">
      <c r="A490" s="114">
        <v>46169</v>
      </c>
      <c r="B490" s="115">
        <v>33821</v>
      </c>
      <c r="C490" s="116" t="s">
        <v>1231</v>
      </c>
      <c r="D490" s="117">
        <v>135</v>
      </c>
      <c r="E490" s="124" t="s">
        <v>27</v>
      </c>
    </row>
    <row r="491" spans="1:5">
      <c r="A491" s="114">
        <v>46170</v>
      </c>
      <c r="B491" s="115">
        <v>207444</v>
      </c>
      <c r="C491" s="116" t="s">
        <v>1223</v>
      </c>
      <c r="D491" s="117">
        <v>300</v>
      </c>
      <c r="E491" s="124" t="s">
        <v>27</v>
      </c>
    </row>
    <row r="492" spans="1:5">
      <c r="A492" s="114">
        <v>46170</v>
      </c>
      <c r="B492" s="115">
        <v>33849</v>
      </c>
      <c r="C492" s="116" t="s">
        <v>1231</v>
      </c>
      <c r="D492" s="117">
        <v>140</v>
      </c>
      <c r="E492" s="124" t="s">
        <v>27</v>
      </c>
    </row>
    <row r="493" spans="1:5">
      <c r="A493" s="114">
        <v>46170</v>
      </c>
      <c r="B493" s="115">
        <v>4026</v>
      </c>
      <c r="C493" s="116" t="s">
        <v>1244</v>
      </c>
      <c r="D493" s="117">
        <v>75</v>
      </c>
      <c r="E493" s="124" t="s">
        <v>27</v>
      </c>
    </row>
    <row r="494" spans="1:5">
      <c r="A494" s="114">
        <v>46170</v>
      </c>
      <c r="B494" s="115">
        <v>4483</v>
      </c>
      <c r="C494" s="116" t="s">
        <v>1247</v>
      </c>
      <c r="D494" s="117">
        <v>916</v>
      </c>
      <c r="E494" s="124" t="s">
        <v>27</v>
      </c>
    </row>
    <row r="495" spans="1:5">
      <c r="A495" s="114">
        <v>46170</v>
      </c>
      <c r="B495" s="115">
        <v>504361</v>
      </c>
      <c r="C495" s="116" t="s">
        <v>1286</v>
      </c>
      <c r="D495" s="117">
        <v>710.85</v>
      </c>
      <c r="E495" s="124" t="s">
        <v>27</v>
      </c>
    </row>
    <row r="496" spans="1:5">
      <c r="A496" s="114">
        <v>46170</v>
      </c>
      <c r="B496" s="115">
        <v>9110</v>
      </c>
      <c r="C496" s="116" t="s">
        <v>1234</v>
      </c>
      <c r="D496" s="117">
        <v>212</v>
      </c>
      <c r="E496" s="124" t="s">
        <v>27</v>
      </c>
    </row>
    <row r="497" spans="1:5">
      <c r="A497" s="114">
        <v>46171</v>
      </c>
      <c r="B497" s="115">
        <v>155017</v>
      </c>
      <c r="C497" s="116" t="s">
        <v>1279</v>
      </c>
      <c r="D497" s="117">
        <v>1248.96</v>
      </c>
      <c r="E497" s="124" t="s">
        <v>27</v>
      </c>
    </row>
    <row r="498" spans="1:5">
      <c r="A498" s="114">
        <v>46171</v>
      </c>
      <c r="B498" s="115">
        <v>207586</v>
      </c>
      <c r="C498" s="116" t="s">
        <v>1223</v>
      </c>
      <c r="D498" s="117">
        <v>29.78</v>
      </c>
      <c r="E498" s="124" t="s">
        <v>27</v>
      </c>
    </row>
    <row r="499" spans="1:5">
      <c r="A499" s="114">
        <v>46171</v>
      </c>
      <c r="B499" s="115">
        <v>207628</v>
      </c>
      <c r="C499" s="116" t="s">
        <v>1223</v>
      </c>
      <c r="D499" s="117">
        <v>819.75</v>
      </c>
      <c r="E499" s="124" t="s">
        <v>27</v>
      </c>
    </row>
    <row r="500" spans="1:5">
      <c r="A500" s="114">
        <v>46171</v>
      </c>
      <c r="B500" s="115">
        <v>263995</v>
      </c>
      <c r="C500" s="116" t="s">
        <v>1221</v>
      </c>
      <c r="D500" s="117">
        <v>1172.71</v>
      </c>
      <c r="E500" s="124" t="s">
        <v>27</v>
      </c>
    </row>
    <row r="501" spans="1:5">
      <c r="A501" s="114">
        <v>46171</v>
      </c>
      <c r="B501" s="115">
        <v>264036</v>
      </c>
      <c r="C501" s="116" t="s">
        <v>1221</v>
      </c>
      <c r="D501" s="117">
        <v>718.74</v>
      </c>
      <c r="E501" s="124" t="s">
        <v>27</v>
      </c>
    </row>
    <row r="502" spans="1:5">
      <c r="A502" s="114">
        <v>46171</v>
      </c>
      <c r="B502" s="115">
        <v>271638</v>
      </c>
      <c r="C502" s="116" t="s">
        <v>1230</v>
      </c>
      <c r="D502" s="117">
        <v>367.98</v>
      </c>
      <c r="E502" s="124" t="s">
        <v>27</v>
      </c>
    </row>
    <row r="503" spans="1:5">
      <c r="A503" s="114">
        <v>46171</v>
      </c>
      <c r="B503" s="115">
        <v>33863</v>
      </c>
      <c r="C503" s="116" t="s">
        <v>1231</v>
      </c>
      <c r="D503" s="117">
        <v>120</v>
      </c>
      <c r="E503" s="124" t="s">
        <v>27</v>
      </c>
    </row>
    <row r="504" spans="1:5">
      <c r="A504" s="114">
        <v>46171</v>
      </c>
      <c r="B504" s="115">
        <v>3801</v>
      </c>
      <c r="C504" s="116" t="s">
        <v>1258</v>
      </c>
      <c r="D504" s="117">
        <v>190</v>
      </c>
      <c r="E504" s="124" t="s">
        <v>27</v>
      </c>
    </row>
    <row r="505" spans="1:5">
      <c r="A505" s="114">
        <v>46171</v>
      </c>
      <c r="B505" s="115">
        <v>69180</v>
      </c>
      <c r="C505" s="116" t="s">
        <v>1240</v>
      </c>
      <c r="D505" s="117">
        <v>400.68</v>
      </c>
      <c r="E505" s="124" t="s">
        <v>27</v>
      </c>
    </row>
    <row r="506" spans="1:5">
      <c r="A506" s="114">
        <v>46171</v>
      </c>
      <c r="B506" s="115">
        <v>74888</v>
      </c>
      <c r="C506" s="116" t="s">
        <v>1278</v>
      </c>
      <c r="D506" s="117">
        <v>458.8</v>
      </c>
      <c r="E506" s="124" t="s">
        <v>27</v>
      </c>
    </row>
    <row r="507" spans="1:5">
      <c r="A507" s="114">
        <v>46171</v>
      </c>
      <c r="B507" s="115">
        <v>86618</v>
      </c>
      <c r="C507" s="116" t="s">
        <v>1222</v>
      </c>
      <c r="D507" s="117">
        <v>384.56</v>
      </c>
      <c r="E507" s="124" t="s">
        <v>27</v>
      </c>
    </row>
    <row r="508" spans="1:5">
      <c r="A508" s="114">
        <v>46171</v>
      </c>
      <c r="B508" s="115">
        <v>9128</v>
      </c>
      <c r="C508" s="116" t="s">
        <v>1234</v>
      </c>
      <c r="D508" s="117">
        <v>240.62</v>
      </c>
      <c r="E508" s="124" t="s">
        <v>27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BDC5-4C24-4FFF-A39D-6021CF50D05C}">
  <dimension ref="A1:O712"/>
  <sheetViews>
    <sheetView topLeftCell="A691" workbookViewId="0">
      <selection activeCell="A603" sqref="A603:D712"/>
    </sheetView>
  </sheetViews>
  <sheetFormatPr defaultRowHeight="15"/>
  <cols>
    <col min="1" max="1" width="10.7109375" bestFit="1" customWidth="1"/>
    <col min="2" max="2" width="7.42578125" bestFit="1" customWidth="1"/>
    <col min="3" max="3" width="56.7109375" bestFit="1" customWidth="1"/>
    <col min="4" max="4" width="13.28515625" style="40" bestFit="1" customWidth="1"/>
    <col min="6" max="6" width="10.7109375" bestFit="1" customWidth="1"/>
    <col min="7" max="7" width="7" bestFit="1" customWidth="1"/>
    <col min="8" max="8" width="8.7109375" customWidth="1"/>
    <col min="9" max="9" width="12.140625" style="40" bestFit="1" customWidth="1"/>
    <col min="11" max="12" width="23.140625" bestFit="1" customWidth="1"/>
    <col min="13" max="13" width="10.140625" customWidth="1"/>
    <col min="14" max="15" width="10" bestFit="1" customWidth="1"/>
  </cols>
  <sheetData>
    <row r="1" spans="1:15" ht="26.25">
      <c r="A1" s="50" t="s">
        <v>362</v>
      </c>
      <c r="B1" s="51" t="s">
        <v>363</v>
      </c>
      <c r="C1" s="49" t="s">
        <v>364</v>
      </c>
      <c r="D1" s="118" t="s">
        <v>365</v>
      </c>
      <c r="E1" s="53"/>
      <c r="F1" s="46"/>
      <c r="G1" s="46"/>
      <c r="H1" s="46"/>
      <c r="I1" s="221"/>
      <c r="L1" s="47" t="s">
        <v>1292</v>
      </c>
      <c r="M1" s="47"/>
      <c r="N1" s="47"/>
      <c r="O1" s="47"/>
    </row>
    <row r="2" spans="1:15">
      <c r="A2" s="43">
        <v>46028</v>
      </c>
      <c r="B2" s="44">
        <v>11916</v>
      </c>
      <c r="C2" s="45" t="s">
        <v>1293</v>
      </c>
      <c r="D2" s="119">
        <v>5100</v>
      </c>
      <c r="E2" s="41"/>
      <c r="F2" s="63">
        <v>46030</v>
      </c>
      <c r="G2" s="64">
        <v>39</v>
      </c>
      <c r="H2" s="58" t="s">
        <v>1294</v>
      </c>
      <c r="I2" s="222">
        <v>208.8</v>
      </c>
      <c r="J2" t="s">
        <v>450</v>
      </c>
      <c r="L2" s="55" t="s">
        <v>1295</v>
      </c>
      <c r="M2" s="55">
        <v>119520</v>
      </c>
      <c r="N2" s="55" t="s">
        <v>1295</v>
      </c>
      <c r="O2" s="55">
        <v>12016</v>
      </c>
    </row>
    <row r="3" spans="1:15">
      <c r="A3" s="43">
        <v>46028</v>
      </c>
      <c r="B3" s="44">
        <v>11917</v>
      </c>
      <c r="C3" s="45" t="s">
        <v>1296</v>
      </c>
      <c r="D3" s="119">
        <v>1062.8499999999999</v>
      </c>
      <c r="E3" s="41"/>
      <c r="F3" s="63">
        <v>46035</v>
      </c>
      <c r="G3" s="64">
        <v>40</v>
      </c>
      <c r="H3" s="58" t="s">
        <v>1297</v>
      </c>
      <c r="I3" s="222">
        <v>160</v>
      </c>
      <c r="J3" t="s">
        <v>450</v>
      </c>
      <c r="L3" s="55" t="s">
        <v>1295</v>
      </c>
      <c r="M3" s="3">
        <v>12002</v>
      </c>
      <c r="N3" s="3"/>
      <c r="O3" s="3"/>
    </row>
    <row r="4" spans="1:15">
      <c r="A4" s="43">
        <v>46028</v>
      </c>
      <c r="B4" s="44">
        <v>11918</v>
      </c>
      <c r="C4" s="45" t="s">
        <v>374</v>
      </c>
      <c r="D4" s="119">
        <v>16157.91</v>
      </c>
      <c r="E4" s="41"/>
      <c r="F4" s="63">
        <v>46035</v>
      </c>
      <c r="G4" s="64">
        <v>41</v>
      </c>
      <c r="H4" s="58" t="s">
        <v>1297</v>
      </c>
      <c r="I4" s="222">
        <v>160</v>
      </c>
      <c r="J4" t="s">
        <v>450</v>
      </c>
      <c r="L4" s="55" t="s">
        <v>1295</v>
      </c>
      <c r="M4" s="3">
        <v>12003</v>
      </c>
      <c r="N4" s="3"/>
      <c r="O4" s="3"/>
    </row>
    <row r="5" spans="1:15">
      <c r="A5" s="43">
        <v>46030</v>
      </c>
      <c r="B5" s="44">
        <v>11919</v>
      </c>
      <c r="C5" s="45" t="s">
        <v>1298</v>
      </c>
      <c r="D5" s="119">
        <v>232</v>
      </c>
      <c r="E5" s="41"/>
      <c r="F5" s="63">
        <v>46037</v>
      </c>
      <c r="G5" s="64">
        <v>42</v>
      </c>
      <c r="H5" s="58" t="s">
        <v>1297</v>
      </c>
      <c r="I5" s="222">
        <v>489.5</v>
      </c>
      <c r="J5" t="s">
        <v>450</v>
      </c>
      <c r="L5" s="55" t="s">
        <v>1295</v>
      </c>
      <c r="M5" s="3">
        <v>12004</v>
      </c>
      <c r="N5" s="3"/>
      <c r="O5" s="3"/>
    </row>
    <row r="6" spans="1:15">
      <c r="A6" s="43">
        <v>46030</v>
      </c>
      <c r="B6" s="44">
        <v>11920</v>
      </c>
      <c r="C6" s="45" t="s">
        <v>389</v>
      </c>
      <c r="D6" s="119">
        <v>221.46</v>
      </c>
      <c r="E6" s="41"/>
      <c r="F6" s="63">
        <v>46042</v>
      </c>
      <c r="G6" s="64">
        <v>43</v>
      </c>
      <c r="H6" s="58" t="s">
        <v>1299</v>
      </c>
      <c r="I6" s="222">
        <v>7817.2</v>
      </c>
      <c r="J6" t="s">
        <v>450</v>
      </c>
      <c r="L6" s="47" t="s">
        <v>1300</v>
      </c>
      <c r="M6" s="47"/>
      <c r="N6" s="47"/>
      <c r="O6" s="47"/>
    </row>
    <row r="7" spans="1:15">
      <c r="A7" s="43">
        <v>46030</v>
      </c>
      <c r="B7" s="44">
        <v>11921</v>
      </c>
      <c r="C7" s="45" t="s">
        <v>1301</v>
      </c>
      <c r="D7" s="119">
        <v>476.7</v>
      </c>
      <c r="E7" s="41"/>
      <c r="F7" s="63">
        <v>46044</v>
      </c>
      <c r="G7" s="64">
        <v>45</v>
      </c>
      <c r="H7" s="58" t="s">
        <v>1297</v>
      </c>
      <c r="I7" s="222">
        <v>160</v>
      </c>
      <c r="J7" t="s">
        <v>450</v>
      </c>
      <c r="L7" s="56">
        <v>46048</v>
      </c>
      <c r="M7" s="57">
        <v>3747</v>
      </c>
      <c r="N7" s="58" t="s">
        <v>1284</v>
      </c>
      <c r="O7" s="59">
        <v>400</v>
      </c>
    </row>
    <row r="8" spans="1:15">
      <c r="A8" s="43">
        <v>46030</v>
      </c>
      <c r="B8" s="44">
        <v>11922</v>
      </c>
      <c r="C8" s="45" t="s">
        <v>389</v>
      </c>
      <c r="D8" s="119">
        <v>542</v>
      </c>
      <c r="E8" s="41"/>
      <c r="F8" s="63">
        <v>46049</v>
      </c>
      <c r="G8" s="64">
        <v>46</v>
      </c>
      <c r="H8" s="58" t="s">
        <v>1297</v>
      </c>
      <c r="I8" s="222">
        <v>169</v>
      </c>
      <c r="J8" t="s">
        <v>450</v>
      </c>
      <c r="L8" s="60">
        <v>46043</v>
      </c>
      <c r="M8" s="3">
        <v>8250</v>
      </c>
      <c r="N8" s="3" t="s">
        <v>819</v>
      </c>
      <c r="O8" s="61">
        <v>452</v>
      </c>
    </row>
    <row r="9" spans="1:15">
      <c r="A9" s="43">
        <v>46030</v>
      </c>
      <c r="B9" s="44">
        <v>11923</v>
      </c>
      <c r="C9" s="45" t="s">
        <v>1302</v>
      </c>
      <c r="D9" s="119">
        <v>407</v>
      </c>
      <c r="E9" s="41"/>
      <c r="F9" s="63">
        <v>46051</v>
      </c>
      <c r="G9" s="64">
        <v>47</v>
      </c>
      <c r="H9" s="58" t="s">
        <v>1297</v>
      </c>
      <c r="I9" s="222">
        <v>55.9</v>
      </c>
      <c r="J9" t="s">
        <v>450</v>
      </c>
      <c r="L9" s="60">
        <v>46041</v>
      </c>
      <c r="M9" s="3">
        <v>35076</v>
      </c>
      <c r="N9" s="3" t="s">
        <v>662</v>
      </c>
      <c r="O9" s="61">
        <v>28.2</v>
      </c>
    </row>
    <row r="10" spans="1:15">
      <c r="A10" s="43">
        <v>46030</v>
      </c>
      <c r="B10" s="44">
        <v>11924</v>
      </c>
      <c r="C10" s="45" t="s">
        <v>1303</v>
      </c>
      <c r="D10" s="119">
        <v>400</v>
      </c>
      <c r="E10" s="41"/>
      <c r="F10" s="56">
        <v>46048</v>
      </c>
      <c r="G10" s="57">
        <v>3747</v>
      </c>
      <c r="H10" s="58" t="s">
        <v>1284</v>
      </c>
      <c r="I10" s="222">
        <v>400</v>
      </c>
      <c r="J10" t="s">
        <v>1304</v>
      </c>
      <c r="L10" s="60"/>
      <c r="M10" s="3"/>
      <c r="N10" s="3"/>
      <c r="O10" s="62">
        <v>880.2</v>
      </c>
    </row>
    <row r="11" spans="1:15">
      <c r="A11" s="43">
        <v>46030</v>
      </c>
      <c r="B11" s="44">
        <v>11925</v>
      </c>
      <c r="C11" s="45" t="s">
        <v>1305</v>
      </c>
      <c r="D11" s="119">
        <v>2307.61</v>
      </c>
      <c r="E11" s="41"/>
      <c r="F11" s="60">
        <v>46043</v>
      </c>
      <c r="G11" s="3">
        <v>8250</v>
      </c>
      <c r="H11" s="3" t="s">
        <v>819</v>
      </c>
      <c r="I11" s="223">
        <v>452</v>
      </c>
      <c r="J11" t="s">
        <v>1304</v>
      </c>
      <c r="L11" s="46" t="s">
        <v>450</v>
      </c>
      <c r="M11" s="46"/>
      <c r="N11" s="46"/>
      <c r="O11" s="46"/>
    </row>
    <row r="12" spans="1:15">
      <c r="A12" s="43">
        <v>46031</v>
      </c>
      <c r="B12" s="44">
        <v>11926</v>
      </c>
      <c r="C12" s="45" t="s">
        <v>1306</v>
      </c>
      <c r="D12" s="119">
        <v>325</v>
      </c>
      <c r="E12" s="41"/>
      <c r="F12" s="60">
        <v>46041</v>
      </c>
      <c r="G12" s="3">
        <v>35076</v>
      </c>
      <c r="H12" s="3" t="s">
        <v>662</v>
      </c>
      <c r="I12" s="223">
        <v>28.2</v>
      </c>
      <c r="J12" t="s">
        <v>1304</v>
      </c>
      <c r="L12" s="63">
        <v>46030</v>
      </c>
      <c r="M12" s="64">
        <v>39</v>
      </c>
      <c r="N12" s="58" t="s">
        <v>1294</v>
      </c>
      <c r="O12" s="65">
        <v>208.8</v>
      </c>
    </row>
    <row r="13" spans="1:15">
      <c r="A13" s="43">
        <v>46031</v>
      </c>
      <c r="B13" s="44">
        <v>11927</v>
      </c>
      <c r="C13" s="45" t="s">
        <v>1306</v>
      </c>
      <c r="D13" s="119">
        <v>650</v>
      </c>
      <c r="E13" s="41"/>
      <c r="F13" s="121">
        <v>46065</v>
      </c>
      <c r="G13" s="122">
        <v>48</v>
      </c>
      <c r="H13" s="123" t="s">
        <v>1299</v>
      </c>
      <c r="I13" s="224">
        <v>7000</v>
      </c>
      <c r="J13" s="124" t="s">
        <v>450</v>
      </c>
      <c r="L13" s="63">
        <v>46035</v>
      </c>
      <c r="M13" s="64">
        <v>40</v>
      </c>
      <c r="N13" s="58" t="s">
        <v>1297</v>
      </c>
      <c r="O13" s="65">
        <v>160</v>
      </c>
    </row>
    <row r="14" spans="1:15">
      <c r="A14" s="43">
        <v>46031</v>
      </c>
      <c r="B14" s="44">
        <v>11928</v>
      </c>
      <c r="C14" s="45" t="s">
        <v>1307</v>
      </c>
      <c r="D14" s="119">
        <v>834</v>
      </c>
      <c r="E14" s="41"/>
      <c r="F14" s="121">
        <v>46066</v>
      </c>
      <c r="G14" s="122">
        <v>12058</v>
      </c>
      <c r="H14" s="123" t="s">
        <v>1308</v>
      </c>
      <c r="I14" s="224">
        <v>668</v>
      </c>
      <c r="J14" s="124" t="s">
        <v>450</v>
      </c>
      <c r="L14" s="63">
        <v>46035</v>
      </c>
      <c r="M14" s="64">
        <v>41</v>
      </c>
      <c r="N14" s="58" t="s">
        <v>1297</v>
      </c>
      <c r="O14" s="65">
        <v>160</v>
      </c>
    </row>
    <row r="15" spans="1:15">
      <c r="A15" s="43">
        <v>46031</v>
      </c>
      <c r="B15" s="44">
        <v>11929</v>
      </c>
      <c r="C15" s="45" t="s">
        <v>1309</v>
      </c>
      <c r="D15" s="119">
        <v>986.1</v>
      </c>
      <c r="E15" s="41"/>
      <c r="F15" s="121">
        <v>46094</v>
      </c>
      <c r="G15" s="122">
        <v>49</v>
      </c>
      <c r="H15" s="123" t="s">
        <v>1308</v>
      </c>
      <c r="I15" s="224">
        <v>420</v>
      </c>
      <c r="J15" s="124" t="s">
        <v>450</v>
      </c>
      <c r="L15" s="63">
        <v>46037</v>
      </c>
      <c r="M15" s="64">
        <v>42</v>
      </c>
      <c r="N15" s="58" t="s">
        <v>1297</v>
      </c>
      <c r="O15" s="65">
        <v>489.5</v>
      </c>
    </row>
    <row r="16" spans="1:15">
      <c r="A16" s="43">
        <v>46031</v>
      </c>
      <c r="B16" s="44">
        <v>11930</v>
      </c>
      <c r="C16" s="45" t="s">
        <v>375</v>
      </c>
      <c r="D16" s="119">
        <v>442</v>
      </c>
      <c r="E16" s="41"/>
      <c r="F16" s="121">
        <v>46094</v>
      </c>
      <c r="G16" s="122">
        <v>50</v>
      </c>
      <c r="H16" s="123" t="s">
        <v>1297</v>
      </c>
      <c r="I16" s="224">
        <v>221</v>
      </c>
      <c r="J16" s="124" t="s">
        <v>450</v>
      </c>
      <c r="L16" s="63">
        <v>46042</v>
      </c>
      <c r="M16" s="64">
        <v>43</v>
      </c>
      <c r="N16" s="58" t="s">
        <v>1299</v>
      </c>
      <c r="O16" s="65">
        <v>7817.2</v>
      </c>
    </row>
    <row r="17" spans="1:15">
      <c r="A17" s="43">
        <v>46031</v>
      </c>
      <c r="B17" s="44">
        <v>11931</v>
      </c>
      <c r="C17" s="45" t="s">
        <v>381</v>
      </c>
      <c r="D17" s="119">
        <v>1104</v>
      </c>
      <c r="E17" s="41"/>
      <c r="F17" s="121">
        <v>46094</v>
      </c>
      <c r="G17" s="122">
        <v>51</v>
      </c>
      <c r="H17" s="123" t="s">
        <v>1297</v>
      </c>
      <c r="I17" s="224">
        <v>170</v>
      </c>
      <c r="J17" s="124" t="s">
        <v>450</v>
      </c>
      <c r="L17" s="63">
        <v>46044</v>
      </c>
      <c r="M17" s="64">
        <v>45</v>
      </c>
      <c r="N17" s="58" t="s">
        <v>1297</v>
      </c>
      <c r="O17" s="65">
        <v>160</v>
      </c>
    </row>
    <row r="18" spans="1:15">
      <c r="A18" s="43">
        <v>46031</v>
      </c>
      <c r="B18" s="44">
        <v>11932</v>
      </c>
      <c r="C18" s="45" t="s">
        <v>389</v>
      </c>
      <c r="D18" s="119">
        <v>19.920000000000002</v>
      </c>
      <c r="E18" s="41"/>
      <c r="F18" s="121">
        <v>46094</v>
      </c>
      <c r="G18" s="122">
        <v>52</v>
      </c>
      <c r="H18" s="123" t="s">
        <v>1297</v>
      </c>
      <c r="I18" s="224">
        <v>35</v>
      </c>
      <c r="J18" s="124" t="s">
        <v>450</v>
      </c>
      <c r="L18" s="63">
        <v>46049</v>
      </c>
      <c r="M18" s="64">
        <v>46</v>
      </c>
      <c r="N18" s="58" t="s">
        <v>1297</v>
      </c>
      <c r="O18" s="65">
        <v>169</v>
      </c>
    </row>
    <row r="19" spans="1:15">
      <c r="A19" s="43">
        <v>46034</v>
      </c>
      <c r="B19" s="44">
        <v>11934</v>
      </c>
      <c r="C19" s="45" t="s">
        <v>1310</v>
      </c>
      <c r="D19" s="119">
        <v>109.68</v>
      </c>
      <c r="E19" s="41"/>
      <c r="F19" s="121">
        <v>46100</v>
      </c>
      <c r="G19" s="122">
        <v>53</v>
      </c>
      <c r="H19" s="123" t="s">
        <v>1297</v>
      </c>
      <c r="I19" s="224">
        <v>60</v>
      </c>
      <c r="J19" s="124" t="s">
        <v>450</v>
      </c>
      <c r="L19" s="63">
        <v>46051</v>
      </c>
      <c r="M19" s="64">
        <v>47</v>
      </c>
      <c r="N19" s="58" t="s">
        <v>1297</v>
      </c>
      <c r="O19" s="65">
        <v>55.9</v>
      </c>
    </row>
    <row r="20" spans="1:15">
      <c r="A20" s="43">
        <v>46034</v>
      </c>
      <c r="B20" s="44">
        <v>11935</v>
      </c>
      <c r="C20" s="45" t="s">
        <v>377</v>
      </c>
      <c r="D20" s="119">
        <v>2978</v>
      </c>
      <c r="E20" s="41"/>
      <c r="F20" s="121">
        <v>46107</v>
      </c>
      <c r="G20" s="122" t="s">
        <v>770</v>
      </c>
      <c r="H20" s="123" t="s">
        <v>1311</v>
      </c>
      <c r="I20" s="224">
        <v>296</v>
      </c>
      <c r="J20" s="124" t="s">
        <v>450</v>
      </c>
      <c r="L20" s="3"/>
      <c r="M20" s="3"/>
      <c r="N20" s="3"/>
      <c r="O20" s="66">
        <v>9220.4</v>
      </c>
    </row>
    <row r="21" spans="1:15">
      <c r="A21" s="43">
        <v>46034</v>
      </c>
      <c r="B21" s="44">
        <v>11936</v>
      </c>
      <c r="C21" s="45" t="s">
        <v>388</v>
      </c>
      <c r="D21" s="119">
        <v>653.5</v>
      </c>
      <c r="E21" s="54"/>
      <c r="F21" s="108">
        <v>46113</v>
      </c>
      <c r="G21" s="109">
        <v>54</v>
      </c>
      <c r="H21" s="110" t="s">
        <v>1297</v>
      </c>
      <c r="I21" s="111">
        <v>245</v>
      </c>
      <c r="J21" t="s">
        <v>450</v>
      </c>
      <c r="L21" s="41"/>
      <c r="M21" s="41"/>
      <c r="N21" s="41"/>
      <c r="O21" s="42"/>
    </row>
    <row r="22" spans="1:15">
      <c r="A22" s="43">
        <v>46034</v>
      </c>
      <c r="B22" s="44">
        <v>11937</v>
      </c>
      <c r="C22" s="45" t="s">
        <v>1312</v>
      </c>
      <c r="D22" s="119">
        <v>570</v>
      </c>
      <c r="E22" s="54"/>
      <c r="F22" s="108">
        <v>46119</v>
      </c>
      <c r="G22" s="109">
        <v>7</v>
      </c>
      <c r="H22" s="110" t="s">
        <v>1308</v>
      </c>
      <c r="I22" s="111">
        <v>806</v>
      </c>
      <c r="J22" t="s">
        <v>450</v>
      </c>
      <c r="L22" s="41"/>
      <c r="M22" s="41"/>
      <c r="N22" s="41"/>
      <c r="O22" s="42"/>
    </row>
    <row r="23" spans="1:15">
      <c r="A23" s="43">
        <v>46034</v>
      </c>
      <c r="B23" s="44">
        <v>11938</v>
      </c>
      <c r="C23" s="45" t="s">
        <v>1313</v>
      </c>
      <c r="D23" s="119">
        <v>3083.36</v>
      </c>
      <c r="E23" s="41"/>
      <c r="F23" s="108">
        <v>46121</v>
      </c>
      <c r="G23" s="109">
        <v>55</v>
      </c>
      <c r="H23" s="110" t="s">
        <v>1297</v>
      </c>
      <c r="I23" s="111">
        <v>160</v>
      </c>
      <c r="J23" t="s">
        <v>450</v>
      </c>
      <c r="L23" s="46" t="s">
        <v>1314</v>
      </c>
      <c r="M23" s="46"/>
      <c r="N23" s="46"/>
      <c r="O23" s="46"/>
    </row>
    <row r="24" spans="1:15">
      <c r="A24" s="43">
        <v>46034</v>
      </c>
      <c r="B24" s="44">
        <v>11939</v>
      </c>
      <c r="C24" s="45" t="s">
        <v>1315</v>
      </c>
      <c r="D24" s="119">
        <v>548.9</v>
      </c>
      <c r="E24" s="41"/>
      <c r="F24" s="108">
        <v>46122</v>
      </c>
      <c r="G24" s="109">
        <v>56</v>
      </c>
      <c r="H24" s="110" t="s">
        <v>1297</v>
      </c>
      <c r="I24" s="111">
        <v>96.6</v>
      </c>
      <c r="J24" t="s">
        <v>450</v>
      </c>
      <c r="L24" s="67">
        <v>46028</v>
      </c>
      <c r="M24" s="68">
        <v>1705</v>
      </c>
      <c r="N24" s="68" t="s">
        <v>1316</v>
      </c>
      <c r="O24" s="69">
        <v>129.99</v>
      </c>
    </row>
    <row r="25" spans="1:15">
      <c r="A25" s="43">
        <v>46034</v>
      </c>
      <c r="B25" s="44">
        <v>11940</v>
      </c>
      <c r="C25" s="45" t="s">
        <v>1317</v>
      </c>
      <c r="D25" s="119">
        <v>1224</v>
      </c>
      <c r="E25" s="41"/>
      <c r="F25" s="108">
        <v>46125</v>
      </c>
      <c r="G25" s="109">
        <v>8</v>
      </c>
      <c r="H25" s="110" t="s">
        <v>1308</v>
      </c>
      <c r="I25" s="111">
        <v>247.42</v>
      </c>
      <c r="J25" t="s">
        <v>450</v>
      </c>
      <c r="L25" s="67">
        <v>46029</v>
      </c>
      <c r="M25" s="68">
        <v>1707</v>
      </c>
      <c r="N25" s="68" t="s">
        <v>1318</v>
      </c>
      <c r="O25" s="69">
        <v>14.99</v>
      </c>
    </row>
    <row r="26" spans="1:15">
      <c r="A26" s="43">
        <v>46034</v>
      </c>
      <c r="B26" s="44">
        <v>11941</v>
      </c>
      <c r="C26" s="45" t="s">
        <v>1319</v>
      </c>
      <c r="D26" s="119">
        <v>654.20000000000005</v>
      </c>
      <c r="E26" s="41"/>
      <c r="F26" s="108">
        <v>46126</v>
      </c>
      <c r="G26" s="109">
        <v>9</v>
      </c>
      <c r="H26" s="110" t="s">
        <v>1294</v>
      </c>
      <c r="I26" s="111">
        <v>2498.4</v>
      </c>
      <c r="J26" t="s">
        <v>450</v>
      </c>
      <c r="L26" s="67">
        <v>46037</v>
      </c>
      <c r="M26" s="68">
        <v>1709</v>
      </c>
      <c r="N26" s="68" t="s">
        <v>1320</v>
      </c>
      <c r="O26" s="69">
        <v>24.98</v>
      </c>
    </row>
    <row r="27" spans="1:15">
      <c r="A27" s="43">
        <v>46035</v>
      </c>
      <c r="B27" s="44">
        <v>11942</v>
      </c>
      <c r="C27" s="45" t="s">
        <v>374</v>
      </c>
      <c r="D27" s="119">
        <v>1858.5</v>
      </c>
      <c r="E27" s="41"/>
      <c r="F27" s="108">
        <v>46126</v>
      </c>
      <c r="G27" s="109" t="s">
        <v>911</v>
      </c>
      <c r="H27" s="110" t="s">
        <v>1297</v>
      </c>
      <c r="I27" s="111">
        <v>165</v>
      </c>
      <c r="J27" t="s">
        <v>450</v>
      </c>
      <c r="L27" s="67">
        <v>46041</v>
      </c>
      <c r="M27" s="68">
        <v>1719</v>
      </c>
      <c r="N27" s="68" t="s">
        <v>340</v>
      </c>
      <c r="O27" s="69">
        <v>19.95</v>
      </c>
    </row>
    <row r="28" spans="1:15">
      <c r="A28" s="43">
        <v>46035</v>
      </c>
      <c r="B28" s="44">
        <v>11943</v>
      </c>
      <c r="C28" s="45" t="s">
        <v>378</v>
      </c>
      <c r="D28" s="119">
        <v>4432.1000000000004</v>
      </c>
      <c r="E28" s="41"/>
      <c r="F28" s="108">
        <v>46128</v>
      </c>
      <c r="G28" s="109">
        <v>1</v>
      </c>
      <c r="H28" s="110" t="s">
        <v>1297</v>
      </c>
      <c r="I28" s="111">
        <v>180</v>
      </c>
      <c r="J28" t="s">
        <v>450</v>
      </c>
      <c r="L28" s="67">
        <v>46044</v>
      </c>
      <c r="M28" s="68">
        <v>1722</v>
      </c>
      <c r="N28" s="68" t="s">
        <v>1321</v>
      </c>
      <c r="O28" s="69">
        <v>37.130000000000003</v>
      </c>
    </row>
    <row r="29" spans="1:15">
      <c r="A29" s="43">
        <v>46035</v>
      </c>
      <c r="B29" s="44">
        <v>11944</v>
      </c>
      <c r="C29" s="45" t="s">
        <v>1313</v>
      </c>
      <c r="D29" s="119">
        <v>509.3</v>
      </c>
      <c r="E29" s="41"/>
      <c r="F29" s="108">
        <v>46135</v>
      </c>
      <c r="G29" s="109">
        <v>6</v>
      </c>
      <c r="H29" s="110" t="s">
        <v>1297</v>
      </c>
      <c r="I29" s="111">
        <v>337.5</v>
      </c>
      <c r="J29" t="s">
        <v>450</v>
      </c>
      <c r="L29" s="67">
        <v>46044</v>
      </c>
      <c r="M29" s="68">
        <v>1724</v>
      </c>
      <c r="N29" s="68" t="s">
        <v>1322</v>
      </c>
      <c r="O29" s="69">
        <v>26.93</v>
      </c>
    </row>
    <row r="30" spans="1:15">
      <c r="A30" s="43">
        <v>46035</v>
      </c>
      <c r="B30" s="44">
        <v>11945</v>
      </c>
      <c r="C30" s="45" t="s">
        <v>1323</v>
      </c>
      <c r="D30" s="119">
        <v>56</v>
      </c>
      <c r="E30" s="41"/>
      <c r="F30" s="108">
        <v>46136</v>
      </c>
      <c r="G30" s="109">
        <v>7</v>
      </c>
      <c r="H30" s="110" t="s">
        <v>1297</v>
      </c>
      <c r="I30" s="111">
        <v>160</v>
      </c>
      <c r="J30" t="s">
        <v>450</v>
      </c>
      <c r="L30" s="70"/>
      <c r="M30" s="68"/>
      <c r="N30" s="68"/>
      <c r="O30" s="69">
        <v>253.97</v>
      </c>
    </row>
    <row r="31" spans="1:15">
      <c r="A31" s="43">
        <v>46035</v>
      </c>
      <c r="B31" s="44">
        <v>11946</v>
      </c>
      <c r="C31" s="45" t="s">
        <v>1324</v>
      </c>
      <c r="D31" s="119">
        <v>567.79999999999995</v>
      </c>
      <c r="F31" s="108">
        <v>46136</v>
      </c>
      <c r="G31" s="109">
        <v>8</v>
      </c>
      <c r="H31" s="110" t="s">
        <v>1294</v>
      </c>
      <c r="I31" s="111">
        <v>88.2</v>
      </c>
      <c r="J31" t="s">
        <v>450</v>
      </c>
    </row>
    <row r="32" spans="1:15">
      <c r="A32" s="43">
        <v>46035</v>
      </c>
      <c r="B32" s="44">
        <v>11947</v>
      </c>
      <c r="C32" s="45" t="s">
        <v>1325</v>
      </c>
      <c r="D32" s="119">
        <v>67.959999999999994</v>
      </c>
    </row>
    <row r="33" spans="1:4">
      <c r="A33" s="43">
        <v>46035</v>
      </c>
      <c r="B33" s="44">
        <v>11948</v>
      </c>
      <c r="C33" s="45" t="s">
        <v>1326</v>
      </c>
      <c r="D33" s="119">
        <v>33.979999999999997</v>
      </c>
    </row>
    <row r="34" spans="1:4">
      <c r="A34" s="43">
        <v>46035</v>
      </c>
      <c r="B34" s="44">
        <v>11949</v>
      </c>
      <c r="C34" s="45" t="s">
        <v>380</v>
      </c>
      <c r="D34" s="119">
        <v>2039</v>
      </c>
    </row>
    <row r="35" spans="1:4">
      <c r="A35" s="43">
        <v>46035</v>
      </c>
      <c r="B35" s="44">
        <v>11950</v>
      </c>
      <c r="C35" s="45" t="s">
        <v>385</v>
      </c>
      <c r="D35" s="119">
        <v>1716</v>
      </c>
    </row>
    <row r="36" spans="1:4">
      <c r="A36" s="43">
        <v>46035</v>
      </c>
      <c r="B36" s="44">
        <v>11951</v>
      </c>
      <c r="C36" s="45" t="s">
        <v>1327</v>
      </c>
      <c r="D36" s="119">
        <v>13551</v>
      </c>
    </row>
    <row r="37" spans="1:4">
      <c r="A37" s="43">
        <v>46035</v>
      </c>
      <c r="B37" s="44">
        <v>11953</v>
      </c>
      <c r="C37" s="45" t="s">
        <v>377</v>
      </c>
      <c r="D37" s="119">
        <v>75</v>
      </c>
    </row>
    <row r="38" spans="1:4">
      <c r="A38" s="43">
        <v>46035</v>
      </c>
      <c r="B38" s="44">
        <v>11954</v>
      </c>
      <c r="C38" s="45" t="s">
        <v>379</v>
      </c>
      <c r="D38" s="119">
        <v>3039.5</v>
      </c>
    </row>
    <row r="39" spans="1:4">
      <c r="A39" s="43">
        <v>46035</v>
      </c>
      <c r="B39" s="44">
        <v>11955</v>
      </c>
      <c r="C39" s="45" t="s">
        <v>1328</v>
      </c>
      <c r="D39" s="119">
        <v>338.5</v>
      </c>
    </row>
    <row r="40" spans="1:4">
      <c r="A40" s="43">
        <v>46036</v>
      </c>
      <c r="B40" s="44">
        <v>11956</v>
      </c>
      <c r="C40" s="45" t="s">
        <v>1329</v>
      </c>
      <c r="D40" s="119">
        <v>5405</v>
      </c>
    </row>
    <row r="41" spans="1:4">
      <c r="A41" s="43">
        <v>46036</v>
      </c>
      <c r="B41" s="44">
        <v>11957</v>
      </c>
      <c r="C41" s="45" t="s">
        <v>1330</v>
      </c>
      <c r="D41" s="119">
        <v>265</v>
      </c>
    </row>
    <row r="42" spans="1:4">
      <c r="A42" s="43">
        <v>46036</v>
      </c>
      <c r="B42" s="44">
        <v>11958</v>
      </c>
      <c r="C42" s="45" t="s">
        <v>1331</v>
      </c>
      <c r="D42" s="119">
        <v>223.6</v>
      </c>
    </row>
    <row r="43" spans="1:4">
      <c r="A43" s="43">
        <v>46036</v>
      </c>
      <c r="B43" s="44">
        <v>11959</v>
      </c>
      <c r="C43" s="45" t="s">
        <v>1332</v>
      </c>
      <c r="D43" s="119">
        <v>253.2</v>
      </c>
    </row>
    <row r="44" spans="1:4">
      <c r="A44" s="43">
        <v>46036</v>
      </c>
      <c r="B44" s="44">
        <v>11960</v>
      </c>
      <c r="C44" s="45" t="s">
        <v>1333</v>
      </c>
      <c r="D44" s="119">
        <v>14513.29</v>
      </c>
    </row>
    <row r="45" spans="1:4">
      <c r="A45" s="43">
        <v>46036</v>
      </c>
      <c r="B45" s="44">
        <v>11961</v>
      </c>
      <c r="C45" s="45" t="s">
        <v>1334</v>
      </c>
      <c r="D45" s="119">
        <v>1006.4</v>
      </c>
    </row>
    <row r="46" spans="1:4">
      <c r="A46" s="43">
        <v>46037</v>
      </c>
      <c r="B46" s="44">
        <v>11962</v>
      </c>
      <c r="C46" s="45" t="s">
        <v>1335</v>
      </c>
      <c r="D46" s="119">
        <v>753.2</v>
      </c>
    </row>
    <row r="47" spans="1:4">
      <c r="A47" s="43">
        <v>46037</v>
      </c>
      <c r="B47" s="44">
        <v>11963</v>
      </c>
      <c r="C47" s="45" t="s">
        <v>1336</v>
      </c>
      <c r="D47" s="119">
        <v>438</v>
      </c>
    </row>
    <row r="48" spans="1:4">
      <c r="A48" s="43">
        <v>46037</v>
      </c>
      <c r="B48" s="44">
        <v>11964</v>
      </c>
      <c r="C48" s="45" t="s">
        <v>1334</v>
      </c>
      <c r="D48" s="119">
        <v>1737.9</v>
      </c>
    </row>
    <row r="49" spans="1:4">
      <c r="A49" s="43">
        <v>46037</v>
      </c>
      <c r="B49" s="44">
        <v>11965</v>
      </c>
      <c r="C49" s="45" t="s">
        <v>385</v>
      </c>
      <c r="D49" s="119">
        <v>569</v>
      </c>
    </row>
    <row r="50" spans="1:4">
      <c r="A50" s="43">
        <v>46037</v>
      </c>
      <c r="B50" s="44">
        <v>11966</v>
      </c>
      <c r="C50" s="45" t="s">
        <v>1337</v>
      </c>
      <c r="D50" s="119">
        <v>2193</v>
      </c>
    </row>
    <row r="51" spans="1:4">
      <c r="A51" s="43">
        <v>46037</v>
      </c>
      <c r="B51" s="44">
        <v>11967</v>
      </c>
      <c r="C51" s="45" t="s">
        <v>389</v>
      </c>
      <c r="D51" s="119">
        <v>4332.2</v>
      </c>
    </row>
    <row r="52" spans="1:4">
      <c r="A52" s="43">
        <v>46037</v>
      </c>
      <c r="B52" s="44">
        <v>11968</v>
      </c>
      <c r="C52" s="45" t="s">
        <v>1338</v>
      </c>
      <c r="D52" s="119">
        <v>93.2</v>
      </c>
    </row>
    <row r="53" spans="1:4">
      <c r="A53" s="43">
        <v>46037</v>
      </c>
      <c r="B53" s="44">
        <v>11969</v>
      </c>
      <c r="C53" s="45" t="s">
        <v>382</v>
      </c>
      <c r="D53" s="119">
        <v>651</v>
      </c>
    </row>
    <row r="54" spans="1:4">
      <c r="A54" s="43">
        <v>46038</v>
      </c>
      <c r="B54" s="44">
        <v>11970</v>
      </c>
      <c r="C54" s="45" t="s">
        <v>1317</v>
      </c>
      <c r="D54" s="119">
        <v>1340</v>
      </c>
    </row>
    <row r="55" spans="1:4">
      <c r="A55" s="43">
        <v>46038</v>
      </c>
      <c r="B55" s="44">
        <v>11971</v>
      </c>
      <c r="C55" s="45" t="s">
        <v>1339</v>
      </c>
      <c r="D55" s="119">
        <v>1053</v>
      </c>
    </row>
    <row r="56" spans="1:4">
      <c r="A56" s="43">
        <v>46038</v>
      </c>
      <c r="B56" s="44">
        <v>11972</v>
      </c>
      <c r="C56" s="45" t="s">
        <v>1324</v>
      </c>
      <c r="D56" s="119">
        <v>1260</v>
      </c>
    </row>
    <row r="57" spans="1:4">
      <c r="A57" s="43">
        <v>46038</v>
      </c>
      <c r="B57" s="44">
        <v>11973</v>
      </c>
      <c r="C57" s="45" t="s">
        <v>1340</v>
      </c>
      <c r="D57" s="119">
        <v>4023</v>
      </c>
    </row>
    <row r="58" spans="1:4">
      <c r="A58" s="43">
        <v>46038</v>
      </c>
      <c r="B58" s="44">
        <v>11974</v>
      </c>
      <c r="C58" s="45" t="s">
        <v>380</v>
      </c>
      <c r="D58" s="119">
        <v>420.75</v>
      </c>
    </row>
    <row r="59" spans="1:4">
      <c r="A59" s="43">
        <v>46041</v>
      </c>
      <c r="B59" s="44">
        <v>11975</v>
      </c>
      <c r="C59" s="45" t="s">
        <v>1341</v>
      </c>
      <c r="D59" s="119">
        <v>29.98</v>
      </c>
    </row>
    <row r="60" spans="1:4">
      <c r="A60" s="43">
        <v>46041</v>
      </c>
      <c r="B60" s="44">
        <v>11976</v>
      </c>
      <c r="C60" s="45" t="s">
        <v>1342</v>
      </c>
      <c r="D60" s="119">
        <v>44.99</v>
      </c>
    </row>
    <row r="61" spans="1:4">
      <c r="A61" s="43">
        <v>46041</v>
      </c>
      <c r="B61" s="44">
        <v>11977</v>
      </c>
      <c r="C61" s="45" t="s">
        <v>1343</v>
      </c>
      <c r="D61" s="119">
        <v>19.989999999999998</v>
      </c>
    </row>
    <row r="62" spans="1:4">
      <c r="A62" s="43">
        <v>46041</v>
      </c>
      <c r="B62" s="44">
        <v>11978</v>
      </c>
      <c r="C62" s="45" t="s">
        <v>1344</v>
      </c>
      <c r="D62" s="119">
        <v>19.989999999999998</v>
      </c>
    </row>
    <row r="63" spans="1:4">
      <c r="A63" s="43">
        <v>46041</v>
      </c>
      <c r="B63" s="44">
        <v>11979</v>
      </c>
      <c r="C63" s="45" t="s">
        <v>1345</v>
      </c>
      <c r="D63" s="119">
        <v>44.99</v>
      </c>
    </row>
    <row r="64" spans="1:4">
      <c r="A64" s="43">
        <v>46041</v>
      </c>
      <c r="B64" s="44">
        <v>11980</v>
      </c>
      <c r="C64" s="45" t="s">
        <v>1346</v>
      </c>
      <c r="D64" s="119">
        <v>24.99</v>
      </c>
    </row>
    <row r="65" spans="1:4">
      <c r="A65" s="43">
        <v>46041</v>
      </c>
      <c r="B65" s="44">
        <v>11981</v>
      </c>
      <c r="C65" s="45" t="s">
        <v>1347</v>
      </c>
      <c r="D65" s="119">
        <v>33.979999999999997</v>
      </c>
    </row>
    <row r="66" spans="1:4">
      <c r="A66" s="43">
        <v>46042</v>
      </c>
      <c r="B66" s="44">
        <v>11982</v>
      </c>
      <c r="C66" s="45" t="s">
        <v>1348</v>
      </c>
      <c r="D66" s="119">
        <v>19.989999999999998</v>
      </c>
    </row>
    <row r="67" spans="1:4">
      <c r="A67" s="43">
        <v>46042</v>
      </c>
      <c r="B67" s="44">
        <v>11983</v>
      </c>
      <c r="C67" s="45" t="s">
        <v>1349</v>
      </c>
      <c r="D67" s="119">
        <v>34.5</v>
      </c>
    </row>
    <row r="68" spans="1:4">
      <c r="A68" s="43">
        <v>46042</v>
      </c>
      <c r="B68" s="44">
        <v>11984</v>
      </c>
      <c r="C68" s="45" t="s">
        <v>1350</v>
      </c>
      <c r="D68" s="119">
        <v>13</v>
      </c>
    </row>
    <row r="69" spans="1:4">
      <c r="A69" s="43">
        <v>46042</v>
      </c>
      <c r="B69" s="44">
        <v>11985</v>
      </c>
      <c r="C69" s="45" t="s">
        <v>1351</v>
      </c>
      <c r="D69" s="119">
        <v>12.99</v>
      </c>
    </row>
    <row r="70" spans="1:4">
      <c r="A70" s="43">
        <v>46043</v>
      </c>
      <c r="B70" s="44">
        <v>11986</v>
      </c>
      <c r="C70" s="45" t="s">
        <v>1352</v>
      </c>
      <c r="D70" s="119">
        <v>42.99</v>
      </c>
    </row>
    <row r="71" spans="1:4">
      <c r="A71" s="43">
        <v>46043</v>
      </c>
      <c r="B71" s="44">
        <v>11987</v>
      </c>
      <c r="C71" s="45" t="s">
        <v>1353</v>
      </c>
      <c r="D71" s="119">
        <v>9.99</v>
      </c>
    </row>
    <row r="72" spans="1:4">
      <c r="A72" s="43">
        <v>46043</v>
      </c>
      <c r="B72" s="44">
        <v>11988</v>
      </c>
      <c r="C72" s="45" t="s">
        <v>1354</v>
      </c>
      <c r="D72" s="119">
        <v>25.98</v>
      </c>
    </row>
    <row r="73" spans="1:4">
      <c r="A73" s="43">
        <v>46043</v>
      </c>
      <c r="B73" s="44">
        <v>11989</v>
      </c>
      <c r="C73" s="45" t="s">
        <v>378</v>
      </c>
      <c r="D73" s="119">
        <v>242.62</v>
      </c>
    </row>
    <row r="74" spans="1:4">
      <c r="A74" s="43">
        <v>46043</v>
      </c>
      <c r="B74" s="44">
        <v>11990</v>
      </c>
      <c r="C74" s="45" t="s">
        <v>379</v>
      </c>
      <c r="D74" s="119">
        <v>2138.5</v>
      </c>
    </row>
    <row r="75" spans="1:4">
      <c r="A75" s="43">
        <v>46043</v>
      </c>
      <c r="B75" s="44">
        <v>11991</v>
      </c>
      <c r="C75" s="45" t="s">
        <v>1355</v>
      </c>
      <c r="D75" s="119">
        <v>5024.1000000000004</v>
      </c>
    </row>
    <row r="76" spans="1:4">
      <c r="A76" s="43">
        <v>46043</v>
      </c>
      <c r="B76" s="44">
        <v>11992</v>
      </c>
      <c r="C76" s="45" t="s">
        <v>1309</v>
      </c>
      <c r="D76" s="119">
        <v>3631.4</v>
      </c>
    </row>
    <row r="77" spans="1:4">
      <c r="A77" s="43">
        <v>46043</v>
      </c>
      <c r="B77" s="44">
        <v>11993</v>
      </c>
      <c r="C77" s="45" t="s">
        <v>1339</v>
      </c>
      <c r="D77" s="119">
        <v>2002.2</v>
      </c>
    </row>
    <row r="78" spans="1:4">
      <c r="A78" s="43">
        <v>46043</v>
      </c>
      <c r="B78" s="44">
        <v>11994</v>
      </c>
      <c r="C78" s="45" t="s">
        <v>1356</v>
      </c>
      <c r="D78" s="119">
        <v>2227</v>
      </c>
    </row>
    <row r="79" spans="1:4">
      <c r="A79" s="43">
        <v>46043</v>
      </c>
      <c r="B79" s="44">
        <v>11995</v>
      </c>
      <c r="C79" s="45" t="s">
        <v>1357</v>
      </c>
      <c r="D79" s="119">
        <v>1500</v>
      </c>
    </row>
    <row r="80" spans="1:4">
      <c r="A80" s="43">
        <v>46043</v>
      </c>
      <c r="B80" s="44">
        <v>11996</v>
      </c>
      <c r="C80" s="45" t="s">
        <v>1358</v>
      </c>
      <c r="D80" s="119">
        <v>288</v>
      </c>
    </row>
    <row r="81" spans="1:4">
      <c r="A81" s="43">
        <v>46043</v>
      </c>
      <c r="B81" s="44">
        <v>11997</v>
      </c>
      <c r="C81" s="45" t="s">
        <v>1359</v>
      </c>
      <c r="D81" s="119">
        <v>990</v>
      </c>
    </row>
    <row r="82" spans="1:4">
      <c r="A82" s="43">
        <v>46044</v>
      </c>
      <c r="B82" s="44">
        <v>11998</v>
      </c>
      <c r="C82" s="45" t="s">
        <v>1307</v>
      </c>
      <c r="D82" s="119">
        <v>600</v>
      </c>
    </row>
    <row r="83" spans="1:4">
      <c r="A83" s="43">
        <v>46044</v>
      </c>
      <c r="B83" s="44">
        <v>11999</v>
      </c>
      <c r="C83" s="45" t="s">
        <v>1346</v>
      </c>
      <c r="D83" s="119">
        <v>24.99</v>
      </c>
    </row>
    <row r="84" spans="1:4">
      <c r="A84" s="43">
        <v>46044</v>
      </c>
      <c r="B84" s="44">
        <v>12000</v>
      </c>
      <c r="C84" s="45" t="s">
        <v>1360</v>
      </c>
      <c r="D84" s="119">
        <v>129.99</v>
      </c>
    </row>
    <row r="85" spans="1:4">
      <c r="A85" s="43">
        <v>46044</v>
      </c>
      <c r="B85" s="44">
        <v>12001</v>
      </c>
      <c r="C85" s="45" t="s">
        <v>1361</v>
      </c>
      <c r="D85" s="119">
        <v>24.99</v>
      </c>
    </row>
    <row r="86" spans="1:4">
      <c r="A86" s="43">
        <v>46044</v>
      </c>
      <c r="B86" s="44">
        <v>12005</v>
      </c>
      <c r="C86" s="45" t="s">
        <v>1329</v>
      </c>
      <c r="D86" s="119">
        <v>2847.82</v>
      </c>
    </row>
    <row r="87" spans="1:4">
      <c r="A87" s="43">
        <v>46045</v>
      </c>
      <c r="B87" s="44">
        <v>12006</v>
      </c>
      <c r="C87" s="45" t="s">
        <v>377</v>
      </c>
      <c r="D87" s="119">
        <v>480</v>
      </c>
    </row>
    <row r="88" spans="1:4">
      <c r="A88" s="43">
        <v>46045</v>
      </c>
      <c r="B88" s="44">
        <v>12007</v>
      </c>
      <c r="C88" s="45" t="s">
        <v>1362</v>
      </c>
      <c r="D88" s="119">
        <v>21.99</v>
      </c>
    </row>
    <row r="89" spans="1:4">
      <c r="A89" s="43">
        <v>46045</v>
      </c>
      <c r="B89" s="44">
        <v>12008</v>
      </c>
      <c r="C89" s="45" t="s">
        <v>1363</v>
      </c>
      <c r="D89" s="119">
        <v>34.5</v>
      </c>
    </row>
    <row r="90" spans="1:4">
      <c r="A90" s="43">
        <v>46045</v>
      </c>
      <c r="B90" s="44">
        <v>12009</v>
      </c>
      <c r="C90" s="45" t="s">
        <v>1364</v>
      </c>
      <c r="D90" s="119">
        <v>1441.6</v>
      </c>
    </row>
    <row r="91" spans="1:4">
      <c r="A91" s="43">
        <v>46045</v>
      </c>
      <c r="B91" s="44">
        <v>12010</v>
      </c>
      <c r="C91" s="45" t="s">
        <v>385</v>
      </c>
      <c r="D91" s="119">
        <v>623</v>
      </c>
    </row>
    <row r="92" spans="1:4">
      <c r="A92" s="43">
        <v>46045</v>
      </c>
      <c r="B92" s="44">
        <v>12011</v>
      </c>
      <c r="C92" s="45" t="s">
        <v>1365</v>
      </c>
      <c r="D92" s="119">
        <v>1208</v>
      </c>
    </row>
    <row r="93" spans="1:4">
      <c r="A93" s="43">
        <v>46045</v>
      </c>
      <c r="B93" s="44">
        <v>12012</v>
      </c>
      <c r="C93" s="45" t="s">
        <v>1323</v>
      </c>
      <c r="D93" s="119">
        <v>76</v>
      </c>
    </row>
    <row r="94" spans="1:4">
      <c r="A94" s="43">
        <v>46045</v>
      </c>
      <c r="B94" s="44">
        <v>12013</v>
      </c>
      <c r="C94" s="45" t="s">
        <v>1357</v>
      </c>
      <c r="D94" s="119">
        <v>5039.6000000000004</v>
      </c>
    </row>
    <row r="95" spans="1:4">
      <c r="A95" s="43">
        <v>46048</v>
      </c>
      <c r="B95" s="44">
        <v>12014</v>
      </c>
      <c r="C95" s="45" t="s">
        <v>1366</v>
      </c>
      <c r="D95" s="119">
        <v>39.97</v>
      </c>
    </row>
    <row r="96" spans="1:4">
      <c r="A96" s="43">
        <v>46048</v>
      </c>
      <c r="B96" s="44">
        <v>12015</v>
      </c>
      <c r="C96" s="45" t="s">
        <v>1367</v>
      </c>
      <c r="D96" s="119">
        <v>24.99</v>
      </c>
    </row>
    <row r="97" spans="1:4">
      <c r="A97" s="43">
        <v>46048</v>
      </c>
      <c r="B97" s="44">
        <v>12017</v>
      </c>
      <c r="C97" s="45" t="s">
        <v>1368</v>
      </c>
      <c r="D97" s="119">
        <v>9.99</v>
      </c>
    </row>
    <row r="98" spans="1:4">
      <c r="A98" s="43">
        <v>46048</v>
      </c>
      <c r="B98" s="44">
        <v>12018</v>
      </c>
      <c r="C98" s="45" t="s">
        <v>1369</v>
      </c>
      <c r="D98" s="119">
        <v>9.99</v>
      </c>
    </row>
    <row r="99" spans="1:4">
      <c r="A99" s="43">
        <v>46048</v>
      </c>
      <c r="B99" s="44">
        <v>12019</v>
      </c>
      <c r="C99" s="45" t="s">
        <v>1330</v>
      </c>
      <c r="D99" s="119">
        <v>725.1</v>
      </c>
    </row>
    <row r="100" spans="1:4">
      <c r="A100" s="43">
        <v>46048</v>
      </c>
      <c r="B100" s="44">
        <v>12020</v>
      </c>
      <c r="C100" s="45" t="s">
        <v>1307</v>
      </c>
      <c r="D100" s="119">
        <v>390.5</v>
      </c>
    </row>
    <row r="101" spans="1:4">
      <c r="A101" s="43">
        <v>46049</v>
      </c>
      <c r="B101" s="44">
        <v>12021</v>
      </c>
      <c r="C101" s="45" t="s">
        <v>1364</v>
      </c>
      <c r="D101" s="119">
        <v>528.85</v>
      </c>
    </row>
    <row r="102" spans="1:4">
      <c r="A102" s="43">
        <v>46049</v>
      </c>
      <c r="B102" s="44">
        <v>12022</v>
      </c>
      <c r="C102" s="45" t="s">
        <v>1370</v>
      </c>
      <c r="D102" s="119">
        <v>1128.5</v>
      </c>
    </row>
    <row r="103" spans="1:4">
      <c r="A103" s="43">
        <v>46049</v>
      </c>
      <c r="B103" s="44">
        <v>12023</v>
      </c>
      <c r="C103" s="45" t="s">
        <v>1371</v>
      </c>
      <c r="D103" s="119">
        <v>14.99</v>
      </c>
    </row>
    <row r="104" spans="1:4">
      <c r="A104" s="43">
        <v>46049</v>
      </c>
      <c r="B104" s="44">
        <v>12024</v>
      </c>
      <c r="C104" s="45" t="s">
        <v>1372</v>
      </c>
      <c r="D104" s="119">
        <v>118</v>
      </c>
    </row>
    <row r="105" spans="1:4">
      <c r="A105" s="43">
        <v>46049</v>
      </c>
      <c r="B105" s="44">
        <v>12025</v>
      </c>
      <c r="C105" s="45" t="s">
        <v>389</v>
      </c>
      <c r="D105" s="119">
        <v>360</v>
      </c>
    </row>
    <row r="106" spans="1:4">
      <c r="A106" s="43">
        <v>46049</v>
      </c>
      <c r="B106" s="44">
        <v>12026</v>
      </c>
      <c r="C106" s="45" t="s">
        <v>1373</v>
      </c>
      <c r="D106" s="119">
        <v>902</v>
      </c>
    </row>
    <row r="107" spans="1:4">
      <c r="A107" s="43">
        <v>46050</v>
      </c>
      <c r="B107" s="44">
        <v>12027</v>
      </c>
      <c r="C107" s="45" t="s">
        <v>1374</v>
      </c>
      <c r="D107" s="119">
        <v>975</v>
      </c>
    </row>
    <row r="108" spans="1:4">
      <c r="A108" s="43">
        <v>46050</v>
      </c>
      <c r="B108" s="44">
        <v>12028</v>
      </c>
      <c r="C108" s="45" t="s">
        <v>1375</v>
      </c>
      <c r="D108" s="119">
        <v>1032</v>
      </c>
    </row>
    <row r="109" spans="1:4">
      <c r="A109" s="43">
        <v>46050</v>
      </c>
      <c r="B109" s="44">
        <v>12029</v>
      </c>
      <c r="C109" s="45" t="s">
        <v>1376</v>
      </c>
      <c r="D109" s="119">
        <v>624</v>
      </c>
    </row>
    <row r="110" spans="1:4">
      <c r="A110" s="43">
        <v>46050</v>
      </c>
      <c r="B110" s="44">
        <v>12030</v>
      </c>
      <c r="C110" s="45" t="s">
        <v>389</v>
      </c>
      <c r="D110" s="119">
        <v>2185.6</v>
      </c>
    </row>
    <row r="111" spans="1:4">
      <c r="A111" s="43">
        <v>46050</v>
      </c>
      <c r="B111" s="44">
        <v>12031</v>
      </c>
      <c r="C111" s="45" t="s">
        <v>374</v>
      </c>
      <c r="D111" s="119">
        <v>12838.32</v>
      </c>
    </row>
    <row r="112" spans="1:4">
      <c r="A112" s="43">
        <v>46050</v>
      </c>
      <c r="B112" s="44">
        <v>12032</v>
      </c>
      <c r="C112" s="45" t="s">
        <v>1377</v>
      </c>
      <c r="D112" s="119">
        <v>350</v>
      </c>
    </row>
    <row r="113" spans="1:4">
      <c r="A113" s="43">
        <v>46051</v>
      </c>
      <c r="B113" s="44">
        <v>12033</v>
      </c>
      <c r="C113" s="45" t="s">
        <v>383</v>
      </c>
      <c r="D113" s="119">
        <v>89.5</v>
      </c>
    </row>
    <row r="114" spans="1:4">
      <c r="A114" s="43">
        <v>46051</v>
      </c>
      <c r="B114" s="44">
        <v>12034</v>
      </c>
      <c r="C114" s="45" t="s">
        <v>1378</v>
      </c>
      <c r="D114" s="119">
        <v>44.97</v>
      </c>
    </row>
    <row r="115" spans="1:4">
      <c r="A115" s="43">
        <v>46051</v>
      </c>
      <c r="B115" s="44">
        <v>12035</v>
      </c>
      <c r="C115" s="45" t="s">
        <v>1379</v>
      </c>
      <c r="D115" s="119">
        <v>19.989999999999998</v>
      </c>
    </row>
    <row r="116" spans="1:4">
      <c r="A116" s="43">
        <v>46051</v>
      </c>
      <c r="B116" s="44">
        <v>12036</v>
      </c>
      <c r="C116" s="45" t="s">
        <v>1380</v>
      </c>
      <c r="D116" s="119">
        <v>44.97</v>
      </c>
    </row>
    <row r="117" spans="1:4">
      <c r="A117" s="43">
        <v>46051</v>
      </c>
      <c r="B117" s="44">
        <v>12037</v>
      </c>
      <c r="C117" s="45" t="s">
        <v>1381</v>
      </c>
      <c r="D117" s="119">
        <v>4287.8999999999996</v>
      </c>
    </row>
    <row r="118" spans="1:4">
      <c r="A118" s="43">
        <v>46051</v>
      </c>
      <c r="B118" s="44">
        <v>12038</v>
      </c>
      <c r="C118" s="45" t="s">
        <v>1298</v>
      </c>
      <c r="D118" s="119">
        <v>302</v>
      </c>
    </row>
    <row r="119" spans="1:4">
      <c r="A119" s="43">
        <v>46051</v>
      </c>
      <c r="B119" s="44">
        <v>12039</v>
      </c>
      <c r="C119" s="45" t="s">
        <v>389</v>
      </c>
      <c r="D119" s="119">
        <v>328.55</v>
      </c>
    </row>
    <row r="120" spans="1:4">
      <c r="A120" s="43">
        <v>46051</v>
      </c>
      <c r="B120" s="44">
        <v>12040</v>
      </c>
      <c r="C120" s="45" t="s">
        <v>390</v>
      </c>
      <c r="D120" s="119">
        <v>163.5</v>
      </c>
    </row>
    <row r="121" spans="1:4">
      <c r="A121" s="114">
        <v>46055</v>
      </c>
      <c r="B121" s="115">
        <v>12047</v>
      </c>
      <c r="C121" s="116" t="s">
        <v>1382</v>
      </c>
      <c r="D121" s="120">
        <v>24.99</v>
      </c>
    </row>
    <row r="122" spans="1:4">
      <c r="A122" s="114">
        <v>46055</v>
      </c>
      <c r="B122" s="115">
        <v>12049</v>
      </c>
      <c r="C122" s="116" t="s">
        <v>1383</v>
      </c>
      <c r="D122" s="120">
        <v>438.5</v>
      </c>
    </row>
    <row r="123" spans="1:4">
      <c r="A123" s="114">
        <v>46055</v>
      </c>
      <c r="B123" s="115">
        <v>12050</v>
      </c>
      <c r="C123" s="116" t="s">
        <v>1315</v>
      </c>
      <c r="D123" s="120">
        <v>840.5</v>
      </c>
    </row>
    <row r="124" spans="1:4">
      <c r="A124" s="114">
        <v>46055</v>
      </c>
      <c r="B124" s="115">
        <v>12051</v>
      </c>
      <c r="C124" s="116" t="s">
        <v>1384</v>
      </c>
      <c r="D124" s="120">
        <v>1865</v>
      </c>
    </row>
    <row r="125" spans="1:4">
      <c r="A125" s="114">
        <v>46056</v>
      </c>
      <c r="B125" s="115">
        <v>12052</v>
      </c>
      <c r="C125" s="116" t="s">
        <v>1385</v>
      </c>
      <c r="D125" s="120">
        <v>265.5</v>
      </c>
    </row>
    <row r="126" spans="1:4">
      <c r="A126" s="114">
        <v>46056</v>
      </c>
      <c r="B126" s="115">
        <v>12053</v>
      </c>
      <c r="C126" s="116" t="s">
        <v>1370</v>
      </c>
      <c r="D126" s="120">
        <v>673</v>
      </c>
    </row>
    <row r="127" spans="1:4">
      <c r="A127" s="114">
        <v>46056</v>
      </c>
      <c r="B127" s="115">
        <v>12054</v>
      </c>
      <c r="C127" s="116" t="s">
        <v>1386</v>
      </c>
      <c r="D127" s="120">
        <v>39.99</v>
      </c>
    </row>
    <row r="128" spans="1:4">
      <c r="A128" s="114">
        <v>46057</v>
      </c>
      <c r="B128" s="115">
        <v>12055</v>
      </c>
      <c r="C128" s="116" t="s">
        <v>1387</v>
      </c>
      <c r="D128" s="120">
        <v>53.98</v>
      </c>
    </row>
    <row r="129" spans="1:4">
      <c r="A129" s="114">
        <v>46057</v>
      </c>
      <c r="B129" s="115">
        <v>12056</v>
      </c>
      <c r="C129" s="116" t="s">
        <v>1331</v>
      </c>
      <c r="D129" s="120">
        <v>252</v>
      </c>
    </row>
    <row r="130" spans="1:4">
      <c r="A130" s="114">
        <v>46057</v>
      </c>
      <c r="B130" s="115">
        <v>12057</v>
      </c>
      <c r="C130" s="116" t="s">
        <v>1330</v>
      </c>
      <c r="D130" s="120">
        <v>261.89999999999998</v>
      </c>
    </row>
    <row r="131" spans="1:4">
      <c r="A131" s="114">
        <v>46057</v>
      </c>
      <c r="B131" s="115">
        <v>12058</v>
      </c>
      <c r="C131" s="116" t="s">
        <v>1319</v>
      </c>
      <c r="D131" s="120">
        <v>486.8</v>
      </c>
    </row>
    <row r="132" spans="1:4">
      <c r="A132" s="114">
        <v>46057</v>
      </c>
      <c r="B132" s="115">
        <v>12059</v>
      </c>
      <c r="C132" s="116" t="s">
        <v>1388</v>
      </c>
      <c r="D132" s="120">
        <v>276</v>
      </c>
    </row>
    <row r="133" spans="1:4">
      <c r="A133" s="114">
        <v>46058</v>
      </c>
      <c r="B133" s="115">
        <v>12060</v>
      </c>
      <c r="C133" s="116" t="s">
        <v>1389</v>
      </c>
      <c r="D133" s="120">
        <v>6932</v>
      </c>
    </row>
    <row r="134" spans="1:4">
      <c r="A134" s="114">
        <v>46058</v>
      </c>
      <c r="B134" s="115">
        <v>12061</v>
      </c>
      <c r="C134" s="116" t="s">
        <v>1390</v>
      </c>
      <c r="D134" s="120">
        <v>34.99</v>
      </c>
    </row>
    <row r="135" spans="1:4">
      <c r="A135" s="114">
        <v>46058</v>
      </c>
      <c r="B135" s="115">
        <v>12062</v>
      </c>
      <c r="C135" s="116" t="s">
        <v>1391</v>
      </c>
      <c r="D135" s="120">
        <v>29.98</v>
      </c>
    </row>
    <row r="136" spans="1:4">
      <c r="A136" s="114">
        <v>46058</v>
      </c>
      <c r="B136" s="115">
        <v>12063</v>
      </c>
      <c r="C136" s="116" t="s">
        <v>1323</v>
      </c>
      <c r="D136" s="120">
        <v>62</v>
      </c>
    </row>
    <row r="137" spans="1:4">
      <c r="A137" s="114">
        <v>46058</v>
      </c>
      <c r="B137" s="115">
        <v>12064</v>
      </c>
      <c r="C137" s="116" t="s">
        <v>389</v>
      </c>
      <c r="D137" s="120">
        <v>1249.46</v>
      </c>
    </row>
    <row r="138" spans="1:4">
      <c r="A138" s="114">
        <v>46059</v>
      </c>
      <c r="B138" s="115">
        <v>12065</v>
      </c>
      <c r="C138" s="116" t="s">
        <v>1392</v>
      </c>
      <c r="D138" s="120">
        <v>22.99</v>
      </c>
    </row>
    <row r="139" spans="1:4">
      <c r="A139" s="114">
        <v>46059</v>
      </c>
      <c r="B139" s="115">
        <v>12066</v>
      </c>
      <c r="C139" s="116" t="s">
        <v>1393</v>
      </c>
      <c r="D139" s="120">
        <v>33.979999999999997</v>
      </c>
    </row>
    <row r="140" spans="1:4">
      <c r="A140" s="114">
        <v>46059</v>
      </c>
      <c r="B140" s="115">
        <v>12067</v>
      </c>
      <c r="C140" s="116" t="s">
        <v>1394</v>
      </c>
      <c r="D140" s="120">
        <v>191</v>
      </c>
    </row>
    <row r="141" spans="1:4">
      <c r="A141" s="114">
        <v>46059</v>
      </c>
      <c r="B141" s="115">
        <v>12068</v>
      </c>
      <c r="C141" s="116" t="s">
        <v>1302</v>
      </c>
      <c r="D141" s="120">
        <v>1149</v>
      </c>
    </row>
    <row r="142" spans="1:4">
      <c r="A142" s="114">
        <v>46059</v>
      </c>
      <c r="B142" s="115">
        <v>12069</v>
      </c>
      <c r="C142" s="116" t="s">
        <v>1395</v>
      </c>
      <c r="D142" s="120">
        <v>203</v>
      </c>
    </row>
    <row r="143" spans="1:4">
      <c r="A143" s="114">
        <v>46062</v>
      </c>
      <c r="B143" s="115">
        <v>12072</v>
      </c>
      <c r="C143" s="116" t="s">
        <v>1396</v>
      </c>
      <c r="D143" s="120">
        <v>59.96</v>
      </c>
    </row>
    <row r="144" spans="1:4">
      <c r="A144" s="114">
        <v>46062</v>
      </c>
      <c r="B144" s="115">
        <v>12073</v>
      </c>
      <c r="C144" s="116" t="s">
        <v>1397</v>
      </c>
      <c r="D144" s="120">
        <v>816</v>
      </c>
    </row>
    <row r="145" spans="1:4">
      <c r="A145" s="114">
        <v>46062</v>
      </c>
      <c r="B145" s="115">
        <v>12075</v>
      </c>
      <c r="C145" s="116" t="s">
        <v>387</v>
      </c>
      <c r="D145" s="120">
        <v>80</v>
      </c>
    </row>
    <row r="146" spans="1:4">
      <c r="A146" s="114">
        <v>46062</v>
      </c>
      <c r="B146" s="115">
        <v>12076</v>
      </c>
      <c r="C146" s="116" t="s">
        <v>387</v>
      </c>
      <c r="D146" s="120">
        <v>240</v>
      </c>
    </row>
    <row r="147" spans="1:4">
      <c r="A147" s="114">
        <v>46063</v>
      </c>
      <c r="B147" s="115">
        <v>12077</v>
      </c>
      <c r="C147" s="116" t="s">
        <v>1338</v>
      </c>
      <c r="D147" s="120">
        <v>63</v>
      </c>
    </row>
    <row r="148" spans="1:4">
      <c r="A148" s="114">
        <v>46063</v>
      </c>
      <c r="B148" s="115">
        <v>12078</v>
      </c>
      <c r="C148" s="116" t="s">
        <v>1398</v>
      </c>
      <c r="D148" s="120">
        <v>10.99</v>
      </c>
    </row>
    <row r="149" spans="1:4">
      <c r="A149" s="114">
        <v>46063</v>
      </c>
      <c r="B149" s="115">
        <v>12079</v>
      </c>
      <c r="C149" s="116" t="s">
        <v>1399</v>
      </c>
      <c r="D149" s="120">
        <v>22.99</v>
      </c>
    </row>
    <row r="150" spans="1:4">
      <c r="A150" s="114">
        <v>46063</v>
      </c>
      <c r="B150" s="115">
        <v>12081</v>
      </c>
      <c r="C150" s="116" t="s">
        <v>1400</v>
      </c>
      <c r="D150" s="120">
        <v>45.97</v>
      </c>
    </row>
    <row r="151" spans="1:4">
      <c r="A151" s="114">
        <v>46063</v>
      </c>
      <c r="B151" s="115">
        <v>12082</v>
      </c>
      <c r="C151" s="116" t="s">
        <v>1401</v>
      </c>
      <c r="D151" s="120">
        <v>33.979999999999997</v>
      </c>
    </row>
    <row r="152" spans="1:4">
      <c r="A152" s="114">
        <v>46063</v>
      </c>
      <c r="B152" s="115">
        <v>12083</v>
      </c>
      <c r="C152" s="116" t="s">
        <v>1402</v>
      </c>
      <c r="D152" s="120">
        <v>59.96</v>
      </c>
    </row>
    <row r="153" spans="1:4">
      <c r="A153" s="114">
        <v>46063</v>
      </c>
      <c r="B153" s="115">
        <v>12084</v>
      </c>
      <c r="C153" s="116" t="s">
        <v>1403</v>
      </c>
      <c r="D153" s="120">
        <v>14.99</v>
      </c>
    </row>
    <row r="154" spans="1:4">
      <c r="A154" s="114">
        <v>46063</v>
      </c>
      <c r="B154" s="115">
        <v>12085</v>
      </c>
      <c r="C154" s="116" t="s">
        <v>1404</v>
      </c>
      <c r="D154" s="120">
        <v>24.99</v>
      </c>
    </row>
    <row r="155" spans="1:4">
      <c r="A155" s="114">
        <v>46063</v>
      </c>
      <c r="B155" s="115">
        <v>12087</v>
      </c>
      <c r="C155" s="116" t="s">
        <v>1301</v>
      </c>
      <c r="D155" s="120">
        <v>1177</v>
      </c>
    </row>
    <row r="156" spans="1:4">
      <c r="A156" s="114">
        <v>46063</v>
      </c>
      <c r="B156" s="115">
        <v>12089</v>
      </c>
      <c r="C156" s="116" t="s">
        <v>1405</v>
      </c>
      <c r="D156" s="120">
        <v>614.74</v>
      </c>
    </row>
    <row r="157" spans="1:4">
      <c r="A157" s="114">
        <v>46064</v>
      </c>
      <c r="B157" s="115">
        <v>12091</v>
      </c>
      <c r="C157" s="116" t="s">
        <v>380</v>
      </c>
      <c r="D157" s="120">
        <v>3573</v>
      </c>
    </row>
    <row r="158" spans="1:4">
      <c r="A158" s="114">
        <v>46064</v>
      </c>
      <c r="B158" s="115">
        <v>12092</v>
      </c>
      <c r="C158" s="116" t="s">
        <v>1355</v>
      </c>
      <c r="D158" s="120">
        <v>1907</v>
      </c>
    </row>
    <row r="159" spans="1:4">
      <c r="A159" s="114">
        <v>46064</v>
      </c>
      <c r="B159" s="115">
        <v>12093</v>
      </c>
      <c r="C159" s="116" t="s">
        <v>1406</v>
      </c>
      <c r="D159" s="120">
        <v>24.99</v>
      </c>
    </row>
    <row r="160" spans="1:4">
      <c r="A160" s="114">
        <v>46064</v>
      </c>
      <c r="B160" s="115">
        <v>12094</v>
      </c>
      <c r="C160" s="116" t="s">
        <v>1407</v>
      </c>
      <c r="D160" s="120">
        <v>74.95</v>
      </c>
    </row>
    <row r="161" spans="1:4">
      <c r="A161" s="114">
        <v>46064</v>
      </c>
      <c r="B161" s="115">
        <v>12095</v>
      </c>
      <c r="C161" s="116" t="s">
        <v>1408</v>
      </c>
      <c r="D161" s="120">
        <v>29.98</v>
      </c>
    </row>
    <row r="162" spans="1:4">
      <c r="A162" s="114">
        <v>46064</v>
      </c>
      <c r="B162" s="115">
        <v>12096</v>
      </c>
      <c r="C162" s="116" t="s">
        <v>1309</v>
      </c>
      <c r="D162" s="120">
        <v>5447.4</v>
      </c>
    </row>
    <row r="163" spans="1:4">
      <c r="A163" s="114">
        <v>46064</v>
      </c>
      <c r="B163" s="115">
        <v>12097</v>
      </c>
      <c r="C163" s="116" t="s">
        <v>1409</v>
      </c>
      <c r="D163" s="120">
        <v>403.28</v>
      </c>
    </row>
    <row r="164" spans="1:4">
      <c r="A164" s="114">
        <v>46064</v>
      </c>
      <c r="B164" s="115">
        <v>12098</v>
      </c>
      <c r="C164" s="116" t="s">
        <v>1410</v>
      </c>
      <c r="D164" s="120">
        <v>1119</v>
      </c>
    </row>
    <row r="165" spans="1:4">
      <c r="A165" s="114">
        <v>46064</v>
      </c>
      <c r="B165" s="115">
        <v>12099</v>
      </c>
      <c r="C165" s="116" t="s">
        <v>1313</v>
      </c>
      <c r="D165" s="120">
        <v>4067.66</v>
      </c>
    </row>
    <row r="166" spans="1:4">
      <c r="A166" s="114">
        <v>46064</v>
      </c>
      <c r="B166" s="115">
        <v>12100</v>
      </c>
      <c r="C166" s="116" t="s">
        <v>1373</v>
      </c>
      <c r="D166" s="120">
        <v>3705.3</v>
      </c>
    </row>
    <row r="167" spans="1:4">
      <c r="A167" s="114">
        <v>46064</v>
      </c>
      <c r="B167" s="115">
        <v>12101</v>
      </c>
      <c r="C167" s="116" t="s">
        <v>1374</v>
      </c>
      <c r="D167" s="120">
        <v>550</v>
      </c>
    </row>
    <row r="168" spans="1:4">
      <c r="A168" s="114">
        <v>46065</v>
      </c>
      <c r="B168" s="115">
        <v>12102</v>
      </c>
      <c r="C168" s="116" t="s">
        <v>1411</v>
      </c>
      <c r="D168" s="120">
        <v>652</v>
      </c>
    </row>
    <row r="169" spans="1:4">
      <c r="A169" s="114">
        <v>46065</v>
      </c>
      <c r="B169" s="115">
        <v>12103</v>
      </c>
      <c r="C169" s="116" t="s">
        <v>1412</v>
      </c>
      <c r="D169" s="120">
        <v>1023</v>
      </c>
    </row>
    <row r="170" spans="1:4">
      <c r="A170" s="114">
        <v>46066</v>
      </c>
      <c r="B170" s="115">
        <v>12104</v>
      </c>
      <c r="C170" s="116" t="s">
        <v>1383</v>
      </c>
      <c r="D170" s="120">
        <v>89</v>
      </c>
    </row>
    <row r="171" spans="1:4">
      <c r="A171" s="114">
        <v>46066</v>
      </c>
      <c r="B171" s="115">
        <v>12106</v>
      </c>
      <c r="C171" s="116" t="s">
        <v>379</v>
      </c>
      <c r="D171" s="120">
        <v>1518.56</v>
      </c>
    </row>
    <row r="172" spans="1:4">
      <c r="A172" s="114">
        <v>46066</v>
      </c>
      <c r="B172" s="115">
        <v>12107</v>
      </c>
      <c r="C172" s="116" t="s">
        <v>1413</v>
      </c>
      <c r="D172" s="120">
        <v>199</v>
      </c>
    </row>
    <row r="173" spans="1:4">
      <c r="A173" s="114">
        <v>46066</v>
      </c>
      <c r="B173" s="115">
        <v>12108</v>
      </c>
      <c r="C173" s="116" t="s">
        <v>1381</v>
      </c>
      <c r="D173" s="120">
        <v>175</v>
      </c>
    </row>
    <row r="174" spans="1:4">
      <c r="A174" s="114">
        <v>46066</v>
      </c>
      <c r="B174" s="115">
        <v>12109</v>
      </c>
      <c r="C174" s="116" t="s">
        <v>379</v>
      </c>
      <c r="D174" s="120">
        <v>180</v>
      </c>
    </row>
    <row r="175" spans="1:4">
      <c r="A175" s="114">
        <v>46066</v>
      </c>
      <c r="B175" s="115">
        <v>12110</v>
      </c>
      <c r="C175" s="116" t="s">
        <v>378</v>
      </c>
      <c r="D175" s="120">
        <v>1324.3</v>
      </c>
    </row>
    <row r="176" spans="1:4">
      <c r="A176" s="114">
        <v>46066</v>
      </c>
      <c r="B176" s="115">
        <v>12111</v>
      </c>
      <c r="C176" s="116" t="s">
        <v>1414</v>
      </c>
      <c r="D176" s="120">
        <v>2946.2</v>
      </c>
    </row>
    <row r="177" spans="1:4">
      <c r="A177" s="114">
        <v>46071</v>
      </c>
      <c r="B177" s="115">
        <v>12112</v>
      </c>
      <c r="C177" s="116" t="s">
        <v>1306</v>
      </c>
      <c r="D177" s="120">
        <v>100</v>
      </c>
    </row>
    <row r="178" spans="1:4">
      <c r="A178" s="114">
        <v>46071</v>
      </c>
      <c r="B178" s="115">
        <v>12113</v>
      </c>
      <c r="C178" s="116" t="s">
        <v>1415</v>
      </c>
      <c r="D178" s="120">
        <v>19.989999999999998</v>
      </c>
    </row>
    <row r="179" spans="1:4">
      <c r="A179" s="114">
        <v>46071</v>
      </c>
      <c r="B179" s="115">
        <v>12115</v>
      </c>
      <c r="C179" s="116" t="s">
        <v>1415</v>
      </c>
      <c r="D179" s="120">
        <v>24.99</v>
      </c>
    </row>
    <row r="180" spans="1:4">
      <c r="A180" s="114">
        <v>46071</v>
      </c>
      <c r="B180" s="115">
        <v>12117</v>
      </c>
      <c r="C180" s="116" t="s">
        <v>1415</v>
      </c>
      <c r="D180" s="120">
        <v>25.98</v>
      </c>
    </row>
    <row r="181" spans="1:4">
      <c r="A181" s="114">
        <v>46071</v>
      </c>
      <c r="B181" s="115">
        <v>12118</v>
      </c>
      <c r="C181" s="116" t="s">
        <v>1298</v>
      </c>
      <c r="D181" s="120">
        <v>1021</v>
      </c>
    </row>
    <row r="182" spans="1:4">
      <c r="A182" s="114">
        <v>46071</v>
      </c>
      <c r="B182" s="115">
        <v>12119</v>
      </c>
      <c r="C182" s="116" t="s">
        <v>389</v>
      </c>
      <c r="D182" s="120">
        <v>625.85</v>
      </c>
    </row>
    <row r="183" spans="1:4">
      <c r="A183" s="114">
        <v>46071</v>
      </c>
      <c r="B183" s="115">
        <v>12120</v>
      </c>
      <c r="C183" s="116" t="s">
        <v>1416</v>
      </c>
      <c r="D183" s="120">
        <v>544.70000000000005</v>
      </c>
    </row>
    <row r="184" spans="1:4">
      <c r="A184" s="114">
        <v>46072</v>
      </c>
      <c r="B184" s="115">
        <v>12121</v>
      </c>
      <c r="C184" s="116" t="s">
        <v>1417</v>
      </c>
      <c r="D184" s="120">
        <v>16.989999999999998</v>
      </c>
    </row>
    <row r="185" spans="1:4">
      <c r="A185" s="114">
        <v>46072</v>
      </c>
      <c r="B185" s="115">
        <v>12122</v>
      </c>
      <c r="C185" s="116" t="s">
        <v>1418</v>
      </c>
      <c r="D185" s="120">
        <v>39.99</v>
      </c>
    </row>
    <row r="186" spans="1:4">
      <c r="A186" s="114">
        <v>46072</v>
      </c>
      <c r="B186" s="115">
        <v>12123</v>
      </c>
      <c r="C186" s="116" t="s">
        <v>1418</v>
      </c>
      <c r="D186" s="120">
        <v>214.95</v>
      </c>
    </row>
    <row r="187" spans="1:4">
      <c r="A187" s="114">
        <v>46072</v>
      </c>
      <c r="B187" s="115">
        <v>12124</v>
      </c>
      <c r="C187" s="116" t="s">
        <v>1419</v>
      </c>
      <c r="D187" s="120">
        <v>9.99</v>
      </c>
    </row>
    <row r="188" spans="1:4">
      <c r="A188" s="114">
        <v>46072</v>
      </c>
      <c r="B188" s="115">
        <v>12125</v>
      </c>
      <c r="C188" s="116" t="s">
        <v>1420</v>
      </c>
      <c r="D188" s="120">
        <v>139.93</v>
      </c>
    </row>
    <row r="189" spans="1:4">
      <c r="A189" s="114">
        <v>46072</v>
      </c>
      <c r="B189" s="115">
        <v>12126</v>
      </c>
      <c r="C189" s="116" t="s">
        <v>1421</v>
      </c>
      <c r="D189" s="120">
        <v>19.989999999999998</v>
      </c>
    </row>
    <row r="190" spans="1:4">
      <c r="A190" s="114">
        <v>46072</v>
      </c>
      <c r="B190" s="115">
        <v>12127</v>
      </c>
      <c r="C190" s="116" t="s">
        <v>1422</v>
      </c>
      <c r="D190" s="120">
        <v>77.94</v>
      </c>
    </row>
    <row r="191" spans="1:4">
      <c r="A191" s="114">
        <v>46072</v>
      </c>
      <c r="B191" s="115">
        <v>12128</v>
      </c>
      <c r="C191" s="116" t="s">
        <v>1423</v>
      </c>
      <c r="D191" s="120">
        <v>29.98</v>
      </c>
    </row>
    <row r="192" spans="1:4">
      <c r="A192" s="114">
        <v>46072</v>
      </c>
      <c r="B192" s="115">
        <v>12129</v>
      </c>
      <c r="C192" s="116" t="s">
        <v>1424</v>
      </c>
      <c r="D192" s="120">
        <v>22.99</v>
      </c>
    </row>
    <row r="193" spans="1:4">
      <c r="A193" s="114">
        <v>46072</v>
      </c>
      <c r="B193" s="115">
        <v>12130</v>
      </c>
      <c r="C193" s="116" t="s">
        <v>1425</v>
      </c>
      <c r="D193" s="120">
        <v>26.99</v>
      </c>
    </row>
    <row r="194" spans="1:4">
      <c r="A194" s="114">
        <v>46072</v>
      </c>
      <c r="B194" s="115">
        <v>12131</v>
      </c>
      <c r="C194" s="116" t="s">
        <v>1417</v>
      </c>
      <c r="D194" s="120">
        <v>16.989999999999998</v>
      </c>
    </row>
    <row r="195" spans="1:4">
      <c r="A195" s="114">
        <v>46072</v>
      </c>
      <c r="B195" s="115">
        <v>12132</v>
      </c>
      <c r="C195" s="116" t="s">
        <v>1426</v>
      </c>
      <c r="D195" s="120">
        <v>288</v>
      </c>
    </row>
    <row r="196" spans="1:4">
      <c r="A196" s="114">
        <v>46072</v>
      </c>
      <c r="B196" s="115">
        <v>12133</v>
      </c>
      <c r="C196" s="116" t="s">
        <v>1307</v>
      </c>
      <c r="D196" s="120">
        <v>827</v>
      </c>
    </row>
    <row r="197" spans="1:4">
      <c r="A197" s="114">
        <v>46073</v>
      </c>
      <c r="B197" s="115">
        <v>12134</v>
      </c>
      <c r="C197" s="116" t="s">
        <v>1427</v>
      </c>
      <c r="D197" s="120">
        <v>6651.6</v>
      </c>
    </row>
    <row r="198" spans="1:4">
      <c r="A198" s="114">
        <v>46073</v>
      </c>
      <c r="B198" s="115">
        <v>12135</v>
      </c>
      <c r="C198" s="116" t="s">
        <v>389</v>
      </c>
      <c r="D198" s="120">
        <v>592.5</v>
      </c>
    </row>
    <row r="199" spans="1:4">
      <c r="A199" s="114">
        <v>46073</v>
      </c>
      <c r="B199" s="115">
        <v>12136</v>
      </c>
      <c r="C199" s="116" t="s">
        <v>389</v>
      </c>
      <c r="D199" s="120">
        <v>3285.32</v>
      </c>
    </row>
    <row r="200" spans="1:4">
      <c r="A200" s="114">
        <v>46073</v>
      </c>
      <c r="B200" s="115">
        <v>12137</v>
      </c>
      <c r="C200" s="116" t="s">
        <v>1428</v>
      </c>
      <c r="D200" s="120">
        <v>24.99</v>
      </c>
    </row>
    <row r="201" spans="1:4">
      <c r="A201" s="114">
        <v>46073</v>
      </c>
      <c r="B201" s="115">
        <v>12138</v>
      </c>
      <c r="C201" s="116" t="s">
        <v>1429</v>
      </c>
      <c r="D201" s="120">
        <v>54.99</v>
      </c>
    </row>
    <row r="202" spans="1:4">
      <c r="A202" s="114">
        <v>46073</v>
      </c>
      <c r="B202" s="115">
        <v>12139</v>
      </c>
      <c r="C202" s="116" t="s">
        <v>1430</v>
      </c>
      <c r="D202" s="120">
        <v>13</v>
      </c>
    </row>
    <row r="203" spans="1:4">
      <c r="A203" s="114">
        <v>46073</v>
      </c>
      <c r="B203" s="115">
        <v>12140</v>
      </c>
      <c r="C203" s="116" t="s">
        <v>1431</v>
      </c>
      <c r="D203" s="120">
        <v>19.989999999999998</v>
      </c>
    </row>
    <row r="204" spans="1:4">
      <c r="A204" s="114">
        <v>46073</v>
      </c>
      <c r="B204" s="115">
        <v>12141</v>
      </c>
      <c r="C204" s="116" t="s">
        <v>1432</v>
      </c>
      <c r="D204" s="120">
        <v>19.989999999999998</v>
      </c>
    </row>
    <row r="205" spans="1:4">
      <c r="A205" s="114">
        <v>46073</v>
      </c>
      <c r="B205" s="115">
        <v>12142</v>
      </c>
      <c r="C205" s="116" t="s">
        <v>1339</v>
      </c>
      <c r="D205" s="120">
        <v>2069</v>
      </c>
    </row>
    <row r="206" spans="1:4">
      <c r="A206" s="114">
        <v>46073</v>
      </c>
      <c r="B206" s="115">
        <v>12143</v>
      </c>
      <c r="C206" s="116" t="s">
        <v>1433</v>
      </c>
      <c r="D206" s="120">
        <v>706</v>
      </c>
    </row>
    <row r="207" spans="1:4">
      <c r="A207" s="114">
        <v>46076</v>
      </c>
      <c r="B207" s="115">
        <v>12144</v>
      </c>
      <c r="C207" s="116" t="s">
        <v>1434</v>
      </c>
      <c r="D207" s="120">
        <v>1020</v>
      </c>
    </row>
    <row r="208" spans="1:4">
      <c r="A208" s="114">
        <v>46076</v>
      </c>
      <c r="B208" s="115">
        <v>12145</v>
      </c>
      <c r="C208" s="116" t="s">
        <v>1435</v>
      </c>
      <c r="D208" s="120">
        <v>29.98</v>
      </c>
    </row>
    <row r="209" spans="1:4">
      <c r="A209" s="114">
        <v>46076</v>
      </c>
      <c r="B209" s="115">
        <v>12146</v>
      </c>
      <c r="C209" s="116" t="s">
        <v>1436</v>
      </c>
      <c r="D209" s="120">
        <v>7700</v>
      </c>
    </row>
    <row r="210" spans="1:4">
      <c r="A210" s="114">
        <v>46076</v>
      </c>
      <c r="B210" s="115">
        <v>12147</v>
      </c>
      <c r="C210" s="116" t="s">
        <v>1437</v>
      </c>
      <c r="D210" s="120">
        <v>535.5</v>
      </c>
    </row>
    <row r="211" spans="1:4">
      <c r="A211" s="114">
        <v>46076</v>
      </c>
      <c r="B211" s="115">
        <v>12148</v>
      </c>
      <c r="C211" s="116" t="s">
        <v>1298</v>
      </c>
      <c r="D211" s="120">
        <v>215</v>
      </c>
    </row>
    <row r="212" spans="1:4">
      <c r="A212" s="114">
        <v>46076</v>
      </c>
      <c r="B212" s="115">
        <v>12149</v>
      </c>
      <c r="C212" s="116" t="s">
        <v>1298</v>
      </c>
      <c r="D212" s="120">
        <v>308.04000000000002</v>
      </c>
    </row>
    <row r="213" spans="1:4">
      <c r="A213" s="114">
        <v>46076</v>
      </c>
      <c r="B213" s="115">
        <v>12150</v>
      </c>
      <c r="C213" s="116" t="s">
        <v>1327</v>
      </c>
      <c r="D213" s="120">
        <v>7290</v>
      </c>
    </row>
    <row r="214" spans="1:4">
      <c r="A214" s="114">
        <v>46076</v>
      </c>
      <c r="B214" s="115">
        <v>12151</v>
      </c>
      <c r="C214" s="116" t="s">
        <v>390</v>
      </c>
      <c r="D214" s="120">
        <v>208</v>
      </c>
    </row>
    <row r="215" spans="1:4">
      <c r="A215" s="114">
        <v>46076</v>
      </c>
      <c r="B215" s="115">
        <v>12152</v>
      </c>
      <c r="C215" s="116" t="s">
        <v>1309</v>
      </c>
      <c r="D215" s="120">
        <v>166</v>
      </c>
    </row>
    <row r="216" spans="1:4">
      <c r="A216" s="114">
        <v>46077</v>
      </c>
      <c r="B216" s="115">
        <v>12153</v>
      </c>
      <c r="C216" s="116" t="s">
        <v>1438</v>
      </c>
      <c r="D216" s="120">
        <v>12.99</v>
      </c>
    </row>
    <row r="217" spans="1:4">
      <c r="A217" s="114">
        <v>46077</v>
      </c>
      <c r="B217" s="115">
        <v>12154</v>
      </c>
      <c r="C217" s="116" t="s">
        <v>1439</v>
      </c>
      <c r="D217" s="120">
        <v>19.989999999999998</v>
      </c>
    </row>
    <row r="218" spans="1:4">
      <c r="A218" s="114">
        <v>46077</v>
      </c>
      <c r="B218" s="115">
        <v>12155</v>
      </c>
      <c r="C218" s="116" t="s">
        <v>1440</v>
      </c>
      <c r="D218" s="120">
        <v>25.98</v>
      </c>
    </row>
    <row r="219" spans="1:4">
      <c r="A219" s="114">
        <v>46077</v>
      </c>
      <c r="B219" s="115">
        <v>12156</v>
      </c>
      <c r="C219" s="116" t="s">
        <v>1441</v>
      </c>
      <c r="D219" s="120">
        <v>26.99</v>
      </c>
    </row>
    <row r="220" spans="1:4">
      <c r="A220" s="114">
        <v>46077</v>
      </c>
      <c r="B220" s="115">
        <v>12157</v>
      </c>
      <c r="C220" s="116" t="s">
        <v>1412</v>
      </c>
      <c r="D220" s="120">
        <v>629</v>
      </c>
    </row>
    <row r="221" spans="1:4">
      <c r="A221" s="114">
        <v>46077</v>
      </c>
      <c r="B221" s="115">
        <v>12158</v>
      </c>
      <c r="C221" s="116" t="s">
        <v>377</v>
      </c>
      <c r="D221" s="120">
        <v>1057.5</v>
      </c>
    </row>
    <row r="222" spans="1:4">
      <c r="A222" s="114">
        <v>46077</v>
      </c>
      <c r="B222" s="115">
        <v>12159</v>
      </c>
      <c r="C222" s="116" t="s">
        <v>1442</v>
      </c>
      <c r="D222" s="120">
        <v>74.540000000000006</v>
      </c>
    </row>
    <row r="223" spans="1:4">
      <c r="A223" s="114">
        <v>46077</v>
      </c>
      <c r="B223" s="115">
        <v>12160</v>
      </c>
      <c r="C223" s="116" t="s">
        <v>1328</v>
      </c>
      <c r="D223" s="120">
        <v>142.9</v>
      </c>
    </row>
    <row r="224" spans="1:4">
      <c r="A224" s="114">
        <v>46077</v>
      </c>
      <c r="B224" s="115">
        <v>12161</v>
      </c>
      <c r="C224" s="116" t="s">
        <v>1443</v>
      </c>
      <c r="D224" s="120">
        <v>145.9</v>
      </c>
    </row>
    <row r="225" spans="1:4">
      <c r="A225" s="114">
        <v>46078</v>
      </c>
      <c r="B225" s="115">
        <v>12162</v>
      </c>
      <c r="C225" s="116" t="s">
        <v>1385</v>
      </c>
      <c r="D225" s="120">
        <v>188.5</v>
      </c>
    </row>
    <row r="226" spans="1:4">
      <c r="A226" s="114">
        <v>46078</v>
      </c>
      <c r="B226" s="115">
        <v>12163</v>
      </c>
      <c r="C226" s="116" t="s">
        <v>1444</v>
      </c>
      <c r="D226" s="120">
        <v>26.99</v>
      </c>
    </row>
    <row r="227" spans="1:4">
      <c r="A227" s="114">
        <v>46078</v>
      </c>
      <c r="B227" s="115">
        <v>12164</v>
      </c>
      <c r="C227" s="116" t="s">
        <v>1329</v>
      </c>
      <c r="D227" s="120">
        <v>300</v>
      </c>
    </row>
    <row r="228" spans="1:4">
      <c r="A228" s="114">
        <v>46078</v>
      </c>
      <c r="B228" s="115">
        <v>12165</v>
      </c>
      <c r="C228" s="116" t="s">
        <v>1445</v>
      </c>
      <c r="D228" s="120">
        <v>1111</v>
      </c>
    </row>
    <row r="229" spans="1:4">
      <c r="A229" s="114">
        <v>46078</v>
      </c>
      <c r="B229" s="115">
        <v>12166</v>
      </c>
      <c r="C229" s="116" t="s">
        <v>1309</v>
      </c>
      <c r="D229" s="120">
        <v>13637.3</v>
      </c>
    </row>
    <row r="230" spans="1:4">
      <c r="A230" s="114">
        <v>46079</v>
      </c>
      <c r="B230" s="115">
        <v>12167</v>
      </c>
      <c r="C230" s="116" t="s">
        <v>389</v>
      </c>
      <c r="D230" s="120">
        <v>202</v>
      </c>
    </row>
    <row r="231" spans="1:4">
      <c r="A231" s="114">
        <v>46079</v>
      </c>
      <c r="B231" s="115">
        <v>12168</v>
      </c>
      <c r="C231" s="116" t="s">
        <v>1446</v>
      </c>
      <c r="D231" s="120">
        <v>57.6</v>
      </c>
    </row>
    <row r="232" spans="1:4">
      <c r="A232" s="114">
        <v>46079</v>
      </c>
      <c r="B232" s="115">
        <v>12169</v>
      </c>
      <c r="C232" s="116" t="s">
        <v>1447</v>
      </c>
      <c r="D232" s="120">
        <v>14.99</v>
      </c>
    </row>
    <row r="233" spans="1:4">
      <c r="A233" s="114">
        <v>46079</v>
      </c>
      <c r="B233" s="115">
        <v>12170</v>
      </c>
      <c r="C233" s="116" t="s">
        <v>1448</v>
      </c>
      <c r="D233" s="120">
        <v>33.979999999999997</v>
      </c>
    </row>
    <row r="234" spans="1:4">
      <c r="A234" s="114">
        <v>46079</v>
      </c>
      <c r="B234" s="115">
        <v>12171</v>
      </c>
      <c r="C234" s="116" t="s">
        <v>1449</v>
      </c>
      <c r="D234" s="120">
        <v>19.989999999999998</v>
      </c>
    </row>
    <row r="235" spans="1:4">
      <c r="A235" s="114">
        <v>46079</v>
      </c>
      <c r="B235" s="115">
        <v>12172</v>
      </c>
      <c r="C235" s="116" t="s">
        <v>1450</v>
      </c>
      <c r="D235" s="120">
        <v>33.979999999999997</v>
      </c>
    </row>
    <row r="236" spans="1:4">
      <c r="A236" s="114">
        <v>46079</v>
      </c>
      <c r="B236" s="115">
        <v>12173</v>
      </c>
      <c r="C236" s="116" t="s">
        <v>1451</v>
      </c>
      <c r="D236" s="120">
        <v>29.98</v>
      </c>
    </row>
    <row r="237" spans="1:4">
      <c r="A237" s="114">
        <v>46079</v>
      </c>
      <c r="B237" s="115">
        <v>12174</v>
      </c>
      <c r="C237" s="116" t="s">
        <v>389</v>
      </c>
      <c r="D237" s="120">
        <v>1300.96</v>
      </c>
    </row>
    <row r="238" spans="1:4">
      <c r="A238" s="114">
        <v>46079</v>
      </c>
      <c r="B238" s="115">
        <v>12175</v>
      </c>
      <c r="C238" s="116" t="s">
        <v>381</v>
      </c>
      <c r="D238" s="120">
        <v>306</v>
      </c>
    </row>
    <row r="239" spans="1:4">
      <c r="A239" s="114">
        <v>46079</v>
      </c>
      <c r="B239" s="115">
        <v>12176</v>
      </c>
      <c r="C239" s="116" t="s">
        <v>1383</v>
      </c>
      <c r="D239" s="120">
        <v>951</v>
      </c>
    </row>
    <row r="240" spans="1:4">
      <c r="A240" s="114">
        <v>46079</v>
      </c>
      <c r="B240" s="115">
        <v>12177</v>
      </c>
      <c r="C240" s="116" t="s">
        <v>1452</v>
      </c>
      <c r="D240" s="120">
        <v>3760</v>
      </c>
    </row>
    <row r="241" spans="1:4">
      <c r="A241" s="114">
        <v>46079</v>
      </c>
      <c r="B241" s="115">
        <v>12178</v>
      </c>
      <c r="C241" s="116" t="s">
        <v>1364</v>
      </c>
      <c r="D241" s="120">
        <v>1497</v>
      </c>
    </row>
    <row r="242" spans="1:4">
      <c r="A242" s="114">
        <v>46079</v>
      </c>
      <c r="B242" s="115">
        <v>12179</v>
      </c>
      <c r="C242" s="116" t="s">
        <v>385</v>
      </c>
      <c r="D242" s="120">
        <v>1188</v>
      </c>
    </row>
    <row r="243" spans="1:4">
      <c r="A243" s="114">
        <v>46080</v>
      </c>
      <c r="B243" s="115">
        <v>12180</v>
      </c>
      <c r="C243" s="116" t="s">
        <v>1453</v>
      </c>
      <c r="D243" s="120">
        <v>26.99</v>
      </c>
    </row>
    <row r="244" spans="1:4">
      <c r="A244" s="114">
        <v>46080</v>
      </c>
      <c r="B244" s="115">
        <v>12181</v>
      </c>
      <c r="C244" s="116" t="s">
        <v>1454</v>
      </c>
      <c r="D244" s="120">
        <v>14.99</v>
      </c>
    </row>
    <row r="245" spans="1:4">
      <c r="A245" s="114">
        <v>46080</v>
      </c>
      <c r="B245" s="115">
        <v>12182</v>
      </c>
      <c r="C245" s="116" t="s">
        <v>1455</v>
      </c>
      <c r="D245" s="120">
        <v>25.98</v>
      </c>
    </row>
    <row r="246" spans="1:4">
      <c r="A246" s="114">
        <v>46080</v>
      </c>
      <c r="B246" s="115">
        <v>12183</v>
      </c>
      <c r="C246" s="116" t="s">
        <v>1456</v>
      </c>
      <c r="D246" s="120">
        <v>21.99</v>
      </c>
    </row>
    <row r="247" spans="1:4">
      <c r="A247" s="114">
        <v>46080</v>
      </c>
      <c r="B247" s="115">
        <v>12184</v>
      </c>
      <c r="C247" s="116" t="s">
        <v>1445</v>
      </c>
      <c r="D247" s="120">
        <v>531.5</v>
      </c>
    </row>
    <row r="248" spans="1:4">
      <c r="A248" s="114">
        <v>46080</v>
      </c>
      <c r="B248" s="115">
        <v>12186</v>
      </c>
      <c r="C248" s="116" t="s">
        <v>389</v>
      </c>
      <c r="D248" s="120">
        <v>1343.34</v>
      </c>
    </row>
    <row r="249" spans="1:4">
      <c r="A249" s="114">
        <v>46080</v>
      </c>
      <c r="B249" s="115">
        <v>12187</v>
      </c>
      <c r="C249" s="116" t="s">
        <v>1334</v>
      </c>
      <c r="D249" s="120">
        <v>674</v>
      </c>
    </row>
    <row r="250" spans="1:4">
      <c r="A250" s="114">
        <v>46080</v>
      </c>
      <c r="B250" s="115">
        <v>12188</v>
      </c>
      <c r="C250" s="116" t="s">
        <v>388</v>
      </c>
      <c r="D250" s="120">
        <v>156.9</v>
      </c>
    </row>
    <row r="251" spans="1:4">
      <c r="A251" s="114">
        <v>46080</v>
      </c>
      <c r="B251" s="115">
        <v>12189</v>
      </c>
      <c r="C251" s="116" t="s">
        <v>1457</v>
      </c>
      <c r="D251" s="120">
        <v>556</v>
      </c>
    </row>
    <row r="252" spans="1:4">
      <c r="A252" s="114">
        <v>46080</v>
      </c>
      <c r="B252" s="115">
        <v>12191</v>
      </c>
      <c r="C252" s="116" t="s">
        <v>1296</v>
      </c>
      <c r="D252" s="120">
        <v>4949.5</v>
      </c>
    </row>
    <row r="253" spans="1:4">
      <c r="A253" s="114">
        <v>46080</v>
      </c>
      <c r="B253" s="115">
        <v>12192</v>
      </c>
      <c r="C253" s="116" t="s">
        <v>1340</v>
      </c>
      <c r="D253" s="120">
        <v>3110.8</v>
      </c>
    </row>
    <row r="254" spans="1:4">
      <c r="A254" s="114">
        <v>46080</v>
      </c>
      <c r="B254" s="115">
        <v>12193</v>
      </c>
      <c r="C254" s="116" t="s">
        <v>378</v>
      </c>
      <c r="D254" s="120">
        <v>369.9</v>
      </c>
    </row>
    <row r="255" spans="1:4">
      <c r="A255" s="114">
        <v>46080</v>
      </c>
      <c r="B255" s="115">
        <v>12194</v>
      </c>
      <c r="C255" s="116" t="s">
        <v>1458</v>
      </c>
      <c r="D255" s="120">
        <v>2243.5</v>
      </c>
    </row>
    <row r="256" spans="1:4">
      <c r="A256" s="114">
        <v>46080</v>
      </c>
      <c r="B256" s="115">
        <v>12195</v>
      </c>
      <c r="C256" s="116" t="s">
        <v>1331</v>
      </c>
      <c r="D256" s="120">
        <v>1630.89</v>
      </c>
    </row>
    <row r="257" spans="1:4">
      <c r="A257" s="114">
        <v>46083</v>
      </c>
      <c r="B257" s="115">
        <v>12196</v>
      </c>
      <c r="C257" s="116" t="s">
        <v>1327</v>
      </c>
      <c r="D257" s="120">
        <v>150</v>
      </c>
    </row>
    <row r="258" spans="1:4">
      <c r="A258" s="114">
        <v>46083</v>
      </c>
      <c r="B258" s="115">
        <v>12197</v>
      </c>
      <c r="C258" s="116" t="s">
        <v>1459</v>
      </c>
      <c r="D258" s="120">
        <v>35</v>
      </c>
    </row>
    <row r="259" spans="1:4">
      <c r="A259" s="114">
        <v>46083</v>
      </c>
      <c r="B259" s="115">
        <v>12198</v>
      </c>
      <c r="C259" s="116" t="s">
        <v>1385</v>
      </c>
      <c r="D259" s="120">
        <v>41</v>
      </c>
    </row>
    <row r="260" spans="1:4">
      <c r="A260" s="114">
        <v>46083</v>
      </c>
      <c r="B260" s="115">
        <v>12200</v>
      </c>
      <c r="C260" s="116" t="s">
        <v>1460</v>
      </c>
      <c r="D260" s="120">
        <v>39.99</v>
      </c>
    </row>
    <row r="261" spans="1:4">
      <c r="A261" s="114">
        <v>46083</v>
      </c>
      <c r="B261" s="115">
        <v>12201</v>
      </c>
      <c r="C261" s="116" t="s">
        <v>1461</v>
      </c>
      <c r="D261" s="120">
        <v>29.99</v>
      </c>
    </row>
    <row r="262" spans="1:4">
      <c r="A262" s="114">
        <v>46083</v>
      </c>
      <c r="B262" s="115">
        <v>12203</v>
      </c>
      <c r="C262" s="116" t="s">
        <v>1462</v>
      </c>
      <c r="D262" s="120">
        <v>129.99</v>
      </c>
    </row>
    <row r="263" spans="1:4">
      <c r="A263" s="114">
        <v>46083</v>
      </c>
      <c r="B263" s="115">
        <v>12204</v>
      </c>
      <c r="C263" s="116" t="s">
        <v>1463</v>
      </c>
      <c r="D263" s="120">
        <v>49.98</v>
      </c>
    </row>
    <row r="264" spans="1:4">
      <c r="A264" s="114">
        <v>46083</v>
      </c>
      <c r="B264" s="115">
        <v>12205</v>
      </c>
      <c r="C264" s="116" t="s">
        <v>1464</v>
      </c>
      <c r="D264" s="120">
        <v>19.98</v>
      </c>
    </row>
    <row r="265" spans="1:4">
      <c r="A265" s="114">
        <v>46083</v>
      </c>
      <c r="B265" s="115">
        <v>12206</v>
      </c>
      <c r="C265" s="116" t="s">
        <v>1465</v>
      </c>
      <c r="D265" s="120">
        <v>9.99</v>
      </c>
    </row>
    <row r="266" spans="1:4">
      <c r="A266" s="114">
        <v>46083</v>
      </c>
      <c r="B266" s="115">
        <v>12207</v>
      </c>
      <c r="C266" s="116" t="s">
        <v>1466</v>
      </c>
      <c r="D266" s="120">
        <v>174</v>
      </c>
    </row>
    <row r="267" spans="1:4">
      <c r="A267" s="114">
        <v>46083</v>
      </c>
      <c r="B267" s="115">
        <v>12208</v>
      </c>
      <c r="C267" s="116" t="s">
        <v>1340</v>
      </c>
      <c r="D267" s="120">
        <v>12005</v>
      </c>
    </row>
    <row r="268" spans="1:4">
      <c r="A268" s="114">
        <v>46083</v>
      </c>
      <c r="B268" s="115">
        <v>12209</v>
      </c>
      <c r="C268" s="116" t="s">
        <v>1414</v>
      </c>
      <c r="D268" s="120">
        <v>14.6</v>
      </c>
    </row>
    <row r="269" spans="1:4">
      <c r="A269" s="114">
        <v>46083</v>
      </c>
      <c r="B269" s="115">
        <v>12210</v>
      </c>
      <c r="C269" s="116" t="s">
        <v>1307</v>
      </c>
      <c r="D269" s="120">
        <v>102</v>
      </c>
    </row>
    <row r="270" spans="1:4">
      <c r="A270" s="114">
        <v>46083</v>
      </c>
      <c r="B270" s="115">
        <v>12211</v>
      </c>
      <c r="C270" s="116" t="s">
        <v>1339</v>
      </c>
      <c r="D270" s="120">
        <v>41.65</v>
      </c>
    </row>
    <row r="271" spans="1:4">
      <c r="A271" s="114">
        <v>46083</v>
      </c>
      <c r="B271" s="115">
        <v>12212</v>
      </c>
      <c r="C271" s="116" t="s">
        <v>1339</v>
      </c>
      <c r="D271" s="120">
        <v>222</v>
      </c>
    </row>
    <row r="272" spans="1:4">
      <c r="A272" s="114">
        <v>46083</v>
      </c>
      <c r="B272" s="115">
        <v>12213</v>
      </c>
      <c r="C272" s="116" t="s">
        <v>1339</v>
      </c>
      <c r="D272" s="120">
        <v>57.15</v>
      </c>
    </row>
    <row r="273" spans="1:4">
      <c r="A273" s="114">
        <v>46083</v>
      </c>
      <c r="B273" s="115">
        <v>12214</v>
      </c>
      <c r="C273" s="116" t="s">
        <v>1467</v>
      </c>
      <c r="D273" s="120">
        <v>1890</v>
      </c>
    </row>
    <row r="274" spans="1:4">
      <c r="A274" s="114">
        <v>46084</v>
      </c>
      <c r="B274" s="115">
        <v>12215</v>
      </c>
      <c r="C274" s="116" t="s">
        <v>382</v>
      </c>
      <c r="D274" s="120">
        <v>2888</v>
      </c>
    </row>
    <row r="275" spans="1:4">
      <c r="A275" s="114">
        <v>46084</v>
      </c>
      <c r="B275" s="115">
        <v>12216</v>
      </c>
      <c r="C275" s="116" t="s">
        <v>1468</v>
      </c>
      <c r="D275" s="120">
        <v>21.99</v>
      </c>
    </row>
    <row r="276" spans="1:4">
      <c r="A276" s="114">
        <v>46084</v>
      </c>
      <c r="B276" s="115">
        <v>12217</v>
      </c>
      <c r="C276" s="116" t="s">
        <v>1469</v>
      </c>
      <c r="D276" s="120">
        <v>19.989999999999998</v>
      </c>
    </row>
    <row r="277" spans="1:4">
      <c r="A277" s="114">
        <v>46084</v>
      </c>
      <c r="B277" s="115">
        <v>12218</v>
      </c>
      <c r="C277" s="116" t="s">
        <v>1463</v>
      </c>
      <c r="D277" s="120">
        <v>74.97</v>
      </c>
    </row>
    <row r="278" spans="1:4">
      <c r="A278" s="114">
        <v>46084</v>
      </c>
      <c r="B278" s="115">
        <v>12219</v>
      </c>
      <c r="C278" s="116" t="s">
        <v>375</v>
      </c>
      <c r="D278" s="120">
        <v>2353</v>
      </c>
    </row>
    <row r="279" spans="1:4">
      <c r="A279" s="114">
        <v>46084</v>
      </c>
      <c r="B279" s="115">
        <v>12220</v>
      </c>
      <c r="C279" s="116" t="s">
        <v>1334</v>
      </c>
      <c r="D279" s="120">
        <v>1075.5999999999999</v>
      </c>
    </row>
    <row r="280" spans="1:4">
      <c r="A280" s="114">
        <v>46085</v>
      </c>
      <c r="B280" s="115">
        <v>12221</v>
      </c>
      <c r="C280" s="116" t="s">
        <v>1470</v>
      </c>
      <c r="D280" s="120">
        <v>450</v>
      </c>
    </row>
    <row r="281" spans="1:4">
      <c r="A281" s="114">
        <v>46085</v>
      </c>
      <c r="B281" s="115">
        <v>12222</v>
      </c>
      <c r="C281" s="116" t="s">
        <v>1471</v>
      </c>
      <c r="D281" s="120">
        <v>1360</v>
      </c>
    </row>
    <row r="282" spans="1:4">
      <c r="A282" s="114">
        <v>46085</v>
      </c>
      <c r="B282" s="115">
        <v>12223</v>
      </c>
      <c r="C282" s="116" t="s">
        <v>1472</v>
      </c>
      <c r="D282" s="120">
        <v>139.99</v>
      </c>
    </row>
    <row r="283" spans="1:4">
      <c r="A283" s="114">
        <v>46085</v>
      </c>
      <c r="B283" s="115">
        <v>12225</v>
      </c>
      <c r="C283" s="116" t="s">
        <v>1473</v>
      </c>
      <c r="D283" s="120">
        <v>25.8</v>
      </c>
    </row>
    <row r="284" spans="1:4">
      <c r="A284" s="114">
        <v>46085</v>
      </c>
      <c r="B284" s="115">
        <v>12226</v>
      </c>
      <c r="C284" s="116" t="s">
        <v>1471</v>
      </c>
      <c r="D284" s="120">
        <v>680</v>
      </c>
    </row>
    <row r="285" spans="1:4">
      <c r="A285" s="114">
        <v>46085</v>
      </c>
      <c r="B285" s="115">
        <v>12227</v>
      </c>
      <c r="C285" s="116" t="s">
        <v>1373</v>
      </c>
      <c r="D285" s="120">
        <v>3053</v>
      </c>
    </row>
    <row r="286" spans="1:4">
      <c r="A286" s="114">
        <v>46085</v>
      </c>
      <c r="B286" s="115">
        <v>12228</v>
      </c>
      <c r="C286" s="116" t="s">
        <v>1328</v>
      </c>
      <c r="D286" s="120">
        <v>206</v>
      </c>
    </row>
    <row r="287" spans="1:4">
      <c r="A287" s="114">
        <v>46085</v>
      </c>
      <c r="B287" s="115">
        <v>12229</v>
      </c>
      <c r="C287" s="116" t="s">
        <v>388</v>
      </c>
      <c r="D287" s="120">
        <v>155.5</v>
      </c>
    </row>
    <row r="288" spans="1:4">
      <c r="A288" s="114">
        <v>46085</v>
      </c>
      <c r="B288" s="115">
        <v>12231</v>
      </c>
      <c r="C288" s="116" t="s">
        <v>374</v>
      </c>
      <c r="D288" s="120">
        <v>7285.8</v>
      </c>
    </row>
    <row r="289" spans="1:4">
      <c r="A289" s="114">
        <v>46085</v>
      </c>
      <c r="B289" s="115">
        <v>12233</v>
      </c>
      <c r="C289" s="116" t="s">
        <v>1474</v>
      </c>
      <c r="D289" s="120">
        <v>29.98</v>
      </c>
    </row>
    <row r="290" spans="1:4">
      <c r="A290" s="114">
        <v>46085</v>
      </c>
      <c r="B290" s="115">
        <v>12234</v>
      </c>
      <c r="C290" s="116" t="s">
        <v>1306</v>
      </c>
      <c r="D290" s="120">
        <v>325</v>
      </c>
    </row>
    <row r="291" spans="1:4">
      <c r="A291" s="114">
        <v>46086</v>
      </c>
      <c r="B291" s="115">
        <v>12235</v>
      </c>
      <c r="C291" s="116" t="s">
        <v>1301</v>
      </c>
      <c r="D291" s="120">
        <v>2220</v>
      </c>
    </row>
    <row r="292" spans="1:4">
      <c r="A292" s="114">
        <v>46086</v>
      </c>
      <c r="B292" s="115">
        <v>12236</v>
      </c>
      <c r="C292" s="116" t="s">
        <v>1475</v>
      </c>
      <c r="D292" s="120">
        <v>22.99</v>
      </c>
    </row>
    <row r="293" spans="1:4">
      <c r="A293" s="114">
        <v>46086</v>
      </c>
      <c r="B293" s="115">
        <v>12237</v>
      </c>
      <c r="C293" s="116" t="s">
        <v>1476</v>
      </c>
      <c r="D293" s="120">
        <v>39.99</v>
      </c>
    </row>
    <row r="294" spans="1:4">
      <c r="A294" s="114">
        <v>46086</v>
      </c>
      <c r="B294" s="115">
        <v>12238</v>
      </c>
      <c r="C294" s="116" t="s">
        <v>1477</v>
      </c>
      <c r="D294" s="120">
        <v>21.99</v>
      </c>
    </row>
    <row r="295" spans="1:4">
      <c r="A295" s="114">
        <v>46086</v>
      </c>
      <c r="B295" s="115">
        <v>12239</v>
      </c>
      <c r="C295" s="116" t="s">
        <v>1478</v>
      </c>
      <c r="D295" s="120">
        <v>34.99</v>
      </c>
    </row>
    <row r="296" spans="1:4">
      <c r="A296" s="114">
        <v>46086</v>
      </c>
      <c r="B296" s="115">
        <v>12240</v>
      </c>
      <c r="C296" s="116" t="s">
        <v>1479</v>
      </c>
      <c r="D296" s="120">
        <v>19.989999999999998</v>
      </c>
    </row>
    <row r="297" spans="1:4">
      <c r="A297" s="114">
        <v>46086</v>
      </c>
      <c r="B297" s="115">
        <v>12241</v>
      </c>
      <c r="C297" s="116" t="s">
        <v>1480</v>
      </c>
      <c r="D297" s="120">
        <v>29.97</v>
      </c>
    </row>
    <row r="298" spans="1:4">
      <c r="A298" s="114">
        <v>46086</v>
      </c>
      <c r="B298" s="115">
        <v>12242</v>
      </c>
      <c r="C298" s="116" t="s">
        <v>1373</v>
      </c>
      <c r="D298" s="120">
        <v>438.9</v>
      </c>
    </row>
    <row r="299" spans="1:4">
      <c r="A299" s="114">
        <v>46086</v>
      </c>
      <c r="B299" s="115">
        <v>12243</v>
      </c>
      <c r="C299" s="116" t="s">
        <v>1481</v>
      </c>
      <c r="D299" s="120">
        <v>285</v>
      </c>
    </row>
    <row r="300" spans="1:4">
      <c r="A300" s="114">
        <v>46086</v>
      </c>
      <c r="B300" s="115">
        <v>12244</v>
      </c>
      <c r="C300" s="116" t="s">
        <v>391</v>
      </c>
      <c r="D300" s="120">
        <v>305</v>
      </c>
    </row>
    <row r="301" spans="1:4">
      <c r="A301" s="114">
        <v>46086</v>
      </c>
      <c r="B301" s="115">
        <v>12245</v>
      </c>
      <c r="C301" s="116" t="s">
        <v>1370</v>
      </c>
      <c r="D301" s="120">
        <v>156</v>
      </c>
    </row>
    <row r="302" spans="1:4">
      <c r="A302" s="114">
        <v>46086</v>
      </c>
      <c r="B302" s="115">
        <v>12246</v>
      </c>
      <c r="C302" s="116" t="s">
        <v>1482</v>
      </c>
      <c r="D302" s="120">
        <v>34.979999999999997</v>
      </c>
    </row>
    <row r="303" spans="1:4">
      <c r="A303" s="114">
        <v>46086</v>
      </c>
      <c r="B303" s="115">
        <v>12247</v>
      </c>
      <c r="C303" s="116" t="s">
        <v>1483</v>
      </c>
      <c r="D303" s="120">
        <v>545</v>
      </c>
    </row>
    <row r="304" spans="1:4">
      <c r="A304" s="114">
        <v>46086</v>
      </c>
      <c r="B304" s="115">
        <v>12248</v>
      </c>
      <c r="C304" s="116" t="s">
        <v>389</v>
      </c>
      <c r="D304" s="120">
        <v>1286.25</v>
      </c>
    </row>
    <row r="305" spans="1:4">
      <c r="A305" s="114">
        <v>46086</v>
      </c>
      <c r="B305" s="115">
        <v>12249</v>
      </c>
      <c r="C305" s="116" t="s">
        <v>1331</v>
      </c>
      <c r="D305" s="120">
        <v>45</v>
      </c>
    </row>
    <row r="306" spans="1:4">
      <c r="A306" s="114">
        <v>46086</v>
      </c>
      <c r="B306" s="115">
        <v>12250</v>
      </c>
      <c r="C306" s="116" t="s">
        <v>1309</v>
      </c>
      <c r="D306" s="120">
        <v>1081</v>
      </c>
    </row>
    <row r="307" spans="1:4">
      <c r="A307" s="114">
        <v>46087</v>
      </c>
      <c r="B307" s="115">
        <v>12251</v>
      </c>
      <c r="C307" s="116" t="s">
        <v>1305</v>
      </c>
      <c r="D307" s="120">
        <v>1350.32</v>
      </c>
    </row>
    <row r="308" spans="1:4">
      <c r="A308" s="114">
        <v>46087</v>
      </c>
      <c r="B308" s="115">
        <v>12252</v>
      </c>
      <c r="C308" s="116" t="s">
        <v>1434</v>
      </c>
      <c r="D308" s="120">
        <v>114</v>
      </c>
    </row>
    <row r="309" spans="1:4">
      <c r="A309" s="114">
        <v>46087</v>
      </c>
      <c r="B309" s="115">
        <v>12253</v>
      </c>
      <c r="C309" s="116" t="s">
        <v>1484</v>
      </c>
      <c r="D309" s="120">
        <v>19.989999999999998</v>
      </c>
    </row>
    <row r="310" spans="1:4">
      <c r="A310" s="114">
        <v>46087</v>
      </c>
      <c r="B310" s="115">
        <v>12254</v>
      </c>
      <c r="C310" s="116" t="s">
        <v>1485</v>
      </c>
      <c r="D310" s="120">
        <v>29.99</v>
      </c>
    </row>
    <row r="311" spans="1:4">
      <c r="A311" s="114">
        <v>46087</v>
      </c>
      <c r="B311" s="115">
        <v>12255</v>
      </c>
      <c r="C311" s="116" t="s">
        <v>1486</v>
      </c>
      <c r="D311" s="120">
        <v>49.99</v>
      </c>
    </row>
    <row r="312" spans="1:4">
      <c r="A312" s="114">
        <v>46087</v>
      </c>
      <c r="B312" s="115">
        <v>12256</v>
      </c>
      <c r="C312" s="116" t="s">
        <v>1487</v>
      </c>
      <c r="D312" s="120">
        <v>34.99</v>
      </c>
    </row>
    <row r="313" spans="1:4">
      <c r="A313" s="114">
        <v>46087</v>
      </c>
      <c r="B313" s="115">
        <v>12257</v>
      </c>
      <c r="C313" s="116" t="s">
        <v>1488</v>
      </c>
      <c r="D313" s="120">
        <v>179.99</v>
      </c>
    </row>
    <row r="314" spans="1:4">
      <c r="A314" s="114">
        <v>46087</v>
      </c>
      <c r="B314" s="115">
        <v>12258</v>
      </c>
      <c r="C314" s="116" t="s">
        <v>1489</v>
      </c>
      <c r="D314" s="120">
        <v>22.99</v>
      </c>
    </row>
    <row r="315" spans="1:4">
      <c r="A315" s="114">
        <v>46087</v>
      </c>
      <c r="B315" s="115">
        <v>12259</v>
      </c>
      <c r="C315" s="116" t="s">
        <v>1490</v>
      </c>
      <c r="D315" s="120">
        <v>14.99</v>
      </c>
    </row>
    <row r="316" spans="1:4">
      <c r="A316" s="114">
        <v>46087</v>
      </c>
      <c r="B316" s="115">
        <v>12260</v>
      </c>
      <c r="C316" s="116" t="s">
        <v>1491</v>
      </c>
      <c r="D316" s="120">
        <v>19.989999999999998</v>
      </c>
    </row>
    <row r="317" spans="1:4">
      <c r="A317" s="114">
        <v>46087</v>
      </c>
      <c r="B317" s="115">
        <v>12261</v>
      </c>
      <c r="C317" s="116" t="s">
        <v>1492</v>
      </c>
      <c r="D317" s="120">
        <v>34.53</v>
      </c>
    </row>
    <row r="318" spans="1:4">
      <c r="A318" s="114">
        <v>46087</v>
      </c>
      <c r="B318" s="115">
        <v>12262</v>
      </c>
      <c r="C318" s="116" t="s">
        <v>380</v>
      </c>
      <c r="D318" s="120">
        <v>2710</v>
      </c>
    </row>
    <row r="319" spans="1:4">
      <c r="A319" s="114">
        <v>46090</v>
      </c>
      <c r="B319" s="115">
        <v>12263</v>
      </c>
      <c r="C319" s="116" t="s">
        <v>1493</v>
      </c>
      <c r="D319" s="120">
        <v>14.99</v>
      </c>
    </row>
    <row r="320" spans="1:4">
      <c r="A320" s="114">
        <v>46090</v>
      </c>
      <c r="B320" s="115">
        <v>12264</v>
      </c>
      <c r="C320" s="116" t="s">
        <v>1494</v>
      </c>
      <c r="D320" s="120">
        <v>21.99</v>
      </c>
    </row>
    <row r="321" spans="1:4">
      <c r="A321" s="114">
        <v>46090</v>
      </c>
      <c r="B321" s="115">
        <v>12265</v>
      </c>
      <c r="C321" s="116" t="s">
        <v>1333</v>
      </c>
      <c r="D321" s="120">
        <v>4643</v>
      </c>
    </row>
    <row r="322" spans="1:4">
      <c r="A322" s="114">
        <v>46090</v>
      </c>
      <c r="B322" s="115">
        <v>12266</v>
      </c>
      <c r="C322" s="116" t="s">
        <v>1307</v>
      </c>
      <c r="D322" s="120">
        <v>267.5</v>
      </c>
    </row>
    <row r="323" spans="1:4">
      <c r="A323" s="114">
        <v>46090</v>
      </c>
      <c r="B323" s="115">
        <v>12267</v>
      </c>
      <c r="C323" s="116" t="s">
        <v>1394</v>
      </c>
      <c r="D323" s="120">
        <v>584</v>
      </c>
    </row>
    <row r="324" spans="1:4">
      <c r="A324" s="114">
        <v>46090</v>
      </c>
      <c r="B324" s="115">
        <v>12268</v>
      </c>
      <c r="C324" s="116" t="s">
        <v>1495</v>
      </c>
      <c r="D324" s="120">
        <v>505.75</v>
      </c>
    </row>
    <row r="325" spans="1:4">
      <c r="A325" s="114">
        <v>46090</v>
      </c>
      <c r="B325" s="115">
        <v>12269</v>
      </c>
      <c r="C325" s="116" t="s">
        <v>1327</v>
      </c>
      <c r="D325" s="120">
        <v>70</v>
      </c>
    </row>
    <row r="326" spans="1:4">
      <c r="A326" s="114">
        <v>46091</v>
      </c>
      <c r="B326" s="115">
        <v>12270</v>
      </c>
      <c r="C326" s="116" t="s">
        <v>1496</v>
      </c>
      <c r="D326" s="120">
        <v>1594</v>
      </c>
    </row>
    <row r="327" spans="1:4">
      <c r="A327" s="114">
        <v>46091</v>
      </c>
      <c r="B327" s="115">
        <v>12271</v>
      </c>
      <c r="C327" s="116" t="s">
        <v>1497</v>
      </c>
      <c r="D327" s="120">
        <v>14.99</v>
      </c>
    </row>
    <row r="328" spans="1:4">
      <c r="A328" s="114">
        <v>46091</v>
      </c>
      <c r="B328" s="115">
        <v>12272</v>
      </c>
      <c r="C328" s="116" t="s">
        <v>1498</v>
      </c>
      <c r="D328" s="120">
        <v>14.99</v>
      </c>
    </row>
    <row r="329" spans="1:4">
      <c r="A329" s="114">
        <v>46091</v>
      </c>
      <c r="B329" s="115">
        <v>12273</v>
      </c>
      <c r="C329" s="116" t="s">
        <v>1499</v>
      </c>
      <c r="D329" s="120">
        <v>33.979999999999997</v>
      </c>
    </row>
    <row r="330" spans="1:4">
      <c r="A330" s="114">
        <v>46091</v>
      </c>
      <c r="B330" s="115">
        <v>12274</v>
      </c>
      <c r="C330" s="116" t="s">
        <v>1500</v>
      </c>
      <c r="D330" s="120">
        <v>21.98</v>
      </c>
    </row>
    <row r="331" spans="1:4">
      <c r="A331" s="114">
        <v>46092</v>
      </c>
      <c r="B331" s="115">
        <v>12275</v>
      </c>
      <c r="C331" s="116" t="s">
        <v>1501</v>
      </c>
      <c r="D331" s="120">
        <v>923</v>
      </c>
    </row>
    <row r="332" spans="1:4">
      <c r="A332" s="114">
        <v>46092</v>
      </c>
      <c r="B332" s="115">
        <v>12276</v>
      </c>
      <c r="C332" s="116" t="s">
        <v>1502</v>
      </c>
      <c r="D332" s="120">
        <v>34.99</v>
      </c>
    </row>
    <row r="333" spans="1:4">
      <c r="A333" s="114">
        <v>46092</v>
      </c>
      <c r="B333" s="115">
        <v>12277</v>
      </c>
      <c r="C333" s="116" t="s">
        <v>1503</v>
      </c>
      <c r="D333" s="120">
        <v>16.989999999999998</v>
      </c>
    </row>
    <row r="334" spans="1:4">
      <c r="A334" s="114">
        <v>46092</v>
      </c>
      <c r="B334" s="115">
        <v>12278</v>
      </c>
      <c r="C334" s="116" t="s">
        <v>1418</v>
      </c>
      <c r="D334" s="120">
        <v>59.98</v>
      </c>
    </row>
    <row r="335" spans="1:4">
      <c r="A335" s="114">
        <v>46092</v>
      </c>
      <c r="B335" s="115">
        <v>12279</v>
      </c>
      <c r="C335" s="116" t="s">
        <v>1504</v>
      </c>
      <c r="D335" s="120">
        <v>21.99</v>
      </c>
    </row>
    <row r="336" spans="1:4">
      <c r="A336" s="114">
        <v>46092</v>
      </c>
      <c r="B336" s="115">
        <v>12280</v>
      </c>
      <c r="C336" s="116" t="s">
        <v>1505</v>
      </c>
      <c r="D336" s="120">
        <v>21.99</v>
      </c>
    </row>
    <row r="337" spans="1:4">
      <c r="A337" s="114">
        <v>46092</v>
      </c>
      <c r="B337" s="115">
        <v>12281</v>
      </c>
      <c r="C337" s="116" t="s">
        <v>1506</v>
      </c>
      <c r="D337" s="120">
        <v>19.989999999999998</v>
      </c>
    </row>
    <row r="338" spans="1:4">
      <c r="A338" s="114">
        <v>46092</v>
      </c>
      <c r="B338" s="115">
        <v>12282</v>
      </c>
      <c r="C338" s="116" t="s">
        <v>1507</v>
      </c>
      <c r="D338" s="120">
        <v>19.989999999999998</v>
      </c>
    </row>
    <row r="339" spans="1:4">
      <c r="A339" s="114">
        <v>46092</v>
      </c>
      <c r="B339" s="115">
        <v>12283</v>
      </c>
      <c r="C339" s="116" t="s">
        <v>374</v>
      </c>
      <c r="D339" s="120">
        <v>425</v>
      </c>
    </row>
    <row r="340" spans="1:4">
      <c r="A340" s="114">
        <v>46092</v>
      </c>
      <c r="B340" s="115">
        <v>12284</v>
      </c>
      <c r="C340" s="116" t="s">
        <v>1298</v>
      </c>
      <c r="D340" s="120">
        <v>680</v>
      </c>
    </row>
    <row r="341" spans="1:4">
      <c r="A341" s="114">
        <v>46092</v>
      </c>
      <c r="B341" s="115">
        <v>12285</v>
      </c>
      <c r="C341" s="116" t="s">
        <v>1466</v>
      </c>
      <c r="D341" s="120">
        <v>677.5</v>
      </c>
    </row>
    <row r="342" spans="1:4">
      <c r="A342" s="114">
        <v>46092</v>
      </c>
      <c r="B342" s="115">
        <v>12286</v>
      </c>
      <c r="C342" s="116" t="s">
        <v>374</v>
      </c>
      <c r="D342" s="120">
        <v>260</v>
      </c>
    </row>
    <row r="343" spans="1:4">
      <c r="A343" s="114">
        <v>46092</v>
      </c>
      <c r="B343" s="115">
        <v>12287</v>
      </c>
      <c r="C343" s="116" t="s">
        <v>1508</v>
      </c>
      <c r="D343" s="120">
        <v>1059.6600000000001</v>
      </c>
    </row>
    <row r="344" spans="1:4">
      <c r="A344" s="114">
        <v>46092</v>
      </c>
      <c r="B344" s="115">
        <v>12288</v>
      </c>
      <c r="C344" s="116" t="s">
        <v>1509</v>
      </c>
      <c r="D344" s="120">
        <v>240.5</v>
      </c>
    </row>
    <row r="345" spans="1:4">
      <c r="A345" s="114">
        <v>46092</v>
      </c>
      <c r="B345" s="115">
        <v>12289</v>
      </c>
      <c r="C345" s="116" t="s">
        <v>1355</v>
      </c>
      <c r="D345" s="120">
        <v>5323.3</v>
      </c>
    </row>
    <row r="346" spans="1:4">
      <c r="A346" s="114">
        <v>46093</v>
      </c>
      <c r="B346" s="115">
        <v>12290</v>
      </c>
      <c r="C346" s="116" t="s">
        <v>377</v>
      </c>
      <c r="D346" s="120">
        <v>240</v>
      </c>
    </row>
    <row r="347" spans="1:4">
      <c r="A347" s="114">
        <v>46093</v>
      </c>
      <c r="B347" s="115">
        <v>12291</v>
      </c>
      <c r="C347" s="116" t="s">
        <v>1418</v>
      </c>
      <c r="D347" s="120">
        <v>29.99</v>
      </c>
    </row>
    <row r="348" spans="1:4">
      <c r="A348" s="114">
        <v>46093</v>
      </c>
      <c r="B348" s="115">
        <v>12292</v>
      </c>
      <c r="C348" s="116" t="s">
        <v>1510</v>
      </c>
      <c r="D348" s="120">
        <v>44.99</v>
      </c>
    </row>
    <row r="349" spans="1:4">
      <c r="A349" s="114">
        <v>46093</v>
      </c>
      <c r="B349" s="115">
        <v>12293</v>
      </c>
      <c r="C349" s="116" t="s">
        <v>1511</v>
      </c>
      <c r="D349" s="120">
        <v>25.99</v>
      </c>
    </row>
    <row r="350" spans="1:4">
      <c r="A350" s="114">
        <v>46093</v>
      </c>
      <c r="B350" s="115">
        <v>12294</v>
      </c>
      <c r="C350" s="116" t="s">
        <v>1512</v>
      </c>
      <c r="D350" s="120">
        <v>19.989999999999998</v>
      </c>
    </row>
    <row r="351" spans="1:4">
      <c r="A351" s="114">
        <v>46093</v>
      </c>
      <c r="B351" s="115">
        <v>12295</v>
      </c>
      <c r="C351" s="116" t="s">
        <v>1513</v>
      </c>
      <c r="D351" s="120">
        <v>34.99</v>
      </c>
    </row>
    <row r="352" spans="1:4">
      <c r="A352" s="114">
        <v>46093</v>
      </c>
      <c r="B352" s="115">
        <v>12296</v>
      </c>
      <c r="C352" s="116" t="s">
        <v>1514</v>
      </c>
      <c r="D352" s="120">
        <v>29.99</v>
      </c>
    </row>
    <row r="353" spans="1:4">
      <c r="A353" s="114">
        <v>46093</v>
      </c>
      <c r="B353" s="115">
        <v>12297</v>
      </c>
      <c r="C353" s="116" t="s">
        <v>1515</v>
      </c>
      <c r="D353" s="120">
        <v>10.99</v>
      </c>
    </row>
    <row r="354" spans="1:4">
      <c r="A354" s="114">
        <v>46093</v>
      </c>
      <c r="B354" s="115">
        <v>12298</v>
      </c>
      <c r="C354" s="116" t="s">
        <v>1516</v>
      </c>
      <c r="D354" s="120">
        <v>139.99</v>
      </c>
    </row>
    <row r="355" spans="1:4">
      <c r="A355" s="114">
        <v>46093</v>
      </c>
      <c r="B355" s="115">
        <v>12299</v>
      </c>
      <c r="C355" s="116" t="s">
        <v>1433</v>
      </c>
      <c r="D355" s="120">
        <v>2976</v>
      </c>
    </row>
    <row r="356" spans="1:4">
      <c r="A356" s="114">
        <v>46093</v>
      </c>
      <c r="B356" s="115">
        <v>12300</v>
      </c>
      <c r="C356" s="116" t="s">
        <v>1307</v>
      </c>
      <c r="D356" s="120">
        <v>628.24</v>
      </c>
    </row>
    <row r="357" spans="1:4">
      <c r="A357" s="114">
        <v>46093</v>
      </c>
      <c r="B357" s="115">
        <v>12301</v>
      </c>
      <c r="C357" s="116" t="s">
        <v>1305</v>
      </c>
      <c r="D357" s="120">
        <v>1389.5</v>
      </c>
    </row>
    <row r="358" spans="1:4">
      <c r="A358" s="114">
        <v>46093</v>
      </c>
      <c r="B358" s="115">
        <v>12302</v>
      </c>
      <c r="C358" s="116" t="s">
        <v>1330</v>
      </c>
      <c r="D358" s="120">
        <v>397.3</v>
      </c>
    </row>
    <row r="359" spans="1:4">
      <c r="A359" s="114">
        <v>46093</v>
      </c>
      <c r="B359" s="115">
        <v>12303</v>
      </c>
      <c r="C359" s="116" t="s">
        <v>388</v>
      </c>
      <c r="D359" s="120">
        <v>115.4</v>
      </c>
    </row>
    <row r="360" spans="1:4">
      <c r="A360" s="114">
        <v>46093</v>
      </c>
      <c r="B360" s="115">
        <v>12304</v>
      </c>
      <c r="C360" s="116" t="s">
        <v>388</v>
      </c>
      <c r="D360" s="120">
        <v>48.38</v>
      </c>
    </row>
    <row r="361" spans="1:4">
      <c r="A361" s="114">
        <v>46094</v>
      </c>
      <c r="B361" s="115">
        <v>12305</v>
      </c>
      <c r="C361" s="116" t="s">
        <v>1331</v>
      </c>
      <c r="D361" s="120">
        <v>942.25</v>
      </c>
    </row>
    <row r="362" spans="1:4">
      <c r="A362" s="114">
        <v>46094</v>
      </c>
      <c r="B362" s="115">
        <v>12306</v>
      </c>
      <c r="C362" s="116" t="s">
        <v>1445</v>
      </c>
      <c r="D362" s="120">
        <v>385.04</v>
      </c>
    </row>
    <row r="363" spans="1:4">
      <c r="A363" s="114">
        <v>46094</v>
      </c>
      <c r="B363" s="115">
        <v>12307</v>
      </c>
      <c r="C363" s="116" t="s">
        <v>1517</v>
      </c>
      <c r="D363" s="120">
        <v>9.99</v>
      </c>
    </row>
    <row r="364" spans="1:4">
      <c r="A364" s="114">
        <v>46094</v>
      </c>
      <c r="B364" s="115">
        <v>12308</v>
      </c>
      <c r="C364" s="116" t="s">
        <v>1518</v>
      </c>
      <c r="D364" s="120">
        <v>19.989999999999998</v>
      </c>
    </row>
    <row r="365" spans="1:4">
      <c r="A365" s="114">
        <v>46094</v>
      </c>
      <c r="B365" s="115">
        <v>12309</v>
      </c>
      <c r="C365" s="116" t="s">
        <v>1519</v>
      </c>
      <c r="D365" s="120">
        <v>24.99</v>
      </c>
    </row>
    <row r="366" spans="1:4">
      <c r="A366" s="114">
        <v>46094</v>
      </c>
      <c r="B366" s="115">
        <v>12311</v>
      </c>
      <c r="C366" s="116" t="s">
        <v>1520</v>
      </c>
      <c r="D366" s="120">
        <v>29.98</v>
      </c>
    </row>
    <row r="367" spans="1:4">
      <c r="A367" s="114">
        <v>46094</v>
      </c>
      <c r="B367" s="115">
        <v>12312</v>
      </c>
      <c r="C367" s="116" t="s">
        <v>1521</v>
      </c>
      <c r="D367" s="120">
        <v>12.99</v>
      </c>
    </row>
    <row r="368" spans="1:4">
      <c r="A368" s="114">
        <v>46094</v>
      </c>
      <c r="B368" s="115">
        <v>12313</v>
      </c>
      <c r="C368" s="116" t="s">
        <v>375</v>
      </c>
      <c r="D368" s="120">
        <v>952</v>
      </c>
    </row>
    <row r="369" spans="1:4">
      <c r="A369" s="114">
        <v>46094</v>
      </c>
      <c r="B369" s="115">
        <v>12314</v>
      </c>
      <c r="C369" s="116" t="s">
        <v>1364</v>
      </c>
      <c r="D369" s="120">
        <v>1670</v>
      </c>
    </row>
    <row r="370" spans="1:4">
      <c r="A370" s="114">
        <v>46094</v>
      </c>
      <c r="B370" s="115">
        <v>12315</v>
      </c>
      <c r="C370" s="116" t="s">
        <v>1427</v>
      </c>
      <c r="D370" s="120">
        <v>1348.5</v>
      </c>
    </row>
    <row r="371" spans="1:4">
      <c r="A371" s="114">
        <v>46094</v>
      </c>
      <c r="B371" s="115">
        <v>12316</v>
      </c>
      <c r="C371" s="116" t="s">
        <v>378</v>
      </c>
      <c r="D371" s="120">
        <v>1879.29</v>
      </c>
    </row>
    <row r="372" spans="1:4">
      <c r="A372" s="114">
        <v>46094</v>
      </c>
      <c r="B372" s="115">
        <v>12317</v>
      </c>
      <c r="C372" s="116" t="s">
        <v>1377</v>
      </c>
      <c r="D372" s="120">
        <v>399.2</v>
      </c>
    </row>
    <row r="373" spans="1:4">
      <c r="A373" s="114">
        <v>46094</v>
      </c>
      <c r="B373" s="115">
        <v>12318</v>
      </c>
      <c r="C373" s="116" t="s">
        <v>377</v>
      </c>
      <c r="D373" s="120">
        <v>750</v>
      </c>
    </row>
    <row r="374" spans="1:4">
      <c r="A374" s="114">
        <v>46097</v>
      </c>
      <c r="B374" s="115">
        <v>12319</v>
      </c>
      <c r="C374" s="116" t="s">
        <v>1436</v>
      </c>
      <c r="D374" s="120">
        <v>7700</v>
      </c>
    </row>
    <row r="375" spans="1:4">
      <c r="A375" s="114">
        <v>46097</v>
      </c>
      <c r="B375" s="115">
        <v>12320</v>
      </c>
      <c r="C375" s="116" t="s">
        <v>1298</v>
      </c>
      <c r="D375" s="120">
        <v>1033.7</v>
      </c>
    </row>
    <row r="376" spans="1:4">
      <c r="A376" s="114">
        <v>46097</v>
      </c>
      <c r="B376" s="115">
        <v>12321</v>
      </c>
      <c r="C376" s="116" t="s">
        <v>1522</v>
      </c>
      <c r="D376" s="120">
        <v>74.95</v>
      </c>
    </row>
    <row r="377" spans="1:4">
      <c r="A377" s="114">
        <v>46097</v>
      </c>
      <c r="B377" s="115">
        <v>12322</v>
      </c>
      <c r="C377" s="116" t="s">
        <v>1523</v>
      </c>
      <c r="D377" s="120">
        <v>14.99</v>
      </c>
    </row>
    <row r="378" spans="1:4">
      <c r="A378" s="114">
        <v>46097</v>
      </c>
      <c r="B378" s="115">
        <v>12323</v>
      </c>
      <c r="C378" s="116" t="s">
        <v>1524</v>
      </c>
      <c r="D378" s="120">
        <v>19.98</v>
      </c>
    </row>
    <row r="379" spans="1:4">
      <c r="A379" s="114">
        <v>46097</v>
      </c>
      <c r="B379" s="115">
        <v>12324</v>
      </c>
      <c r="C379" s="116" t="s">
        <v>1525</v>
      </c>
      <c r="D379" s="120">
        <v>114.99</v>
      </c>
    </row>
    <row r="380" spans="1:4">
      <c r="A380" s="114">
        <v>46097</v>
      </c>
      <c r="B380" s="115">
        <v>12325</v>
      </c>
      <c r="C380" s="116" t="s">
        <v>1526</v>
      </c>
      <c r="D380" s="120">
        <v>259.98</v>
      </c>
    </row>
    <row r="381" spans="1:4">
      <c r="A381" s="114">
        <v>46097</v>
      </c>
      <c r="B381" s="115">
        <v>12327</v>
      </c>
      <c r="C381" s="116" t="s">
        <v>1527</v>
      </c>
      <c r="D381" s="120">
        <v>19.98</v>
      </c>
    </row>
    <row r="382" spans="1:4">
      <c r="A382" s="114">
        <v>46097</v>
      </c>
      <c r="B382" s="115">
        <v>12328</v>
      </c>
      <c r="C382" s="116" t="s">
        <v>1528</v>
      </c>
      <c r="D382" s="120">
        <v>9.99</v>
      </c>
    </row>
    <row r="383" spans="1:4">
      <c r="A383" s="114">
        <v>46097</v>
      </c>
      <c r="B383" s="115">
        <v>12329</v>
      </c>
      <c r="C383" s="116" t="s">
        <v>1529</v>
      </c>
      <c r="D383" s="120">
        <v>24.99</v>
      </c>
    </row>
    <row r="384" spans="1:4">
      <c r="A384" s="114">
        <v>46097</v>
      </c>
      <c r="B384" s="115">
        <v>12330</v>
      </c>
      <c r="C384" s="116" t="s">
        <v>1335</v>
      </c>
      <c r="D384" s="120">
        <v>1747.45</v>
      </c>
    </row>
    <row r="385" spans="1:4">
      <c r="A385" s="114">
        <v>46097</v>
      </c>
      <c r="B385" s="115">
        <v>12331</v>
      </c>
      <c r="C385" s="116" t="s">
        <v>1530</v>
      </c>
      <c r="D385" s="120">
        <v>1325</v>
      </c>
    </row>
    <row r="386" spans="1:4">
      <c r="A386" s="114">
        <v>46097</v>
      </c>
      <c r="B386" s="115">
        <v>12332</v>
      </c>
      <c r="C386" s="116" t="s">
        <v>1305</v>
      </c>
      <c r="D386" s="120">
        <v>1865.5</v>
      </c>
    </row>
    <row r="387" spans="1:4">
      <c r="A387" s="114">
        <v>46097</v>
      </c>
      <c r="B387" s="115">
        <v>12333</v>
      </c>
      <c r="C387" s="116" t="s">
        <v>1531</v>
      </c>
      <c r="D387" s="120">
        <v>1584.9</v>
      </c>
    </row>
    <row r="388" spans="1:4">
      <c r="A388" s="114">
        <v>46097</v>
      </c>
      <c r="B388" s="115">
        <v>12334</v>
      </c>
      <c r="C388" s="116" t="s">
        <v>1389</v>
      </c>
      <c r="D388" s="120">
        <v>5323.8</v>
      </c>
    </row>
    <row r="389" spans="1:4">
      <c r="A389" s="114">
        <v>46098</v>
      </c>
      <c r="B389" s="115">
        <v>12335</v>
      </c>
      <c r="C389" s="116" t="s">
        <v>1532</v>
      </c>
      <c r="D389" s="120">
        <v>9.99</v>
      </c>
    </row>
    <row r="390" spans="1:4">
      <c r="A390" s="114">
        <v>46098</v>
      </c>
      <c r="B390" s="115">
        <v>12336</v>
      </c>
      <c r="C390" s="116" t="s">
        <v>1533</v>
      </c>
      <c r="D390" s="120">
        <v>24.99</v>
      </c>
    </row>
    <row r="391" spans="1:4">
      <c r="A391" s="114">
        <v>46098</v>
      </c>
      <c r="B391" s="115">
        <v>12337</v>
      </c>
      <c r="C391" s="116" t="s">
        <v>1534</v>
      </c>
      <c r="D391" s="120">
        <v>343</v>
      </c>
    </row>
    <row r="392" spans="1:4">
      <c r="A392" s="114">
        <v>46099</v>
      </c>
      <c r="B392" s="115">
        <v>12338</v>
      </c>
      <c r="C392" s="116" t="s">
        <v>1535</v>
      </c>
      <c r="D392" s="120">
        <v>9.99</v>
      </c>
    </row>
    <row r="393" spans="1:4">
      <c r="A393" s="114">
        <v>46099</v>
      </c>
      <c r="B393" s="115">
        <v>12339</v>
      </c>
      <c r="C393" s="116" t="s">
        <v>1536</v>
      </c>
      <c r="D393" s="120">
        <v>67.959999999999994</v>
      </c>
    </row>
    <row r="394" spans="1:4">
      <c r="A394" s="114">
        <v>46099</v>
      </c>
      <c r="B394" s="115">
        <v>12340</v>
      </c>
      <c r="C394" s="116" t="s">
        <v>1537</v>
      </c>
      <c r="D394" s="120">
        <v>349.7</v>
      </c>
    </row>
    <row r="395" spans="1:4">
      <c r="A395" s="114">
        <v>46099</v>
      </c>
      <c r="B395" s="115">
        <v>12341</v>
      </c>
      <c r="C395" s="116" t="s">
        <v>1452</v>
      </c>
      <c r="D395" s="120">
        <v>2390.52</v>
      </c>
    </row>
    <row r="396" spans="1:4">
      <c r="A396" s="114">
        <v>46099</v>
      </c>
      <c r="B396" s="115">
        <v>12342</v>
      </c>
      <c r="C396" s="116" t="s">
        <v>1381</v>
      </c>
      <c r="D396" s="120">
        <v>420</v>
      </c>
    </row>
    <row r="397" spans="1:4">
      <c r="A397" s="114">
        <v>46099</v>
      </c>
      <c r="B397" s="115">
        <v>12343</v>
      </c>
      <c r="C397" s="116" t="s">
        <v>1370</v>
      </c>
      <c r="D397" s="120">
        <v>842</v>
      </c>
    </row>
    <row r="398" spans="1:4">
      <c r="A398" s="114">
        <v>46099</v>
      </c>
      <c r="B398" s="115">
        <v>12344</v>
      </c>
      <c r="C398" s="116" t="s">
        <v>1319</v>
      </c>
      <c r="D398" s="120">
        <v>738.15</v>
      </c>
    </row>
    <row r="399" spans="1:4">
      <c r="A399" s="114">
        <v>46099</v>
      </c>
      <c r="B399" s="115">
        <v>12345</v>
      </c>
      <c r="C399" s="116" t="s">
        <v>377</v>
      </c>
      <c r="D399" s="120">
        <v>260</v>
      </c>
    </row>
    <row r="400" spans="1:4">
      <c r="A400" s="114">
        <v>46100</v>
      </c>
      <c r="B400" s="115">
        <v>12346</v>
      </c>
      <c r="C400" s="116" t="s">
        <v>1538</v>
      </c>
      <c r="D400" s="120">
        <v>16.989999999999998</v>
      </c>
    </row>
    <row r="401" spans="1:4">
      <c r="A401" s="114">
        <v>46100</v>
      </c>
      <c r="B401" s="115">
        <v>12347</v>
      </c>
      <c r="C401" s="116" t="s">
        <v>1340</v>
      </c>
      <c r="D401" s="120">
        <v>1988</v>
      </c>
    </row>
    <row r="402" spans="1:4">
      <c r="A402" s="114">
        <v>46100</v>
      </c>
      <c r="B402" s="115">
        <v>12348</v>
      </c>
      <c r="C402" s="116" t="s">
        <v>1329</v>
      </c>
      <c r="D402" s="120">
        <v>3615</v>
      </c>
    </row>
    <row r="403" spans="1:4">
      <c r="A403" s="114">
        <v>46100</v>
      </c>
      <c r="B403" s="115">
        <v>12349</v>
      </c>
      <c r="C403" s="116" t="s">
        <v>1539</v>
      </c>
      <c r="D403" s="120">
        <v>39.99</v>
      </c>
    </row>
    <row r="404" spans="1:4">
      <c r="A404" s="114">
        <v>46100</v>
      </c>
      <c r="B404" s="115">
        <v>12350</v>
      </c>
      <c r="C404" s="116" t="s">
        <v>1434</v>
      </c>
      <c r="D404" s="120">
        <v>877.5</v>
      </c>
    </row>
    <row r="405" spans="1:4">
      <c r="A405" s="114">
        <v>46100</v>
      </c>
      <c r="B405" s="115">
        <v>12351</v>
      </c>
      <c r="C405" s="116" t="s">
        <v>1411</v>
      </c>
      <c r="D405" s="120">
        <v>121.9</v>
      </c>
    </row>
    <row r="406" spans="1:4">
      <c r="A406" s="114">
        <v>46101</v>
      </c>
      <c r="B406" s="115">
        <v>12352</v>
      </c>
      <c r="C406" s="116" t="s">
        <v>1495</v>
      </c>
      <c r="D406" s="120">
        <v>120.7</v>
      </c>
    </row>
    <row r="407" spans="1:4">
      <c r="A407" s="114">
        <v>46101</v>
      </c>
      <c r="B407" s="115">
        <v>12353</v>
      </c>
      <c r="C407" s="116" t="s">
        <v>388</v>
      </c>
      <c r="D407" s="120">
        <v>2246</v>
      </c>
    </row>
    <row r="408" spans="1:4">
      <c r="A408" s="114">
        <v>46101</v>
      </c>
      <c r="B408" s="115">
        <v>12354</v>
      </c>
      <c r="C408" s="116" t="s">
        <v>1540</v>
      </c>
      <c r="D408" s="120">
        <v>19.989999999999998</v>
      </c>
    </row>
    <row r="409" spans="1:4">
      <c r="A409" s="114">
        <v>46101</v>
      </c>
      <c r="B409" s="115">
        <v>12355</v>
      </c>
      <c r="C409" s="116" t="s">
        <v>390</v>
      </c>
      <c r="D409" s="120">
        <v>832</v>
      </c>
    </row>
    <row r="410" spans="1:4">
      <c r="A410" s="114">
        <v>46101</v>
      </c>
      <c r="B410" s="115">
        <v>12356</v>
      </c>
      <c r="C410" s="116" t="s">
        <v>1541</v>
      </c>
      <c r="D410" s="120">
        <v>16.95</v>
      </c>
    </row>
    <row r="411" spans="1:4">
      <c r="A411" s="114">
        <v>46101</v>
      </c>
      <c r="B411" s="115">
        <v>12357</v>
      </c>
      <c r="C411" s="116" t="s">
        <v>1313</v>
      </c>
      <c r="D411" s="120">
        <v>2408.25</v>
      </c>
    </row>
    <row r="412" spans="1:4">
      <c r="A412" s="114">
        <v>46101</v>
      </c>
      <c r="B412" s="115">
        <v>12358</v>
      </c>
      <c r="C412" s="116" t="s">
        <v>1309</v>
      </c>
      <c r="D412" s="120">
        <v>5585.5</v>
      </c>
    </row>
    <row r="413" spans="1:4">
      <c r="A413" s="114">
        <v>46101</v>
      </c>
      <c r="B413" s="115">
        <v>12359</v>
      </c>
      <c r="C413" s="116" t="s">
        <v>385</v>
      </c>
      <c r="D413" s="120">
        <v>1161</v>
      </c>
    </row>
    <row r="414" spans="1:4">
      <c r="A414" s="114">
        <v>46101</v>
      </c>
      <c r="B414" s="115">
        <v>12360</v>
      </c>
      <c r="C414" s="116" t="s">
        <v>389</v>
      </c>
      <c r="D414" s="120">
        <v>211.76</v>
      </c>
    </row>
    <row r="415" spans="1:4">
      <c r="A415" s="114">
        <v>46101</v>
      </c>
      <c r="B415" s="115">
        <v>12361</v>
      </c>
      <c r="C415" s="116" t="s">
        <v>389</v>
      </c>
      <c r="D415" s="120">
        <v>5.0999999999999996</v>
      </c>
    </row>
    <row r="416" spans="1:4">
      <c r="A416" s="114">
        <v>46101</v>
      </c>
      <c r="B416" s="115">
        <v>12362</v>
      </c>
      <c r="C416" s="116" t="s">
        <v>389</v>
      </c>
      <c r="D416" s="120">
        <v>247.6</v>
      </c>
    </row>
    <row r="417" spans="1:4">
      <c r="A417" s="114">
        <v>46101</v>
      </c>
      <c r="B417" s="115">
        <v>12363</v>
      </c>
      <c r="C417" s="116" t="s">
        <v>389</v>
      </c>
      <c r="D417" s="120">
        <v>953</v>
      </c>
    </row>
    <row r="418" spans="1:4">
      <c r="A418" s="114">
        <v>46104</v>
      </c>
      <c r="B418" s="115">
        <v>12364</v>
      </c>
      <c r="C418" s="116" t="s">
        <v>1542</v>
      </c>
      <c r="D418" s="120">
        <v>29.99</v>
      </c>
    </row>
    <row r="419" spans="1:4">
      <c r="A419" s="114">
        <v>46104</v>
      </c>
      <c r="B419" s="115">
        <v>12365</v>
      </c>
      <c r="C419" s="116" t="s">
        <v>1543</v>
      </c>
      <c r="D419" s="120">
        <v>21.99</v>
      </c>
    </row>
    <row r="420" spans="1:4">
      <c r="A420" s="114">
        <v>46104</v>
      </c>
      <c r="B420" s="115">
        <v>12366</v>
      </c>
      <c r="C420" s="116" t="s">
        <v>1544</v>
      </c>
      <c r="D420" s="120">
        <v>49.98</v>
      </c>
    </row>
    <row r="421" spans="1:4">
      <c r="A421" s="114">
        <v>46104</v>
      </c>
      <c r="B421" s="115">
        <v>12367</v>
      </c>
      <c r="C421" s="116" t="s">
        <v>388</v>
      </c>
      <c r="D421" s="120">
        <v>484</v>
      </c>
    </row>
    <row r="422" spans="1:4">
      <c r="A422" s="114">
        <v>46104</v>
      </c>
      <c r="B422" s="115">
        <v>12368</v>
      </c>
      <c r="C422" s="116" t="s">
        <v>1414</v>
      </c>
      <c r="D422" s="120">
        <v>93.5</v>
      </c>
    </row>
    <row r="423" spans="1:4">
      <c r="A423" s="114">
        <v>46105</v>
      </c>
      <c r="B423" s="115">
        <v>12369</v>
      </c>
      <c r="C423" s="116" t="s">
        <v>1303</v>
      </c>
      <c r="D423" s="120">
        <v>600</v>
      </c>
    </row>
    <row r="424" spans="1:4">
      <c r="A424" s="114">
        <v>46105</v>
      </c>
      <c r="B424" s="115">
        <v>12370</v>
      </c>
      <c r="C424" s="116" t="s">
        <v>387</v>
      </c>
      <c r="D424" s="120">
        <v>97</v>
      </c>
    </row>
    <row r="425" spans="1:4">
      <c r="A425" s="114">
        <v>46105</v>
      </c>
      <c r="B425" s="115">
        <v>12371</v>
      </c>
      <c r="C425" s="116" t="s">
        <v>1545</v>
      </c>
      <c r="D425" s="120">
        <v>34.99</v>
      </c>
    </row>
    <row r="426" spans="1:4">
      <c r="A426" s="114">
        <v>46105</v>
      </c>
      <c r="B426" s="115">
        <v>12373</v>
      </c>
      <c r="C426" s="116" t="s">
        <v>1546</v>
      </c>
      <c r="D426" s="120">
        <v>19.989999999999998</v>
      </c>
    </row>
    <row r="427" spans="1:4">
      <c r="A427" s="114">
        <v>46105</v>
      </c>
      <c r="B427" s="115">
        <v>12374</v>
      </c>
      <c r="C427" s="116" t="s">
        <v>1547</v>
      </c>
      <c r="D427" s="120">
        <v>29.98</v>
      </c>
    </row>
    <row r="428" spans="1:4">
      <c r="A428" s="114">
        <v>46105</v>
      </c>
      <c r="B428" s="115">
        <v>12375</v>
      </c>
      <c r="C428" s="116" t="s">
        <v>1548</v>
      </c>
      <c r="D428" s="120">
        <v>49.98</v>
      </c>
    </row>
    <row r="429" spans="1:4">
      <c r="A429" s="114">
        <v>46106</v>
      </c>
      <c r="B429" s="115">
        <v>12376</v>
      </c>
      <c r="C429" s="116" t="s">
        <v>1549</v>
      </c>
      <c r="D429" s="120">
        <v>13</v>
      </c>
    </row>
    <row r="430" spans="1:4">
      <c r="A430" s="114">
        <v>46106</v>
      </c>
      <c r="B430" s="115">
        <v>12377</v>
      </c>
      <c r="C430" s="116" t="s">
        <v>1550</v>
      </c>
      <c r="D430" s="120">
        <v>33.979999999999997</v>
      </c>
    </row>
    <row r="431" spans="1:4">
      <c r="A431" s="114">
        <v>46106</v>
      </c>
      <c r="B431" s="115">
        <v>12378</v>
      </c>
      <c r="C431" s="116" t="s">
        <v>1309</v>
      </c>
      <c r="D431" s="120">
        <v>830</v>
      </c>
    </row>
    <row r="432" spans="1:4">
      <c r="A432" s="114">
        <v>46106</v>
      </c>
      <c r="B432" s="115">
        <v>12379</v>
      </c>
      <c r="C432" s="116" t="s">
        <v>1551</v>
      </c>
      <c r="D432" s="120">
        <v>648</v>
      </c>
    </row>
    <row r="433" spans="1:4">
      <c r="A433" s="114">
        <v>46106</v>
      </c>
      <c r="B433" s="115">
        <v>12380</v>
      </c>
      <c r="C433" s="116" t="s">
        <v>1298</v>
      </c>
      <c r="D433" s="120">
        <v>524</v>
      </c>
    </row>
    <row r="434" spans="1:4">
      <c r="A434" s="114">
        <v>46106</v>
      </c>
      <c r="B434" s="115">
        <v>12381</v>
      </c>
      <c r="C434" s="116" t="s">
        <v>1329</v>
      </c>
      <c r="D434" s="120">
        <v>540</v>
      </c>
    </row>
    <row r="435" spans="1:4">
      <c r="A435" s="114">
        <v>46106</v>
      </c>
      <c r="B435" s="115">
        <v>12382</v>
      </c>
      <c r="C435" s="116" t="s">
        <v>1331</v>
      </c>
      <c r="D435" s="120">
        <v>188.35</v>
      </c>
    </row>
    <row r="436" spans="1:4">
      <c r="A436" s="114">
        <v>46106</v>
      </c>
      <c r="B436" s="115">
        <v>12383</v>
      </c>
      <c r="C436" s="116" t="s">
        <v>1552</v>
      </c>
      <c r="D436" s="120">
        <v>1273.8499999999999</v>
      </c>
    </row>
    <row r="437" spans="1:4">
      <c r="A437" s="114">
        <v>46106</v>
      </c>
      <c r="B437" s="115">
        <v>12384</v>
      </c>
      <c r="C437" s="116" t="s">
        <v>1553</v>
      </c>
      <c r="D437" s="120">
        <v>483</v>
      </c>
    </row>
    <row r="438" spans="1:4">
      <c r="A438" s="114">
        <v>46107</v>
      </c>
      <c r="B438" s="115">
        <v>12385</v>
      </c>
      <c r="C438" s="116" t="s">
        <v>1364</v>
      </c>
      <c r="D438" s="120">
        <v>9215.98</v>
      </c>
    </row>
    <row r="439" spans="1:4">
      <c r="A439" s="114">
        <v>46107</v>
      </c>
      <c r="B439" s="115">
        <v>12386</v>
      </c>
      <c r="C439" s="116" t="s">
        <v>1335</v>
      </c>
      <c r="D439" s="120">
        <v>647.4</v>
      </c>
    </row>
    <row r="440" spans="1:4">
      <c r="A440" s="114">
        <v>46107</v>
      </c>
      <c r="B440" s="115">
        <v>12387</v>
      </c>
      <c r="C440" s="116" t="s">
        <v>1376</v>
      </c>
      <c r="D440" s="120">
        <v>1147</v>
      </c>
    </row>
    <row r="441" spans="1:4">
      <c r="A441" s="114">
        <v>46107</v>
      </c>
      <c r="B441" s="115">
        <v>12388</v>
      </c>
      <c r="C441" s="116" t="s">
        <v>1531</v>
      </c>
      <c r="D441" s="120">
        <v>1584.6</v>
      </c>
    </row>
    <row r="442" spans="1:4">
      <c r="A442" s="114">
        <v>46107</v>
      </c>
      <c r="B442" s="115">
        <v>12389</v>
      </c>
      <c r="C442" s="116" t="s">
        <v>1385</v>
      </c>
      <c r="D442" s="120">
        <v>121.5</v>
      </c>
    </row>
    <row r="443" spans="1:4">
      <c r="A443" s="114">
        <v>46108</v>
      </c>
      <c r="B443" s="115">
        <v>12390</v>
      </c>
      <c r="C443" s="116" t="s">
        <v>1333</v>
      </c>
      <c r="D443" s="120">
        <v>18931.09</v>
      </c>
    </row>
    <row r="444" spans="1:4">
      <c r="A444" s="114">
        <v>46108</v>
      </c>
      <c r="B444" s="115">
        <v>12391</v>
      </c>
      <c r="C444" s="116" t="s">
        <v>1554</v>
      </c>
      <c r="D444" s="120">
        <v>21.99</v>
      </c>
    </row>
    <row r="445" spans="1:4">
      <c r="A445" s="114">
        <v>46108</v>
      </c>
      <c r="B445" s="115">
        <v>12392</v>
      </c>
      <c r="C445" s="116" t="s">
        <v>1555</v>
      </c>
      <c r="D445" s="120">
        <v>9.99</v>
      </c>
    </row>
    <row r="446" spans="1:4">
      <c r="A446" s="114">
        <v>46108</v>
      </c>
      <c r="B446" s="115">
        <v>12393</v>
      </c>
      <c r="C446" s="116" t="s">
        <v>1556</v>
      </c>
      <c r="D446" s="120">
        <v>49.86</v>
      </c>
    </row>
    <row r="447" spans="1:4">
      <c r="A447" s="114">
        <v>46108</v>
      </c>
      <c r="B447" s="115">
        <v>12394</v>
      </c>
      <c r="C447" s="116" t="s">
        <v>1313</v>
      </c>
      <c r="D447" s="120">
        <v>940.2</v>
      </c>
    </row>
    <row r="448" spans="1:4">
      <c r="A448" s="114">
        <v>46108</v>
      </c>
      <c r="B448" s="115">
        <v>12395</v>
      </c>
      <c r="C448" s="116" t="s">
        <v>1313</v>
      </c>
      <c r="D448" s="120">
        <v>2142.21</v>
      </c>
    </row>
    <row r="449" spans="1:4">
      <c r="A449" s="114">
        <v>46108</v>
      </c>
      <c r="B449" s="115">
        <v>12396</v>
      </c>
      <c r="C449" s="116" t="s">
        <v>1313</v>
      </c>
      <c r="D449" s="120">
        <v>225</v>
      </c>
    </row>
    <row r="450" spans="1:4">
      <c r="A450" s="114">
        <v>46108</v>
      </c>
      <c r="B450" s="115">
        <v>12397</v>
      </c>
      <c r="C450" s="116" t="s">
        <v>1433</v>
      </c>
      <c r="D450" s="120">
        <v>1091.5</v>
      </c>
    </row>
    <row r="451" spans="1:4">
      <c r="A451" s="114">
        <v>46108</v>
      </c>
      <c r="B451" s="115">
        <v>12398</v>
      </c>
      <c r="C451" s="116" t="s">
        <v>379</v>
      </c>
      <c r="D451" s="120">
        <v>2915.5</v>
      </c>
    </row>
    <row r="452" spans="1:4">
      <c r="A452" s="114">
        <v>46108</v>
      </c>
      <c r="B452" s="115">
        <v>12399</v>
      </c>
      <c r="C452" s="116" t="s">
        <v>375</v>
      </c>
      <c r="D452" s="120">
        <v>375</v>
      </c>
    </row>
    <row r="453" spans="1:4">
      <c r="A453" s="114">
        <v>46108</v>
      </c>
      <c r="B453" s="115">
        <v>12400</v>
      </c>
      <c r="C453" s="116" t="s">
        <v>1557</v>
      </c>
      <c r="D453" s="120">
        <v>69.97</v>
      </c>
    </row>
    <row r="454" spans="1:4">
      <c r="A454" s="114">
        <v>46108</v>
      </c>
      <c r="B454" s="115">
        <v>12401</v>
      </c>
      <c r="C454" s="116" t="s">
        <v>374</v>
      </c>
      <c r="D454" s="120">
        <v>2571.6999999999998</v>
      </c>
    </row>
    <row r="455" spans="1:4">
      <c r="A455" s="114">
        <v>46108</v>
      </c>
      <c r="B455" s="115">
        <v>12402</v>
      </c>
      <c r="C455" s="116" t="s">
        <v>1558</v>
      </c>
      <c r="D455" s="120">
        <v>3193</v>
      </c>
    </row>
    <row r="456" spans="1:4">
      <c r="A456" s="114">
        <v>46111</v>
      </c>
      <c r="B456" s="115">
        <v>12404</v>
      </c>
      <c r="C456" s="116" t="s">
        <v>389</v>
      </c>
      <c r="D456" s="120">
        <v>22183.919999999998</v>
      </c>
    </row>
    <row r="457" spans="1:4">
      <c r="A457" s="114">
        <v>46111</v>
      </c>
      <c r="B457" s="115">
        <v>12405</v>
      </c>
      <c r="C457" s="116" t="s">
        <v>378</v>
      </c>
      <c r="D457" s="120">
        <v>4419.8999999999996</v>
      </c>
    </row>
    <row r="458" spans="1:4">
      <c r="A458" s="114">
        <v>46111</v>
      </c>
      <c r="B458" s="115">
        <v>12406</v>
      </c>
      <c r="C458" s="116" t="s">
        <v>1559</v>
      </c>
      <c r="D458" s="120">
        <v>19.98</v>
      </c>
    </row>
    <row r="459" spans="1:4">
      <c r="A459" s="114">
        <v>46111</v>
      </c>
      <c r="B459" s="115">
        <v>12407</v>
      </c>
      <c r="C459" s="116" t="s">
        <v>1560</v>
      </c>
      <c r="D459" s="120">
        <v>1472</v>
      </c>
    </row>
    <row r="460" spans="1:4">
      <c r="A460" s="114">
        <v>46111</v>
      </c>
      <c r="B460" s="115">
        <v>12408</v>
      </c>
      <c r="C460" s="116" t="s">
        <v>1340</v>
      </c>
      <c r="D460" s="120">
        <v>3411</v>
      </c>
    </row>
    <row r="461" spans="1:4">
      <c r="A461" s="114">
        <v>46112</v>
      </c>
      <c r="B461" s="115">
        <v>12409</v>
      </c>
      <c r="C461" s="116" t="s">
        <v>1561</v>
      </c>
      <c r="D461" s="120">
        <v>54.99</v>
      </c>
    </row>
    <row r="462" spans="1:4">
      <c r="A462" s="114">
        <v>46112</v>
      </c>
      <c r="B462" s="115">
        <v>12410</v>
      </c>
      <c r="C462" s="116" t="s">
        <v>1562</v>
      </c>
      <c r="D462" s="120">
        <v>13</v>
      </c>
    </row>
    <row r="463" spans="1:4">
      <c r="A463" s="114">
        <v>46112</v>
      </c>
      <c r="B463" s="115">
        <v>12411</v>
      </c>
      <c r="C463" s="116" t="s">
        <v>1293</v>
      </c>
      <c r="D463" s="120">
        <v>254.7</v>
      </c>
    </row>
    <row r="464" spans="1:4">
      <c r="A464" s="114">
        <v>46112</v>
      </c>
      <c r="B464" s="115">
        <v>12412</v>
      </c>
      <c r="C464" s="116" t="s">
        <v>1427</v>
      </c>
      <c r="D464" s="120">
        <v>2755.8</v>
      </c>
    </row>
    <row r="465" spans="1:4">
      <c r="A465" s="114">
        <v>46112</v>
      </c>
      <c r="B465" s="115">
        <v>12413</v>
      </c>
      <c r="C465" s="116" t="s">
        <v>1357</v>
      </c>
      <c r="D465" s="120">
        <v>440.4</v>
      </c>
    </row>
    <row r="466" spans="1:4">
      <c r="A466" s="114">
        <v>46112</v>
      </c>
      <c r="B466" s="115">
        <v>12414</v>
      </c>
      <c r="C466" s="116" t="s">
        <v>1384</v>
      </c>
      <c r="D466" s="120">
        <v>3922.9</v>
      </c>
    </row>
    <row r="467" spans="1:4">
      <c r="A467" s="108">
        <v>46113</v>
      </c>
      <c r="B467" s="109">
        <v>12416</v>
      </c>
      <c r="C467" s="110" t="s">
        <v>1563</v>
      </c>
      <c r="D467" s="255">
        <v>129.6</v>
      </c>
    </row>
    <row r="468" spans="1:4">
      <c r="A468" s="108">
        <v>46113</v>
      </c>
      <c r="B468" s="109">
        <v>12417</v>
      </c>
      <c r="C468" s="110" t="s">
        <v>1564</v>
      </c>
      <c r="D468" s="255">
        <v>986.1</v>
      </c>
    </row>
    <row r="469" spans="1:4">
      <c r="A469" s="108">
        <v>46113</v>
      </c>
      <c r="B469" s="109">
        <v>12418</v>
      </c>
      <c r="C469" s="110" t="s">
        <v>1565</v>
      </c>
      <c r="D469" s="255">
        <v>363.8</v>
      </c>
    </row>
    <row r="470" spans="1:4">
      <c r="A470" s="108">
        <v>46113</v>
      </c>
      <c r="B470" s="109">
        <v>12419</v>
      </c>
      <c r="C470" s="110" t="s">
        <v>1566</v>
      </c>
      <c r="D470" s="255">
        <v>10.99</v>
      </c>
    </row>
    <row r="471" spans="1:4">
      <c r="A471" s="108">
        <v>46113</v>
      </c>
      <c r="B471" s="109">
        <v>12420</v>
      </c>
      <c r="C471" s="110" t="s">
        <v>1567</v>
      </c>
      <c r="D471" s="255">
        <v>9.99</v>
      </c>
    </row>
    <row r="472" spans="1:4">
      <c r="A472" s="108">
        <v>46113</v>
      </c>
      <c r="B472" s="109">
        <v>12421</v>
      </c>
      <c r="C472" s="110" t="s">
        <v>1568</v>
      </c>
      <c r="D472" s="255">
        <v>26.99</v>
      </c>
    </row>
    <row r="473" spans="1:4">
      <c r="A473" s="108">
        <v>46113</v>
      </c>
      <c r="B473" s="109">
        <v>12422</v>
      </c>
      <c r="C473" s="110" t="s">
        <v>389</v>
      </c>
      <c r="D473" s="255">
        <v>1021.65</v>
      </c>
    </row>
    <row r="474" spans="1:4">
      <c r="A474" s="108">
        <v>46113</v>
      </c>
      <c r="B474" s="109">
        <v>12423</v>
      </c>
      <c r="C474" s="110" t="s">
        <v>1374</v>
      </c>
      <c r="D474" s="255">
        <v>650</v>
      </c>
    </row>
    <row r="475" spans="1:4">
      <c r="A475" s="108">
        <v>46113</v>
      </c>
      <c r="B475" s="109">
        <v>12424</v>
      </c>
      <c r="C475" s="110" t="s">
        <v>1558</v>
      </c>
      <c r="D475" s="255">
        <v>6575</v>
      </c>
    </row>
    <row r="476" spans="1:4">
      <c r="A476" s="108">
        <v>46114</v>
      </c>
      <c r="B476" s="109">
        <v>12425</v>
      </c>
      <c r="C476" s="110" t="s">
        <v>1569</v>
      </c>
      <c r="D476" s="255">
        <v>74.95</v>
      </c>
    </row>
    <row r="477" spans="1:4">
      <c r="A477" s="108">
        <v>46114</v>
      </c>
      <c r="B477" s="109">
        <v>12426</v>
      </c>
      <c r="C477" s="110" t="s">
        <v>389</v>
      </c>
      <c r="D477" s="255">
        <v>628.5</v>
      </c>
    </row>
    <row r="478" spans="1:4">
      <c r="A478" s="108">
        <v>46114</v>
      </c>
      <c r="B478" s="109">
        <v>12427</v>
      </c>
      <c r="C478" s="110" t="s">
        <v>1364</v>
      </c>
      <c r="D478" s="255">
        <v>933.4</v>
      </c>
    </row>
    <row r="479" spans="1:4">
      <c r="A479" s="108">
        <v>46114</v>
      </c>
      <c r="B479" s="109">
        <v>12428</v>
      </c>
      <c r="C479" s="110" t="s">
        <v>1530</v>
      </c>
      <c r="D479" s="255">
        <v>2088.5</v>
      </c>
    </row>
    <row r="480" spans="1:4">
      <c r="A480" s="108">
        <v>46114</v>
      </c>
      <c r="B480" s="109">
        <v>12429</v>
      </c>
      <c r="C480" s="110" t="s">
        <v>1570</v>
      </c>
      <c r="D480" s="255">
        <v>937.25</v>
      </c>
    </row>
    <row r="481" spans="1:4">
      <c r="A481" s="108">
        <v>46114</v>
      </c>
      <c r="B481" s="109">
        <v>12430</v>
      </c>
      <c r="C481" s="110" t="s">
        <v>1329</v>
      </c>
      <c r="D481" s="255">
        <v>1043.2</v>
      </c>
    </row>
    <row r="482" spans="1:4">
      <c r="A482" s="108">
        <v>46118</v>
      </c>
      <c r="B482" s="109">
        <v>12431</v>
      </c>
      <c r="C482" s="110" t="s">
        <v>1340</v>
      </c>
      <c r="D482" s="255">
        <v>3750</v>
      </c>
    </row>
    <row r="483" spans="1:4">
      <c r="A483" s="108">
        <v>46118</v>
      </c>
      <c r="B483" s="109">
        <v>12432</v>
      </c>
      <c r="C483" s="110" t="s">
        <v>1571</v>
      </c>
      <c r="D483" s="255">
        <v>1515.2</v>
      </c>
    </row>
    <row r="484" spans="1:4">
      <c r="A484" s="108">
        <v>46118</v>
      </c>
      <c r="B484" s="109">
        <v>12433</v>
      </c>
      <c r="C484" s="110" t="s">
        <v>1572</v>
      </c>
      <c r="D484" s="255">
        <v>24.99</v>
      </c>
    </row>
    <row r="485" spans="1:4">
      <c r="A485" s="108">
        <v>46118</v>
      </c>
      <c r="B485" s="109">
        <v>12434</v>
      </c>
      <c r="C485" s="110" t="s">
        <v>1573</v>
      </c>
      <c r="D485" s="255">
        <v>16.989999999999998</v>
      </c>
    </row>
    <row r="486" spans="1:4">
      <c r="A486" s="108">
        <v>46118</v>
      </c>
      <c r="B486" s="109">
        <v>12435</v>
      </c>
      <c r="C486" s="110" t="s">
        <v>1307</v>
      </c>
      <c r="D486" s="255">
        <v>216</v>
      </c>
    </row>
    <row r="487" spans="1:4">
      <c r="A487" s="108">
        <v>46118</v>
      </c>
      <c r="B487" s="109">
        <v>12436</v>
      </c>
      <c r="C487" s="110" t="s">
        <v>1331</v>
      </c>
      <c r="D487" s="255">
        <v>253.5</v>
      </c>
    </row>
    <row r="488" spans="1:4">
      <c r="A488" s="108">
        <v>46119</v>
      </c>
      <c r="B488" s="109">
        <v>12437</v>
      </c>
      <c r="C488" s="110" t="s">
        <v>1574</v>
      </c>
      <c r="D488" s="255">
        <v>272.5</v>
      </c>
    </row>
    <row r="489" spans="1:4">
      <c r="A489" s="108">
        <v>46119</v>
      </c>
      <c r="B489" s="109">
        <v>12438</v>
      </c>
      <c r="C489" s="110" t="s">
        <v>1575</v>
      </c>
      <c r="D489" s="255">
        <v>26.99</v>
      </c>
    </row>
    <row r="490" spans="1:4">
      <c r="A490" s="108">
        <v>46119</v>
      </c>
      <c r="B490" s="109">
        <v>12439</v>
      </c>
      <c r="C490" s="110" t="s">
        <v>1576</v>
      </c>
      <c r="D490" s="255">
        <v>13</v>
      </c>
    </row>
    <row r="491" spans="1:4">
      <c r="A491" s="108">
        <v>46119</v>
      </c>
      <c r="B491" s="109">
        <v>12440</v>
      </c>
      <c r="C491" s="110" t="s">
        <v>1577</v>
      </c>
      <c r="D491" s="255">
        <v>19.989999999999998</v>
      </c>
    </row>
    <row r="492" spans="1:4">
      <c r="A492" s="108">
        <v>46119</v>
      </c>
      <c r="B492" s="109">
        <v>12441</v>
      </c>
      <c r="C492" s="110" t="s">
        <v>1578</v>
      </c>
      <c r="D492" s="255">
        <v>44.99</v>
      </c>
    </row>
    <row r="493" spans="1:4">
      <c r="A493" s="108">
        <v>46119</v>
      </c>
      <c r="B493" s="109">
        <v>12443</v>
      </c>
      <c r="C493" s="110" t="s">
        <v>1409</v>
      </c>
      <c r="D493" s="255">
        <v>215</v>
      </c>
    </row>
    <row r="494" spans="1:4">
      <c r="A494" s="108">
        <v>46119</v>
      </c>
      <c r="B494" s="109">
        <v>12444</v>
      </c>
      <c r="C494" s="110" t="s">
        <v>1409</v>
      </c>
      <c r="D494" s="255">
        <v>179.2</v>
      </c>
    </row>
    <row r="495" spans="1:4">
      <c r="A495" s="108">
        <v>46119</v>
      </c>
      <c r="B495" s="109">
        <v>12445</v>
      </c>
      <c r="C495" s="110" t="s">
        <v>1410</v>
      </c>
      <c r="D495" s="255">
        <v>1547</v>
      </c>
    </row>
    <row r="496" spans="1:4">
      <c r="A496" s="108">
        <v>46119</v>
      </c>
      <c r="B496" s="109">
        <v>12446</v>
      </c>
      <c r="C496" s="110" t="s">
        <v>1332</v>
      </c>
      <c r="D496" s="255">
        <v>977.98</v>
      </c>
    </row>
    <row r="497" spans="1:4">
      <c r="A497" s="108">
        <v>46119</v>
      </c>
      <c r="B497" s="109">
        <v>12448</v>
      </c>
      <c r="C497" s="110" t="s">
        <v>1339</v>
      </c>
      <c r="D497" s="255">
        <v>1639.25</v>
      </c>
    </row>
    <row r="498" spans="1:4">
      <c r="A498" s="108">
        <v>46119</v>
      </c>
      <c r="B498" s="109">
        <v>12449</v>
      </c>
      <c r="C498" s="110" t="s">
        <v>1467</v>
      </c>
      <c r="D498" s="255">
        <v>2886</v>
      </c>
    </row>
    <row r="499" spans="1:4">
      <c r="A499" s="108">
        <v>46119</v>
      </c>
      <c r="B499" s="109">
        <v>12450</v>
      </c>
      <c r="C499" s="110" t="s">
        <v>377</v>
      </c>
      <c r="D499" s="255">
        <v>1040</v>
      </c>
    </row>
    <row r="500" spans="1:4">
      <c r="A500" s="108">
        <v>46119</v>
      </c>
      <c r="B500" s="109">
        <v>12451</v>
      </c>
      <c r="C500" s="110" t="s">
        <v>377</v>
      </c>
      <c r="D500" s="255">
        <v>1500</v>
      </c>
    </row>
    <row r="501" spans="1:4">
      <c r="A501" s="108">
        <v>46120</v>
      </c>
      <c r="B501" s="109">
        <v>12452</v>
      </c>
      <c r="C501" s="110" t="s">
        <v>1579</v>
      </c>
      <c r="D501" s="255">
        <v>3515.33</v>
      </c>
    </row>
    <row r="502" spans="1:4">
      <c r="A502" s="108">
        <v>46120</v>
      </c>
      <c r="B502" s="109">
        <v>12453</v>
      </c>
      <c r="C502" s="110" t="s">
        <v>1579</v>
      </c>
      <c r="D502" s="255">
        <v>4758</v>
      </c>
    </row>
    <row r="503" spans="1:4">
      <c r="A503" s="108">
        <v>46120</v>
      </c>
      <c r="B503" s="109">
        <v>12454</v>
      </c>
      <c r="C503" s="110" t="s">
        <v>389</v>
      </c>
      <c r="D503" s="255">
        <v>755.2</v>
      </c>
    </row>
    <row r="504" spans="1:4">
      <c r="A504" s="108">
        <v>46120</v>
      </c>
      <c r="B504" s="109">
        <v>12455</v>
      </c>
      <c r="C504" s="110" t="s">
        <v>1580</v>
      </c>
      <c r="D504" s="255">
        <v>89.98</v>
      </c>
    </row>
    <row r="505" spans="1:4">
      <c r="A505" s="108">
        <v>46120</v>
      </c>
      <c r="B505" s="109">
        <v>12457</v>
      </c>
      <c r="C505" s="110" t="s">
        <v>374</v>
      </c>
      <c r="D505" s="255">
        <v>11729.36</v>
      </c>
    </row>
    <row r="506" spans="1:4">
      <c r="A506" s="108">
        <v>46120</v>
      </c>
      <c r="B506" s="109">
        <v>12458</v>
      </c>
      <c r="C506" s="110" t="s">
        <v>1377</v>
      </c>
      <c r="D506" s="255">
        <v>728</v>
      </c>
    </row>
    <row r="507" spans="1:4">
      <c r="A507" s="108">
        <v>46120</v>
      </c>
      <c r="B507" s="109">
        <v>12459</v>
      </c>
      <c r="C507" s="110" t="s">
        <v>388</v>
      </c>
      <c r="D507" s="255">
        <v>651</v>
      </c>
    </row>
    <row r="508" spans="1:4">
      <c r="A508" s="108">
        <v>46120</v>
      </c>
      <c r="B508" s="109">
        <v>12460</v>
      </c>
      <c r="C508" s="110" t="s">
        <v>1298</v>
      </c>
      <c r="D508" s="255">
        <v>1290.4000000000001</v>
      </c>
    </row>
    <row r="509" spans="1:4">
      <c r="A509" s="108">
        <v>46121</v>
      </c>
      <c r="B509" s="109">
        <v>12461</v>
      </c>
      <c r="C509" s="110" t="s">
        <v>1302</v>
      </c>
      <c r="D509" s="255">
        <v>1058</v>
      </c>
    </row>
    <row r="510" spans="1:4">
      <c r="A510" s="108">
        <v>46121</v>
      </c>
      <c r="B510" s="109">
        <v>12462</v>
      </c>
      <c r="C510" s="110" t="s">
        <v>389</v>
      </c>
      <c r="D510" s="255">
        <v>285.39999999999998</v>
      </c>
    </row>
    <row r="511" spans="1:4">
      <c r="A511" s="108">
        <v>46122</v>
      </c>
      <c r="B511" s="109">
        <v>12463</v>
      </c>
      <c r="C511" s="110" t="s">
        <v>1581</v>
      </c>
      <c r="D511" s="255">
        <v>1400</v>
      </c>
    </row>
    <row r="512" spans="1:4">
      <c r="A512" s="108">
        <v>46122</v>
      </c>
      <c r="B512" s="109">
        <v>12464</v>
      </c>
      <c r="C512" s="110" t="s">
        <v>1582</v>
      </c>
      <c r="D512" s="255">
        <v>1343.35</v>
      </c>
    </row>
    <row r="513" spans="1:4">
      <c r="A513" s="108">
        <v>46122</v>
      </c>
      <c r="B513" s="109">
        <v>12465</v>
      </c>
      <c r="C513" s="110" t="s">
        <v>1309</v>
      </c>
      <c r="D513" s="255">
        <v>4655</v>
      </c>
    </row>
    <row r="514" spans="1:4">
      <c r="A514" s="108">
        <v>46122</v>
      </c>
      <c r="B514" s="109">
        <v>12466</v>
      </c>
      <c r="C514" s="110" t="s">
        <v>374</v>
      </c>
      <c r="D514" s="255">
        <v>408</v>
      </c>
    </row>
    <row r="515" spans="1:4">
      <c r="A515" s="108">
        <v>46122</v>
      </c>
      <c r="B515" s="109">
        <v>12467</v>
      </c>
      <c r="C515" s="110" t="s">
        <v>1583</v>
      </c>
      <c r="D515" s="255">
        <v>13</v>
      </c>
    </row>
    <row r="516" spans="1:4">
      <c r="A516" s="108">
        <v>46122</v>
      </c>
      <c r="B516" s="109">
        <v>12468</v>
      </c>
      <c r="C516" s="110" t="s">
        <v>1323</v>
      </c>
      <c r="D516" s="255">
        <v>928.5</v>
      </c>
    </row>
    <row r="517" spans="1:4">
      <c r="A517" s="108">
        <v>46122</v>
      </c>
      <c r="B517" s="109">
        <v>12469</v>
      </c>
      <c r="C517" s="110" t="s">
        <v>1315</v>
      </c>
      <c r="D517" s="255">
        <v>210</v>
      </c>
    </row>
    <row r="518" spans="1:4">
      <c r="A518" s="108">
        <v>46122</v>
      </c>
      <c r="B518" s="109">
        <v>12470</v>
      </c>
      <c r="C518" s="110" t="s">
        <v>389</v>
      </c>
      <c r="D518" s="255">
        <v>237</v>
      </c>
    </row>
    <row r="519" spans="1:4">
      <c r="A519" s="108">
        <v>46125</v>
      </c>
      <c r="B519" s="109">
        <v>12477</v>
      </c>
      <c r="C519" s="110" t="s">
        <v>1309</v>
      </c>
      <c r="D519" s="255">
        <v>10500</v>
      </c>
    </row>
    <row r="520" spans="1:4">
      <c r="A520" s="108">
        <v>46125</v>
      </c>
      <c r="B520" s="109">
        <v>12478</v>
      </c>
      <c r="C520" s="110" t="s">
        <v>1584</v>
      </c>
      <c r="D520" s="255">
        <v>187.99</v>
      </c>
    </row>
    <row r="521" spans="1:4">
      <c r="A521" s="108">
        <v>46125</v>
      </c>
      <c r="B521" s="109">
        <v>12479</v>
      </c>
      <c r="C521" s="110" t="s">
        <v>1585</v>
      </c>
      <c r="D521" s="255">
        <v>14.99</v>
      </c>
    </row>
    <row r="522" spans="1:4">
      <c r="A522" s="108">
        <v>46125</v>
      </c>
      <c r="B522" s="109">
        <v>12480</v>
      </c>
      <c r="C522" s="110" t="s">
        <v>1586</v>
      </c>
      <c r="D522" s="255">
        <v>20.96</v>
      </c>
    </row>
    <row r="523" spans="1:4">
      <c r="A523" s="108">
        <v>46125</v>
      </c>
      <c r="B523" s="109">
        <v>12482</v>
      </c>
      <c r="C523" s="110" t="s">
        <v>1339</v>
      </c>
      <c r="D523" s="255">
        <v>939.9</v>
      </c>
    </row>
    <row r="524" spans="1:4">
      <c r="A524" s="108">
        <v>46126</v>
      </c>
      <c r="B524" s="109">
        <v>12483</v>
      </c>
      <c r="C524" s="110" t="s">
        <v>1587</v>
      </c>
      <c r="D524" s="255">
        <v>29.98</v>
      </c>
    </row>
    <row r="525" spans="1:4">
      <c r="A525" s="108">
        <v>46126</v>
      </c>
      <c r="B525" s="109">
        <v>12484</v>
      </c>
      <c r="C525" s="110" t="s">
        <v>1306</v>
      </c>
      <c r="D525" s="255">
        <v>390</v>
      </c>
    </row>
    <row r="526" spans="1:4">
      <c r="A526" s="108">
        <v>46126</v>
      </c>
      <c r="B526" s="109">
        <v>12485</v>
      </c>
      <c r="C526" s="110" t="s">
        <v>1383</v>
      </c>
      <c r="D526" s="255">
        <v>270</v>
      </c>
    </row>
    <row r="527" spans="1:4">
      <c r="A527" s="108">
        <v>46126</v>
      </c>
      <c r="B527" s="109">
        <v>12486</v>
      </c>
      <c r="C527" s="110" t="s">
        <v>1501</v>
      </c>
      <c r="D527" s="255">
        <v>296.5</v>
      </c>
    </row>
    <row r="528" spans="1:4">
      <c r="A528" s="108">
        <v>46126</v>
      </c>
      <c r="B528" s="109">
        <v>12487</v>
      </c>
      <c r="C528" s="110" t="s">
        <v>1416</v>
      </c>
      <c r="D528" s="255">
        <v>324.2</v>
      </c>
    </row>
    <row r="529" spans="1:4">
      <c r="A529" s="108">
        <v>46126</v>
      </c>
      <c r="B529" s="109">
        <v>12488</v>
      </c>
      <c r="C529" s="110" t="s">
        <v>1333</v>
      </c>
      <c r="D529" s="255">
        <v>4662</v>
      </c>
    </row>
    <row r="530" spans="1:4">
      <c r="A530" s="108">
        <v>46127</v>
      </c>
      <c r="B530" s="109">
        <v>12489</v>
      </c>
      <c r="C530" s="110" t="s">
        <v>1466</v>
      </c>
      <c r="D530" s="255">
        <v>360</v>
      </c>
    </row>
    <row r="531" spans="1:4">
      <c r="A531" s="108">
        <v>46127</v>
      </c>
      <c r="B531" s="109">
        <v>12490</v>
      </c>
      <c r="C531" s="110" t="s">
        <v>1329</v>
      </c>
      <c r="D531" s="255">
        <v>255.4</v>
      </c>
    </row>
    <row r="532" spans="1:4">
      <c r="A532" s="108">
        <v>46127</v>
      </c>
      <c r="B532" s="109">
        <v>12491</v>
      </c>
      <c r="C532" s="110" t="s">
        <v>1340</v>
      </c>
      <c r="D532" s="255">
        <v>1090</v>
      </c>
    </row>
    <row r="533" spans="1:4">
      <c r="A533" s="108">
        <v>46127</v>
      </c>
      <c r="B533" s="109">
        <v>12492</v>
      </c>
      <c r="C533" s="110" t="s">
        <v>1305</v>
      </c>
      <c r="D533" s="255">
        <v>1795.72</v>
      </c>
    </row>
    <row r="534" spans="1:4">
      <c r="A534" s="108">
        <v>46127</v>
      </c>
      <c r="B534" s="109">
        <v>12493</v>
      </c>
      <c r="C534" s="110" t="s">
        <v>1309</v>
      </c>
      <c r="D534" s="255">
        <v>1655.3</v>
      </c>
    </row>
    <row r="535" spans="1:4">
      <c r="A535" s="108">
        <v>46127</v>
      </c>
      <c r="B535" s="109">
        <v>12494</v>
      </c>
      <c r="C535" s="110" t="s">
        <v>1309</v>
      </c>
      <c r="D535" s="255">
        <v>2200</v>
      </c>
    </row>
    <row r="536" spans="1:4">
      <c r="A536" s="108">
        <v>46127</v>
      </c>
      <c r="B536" s="109">
        <v>12495</v>
      </c>
      <c r="C536" s="110" t="s">
        <v>1328</v>
      </c>
      <c r="D536" s="255">
        <v>145.66999999999999</v>
      </c>
    </row>
    <row r="537" spans="1:4">
      <c r="A537" s="108">
        <v>46127</v>
      </c>
      <c r="B537" s="109">
        <v>12496</v>
      </c>
      <c r="C537" s="110" t="s">
        <v>388</v>
      </c>
      <c r="D537" s="255">
        <v>660</v>
      </c>
    </row>
    <row r="538" spans="1:4">
      <c r="A538" s="108">
        <v>46127</v>
      </c>
      <c r="B538" s="109">
        <v>12497</v>
      </c>
      <c r="C538" s="110" t="s">
        <v>1588</v>
      </c>
      <c r="D538" s="255">
        <v>24.99</v>
      </c>
    </row>
    <row r="539" spans="1:4">
      <c r="A539" s="108">
        <v>46127</v>
      </c>
      <c r="B539" s="109">
        <v>12498</v>
      </c>
      <c r="C539" s="110" t="s">
        <v>1587</v>
      </c>
      <c r="D539" s="255">
        <v>29.98</v>
      </c>
    </row>
    <row r="540" spans="1:4">
      <c r="A540" s="108">
        <v>46127</v>
      </c>
      <c r="B540" s="109">
        <v>12499</v>
      </c>
      <c r="C540" s="110" t="s">
        <v>1589</v>
      </c>
      <c r="D540" s="255">
        <v>496</v>
      </c>
    </row>
    <row r="541" spans="1:4">
      <c r="A541" s="108">
        <v>46127</v>
      </c>
      <c r="B541" s="109">
        <v>12500</v>
      </c>
      <c r="C541" s="110" t="s">
        <v>390</v>
      </c>
      <c r="D541" s="255">
        <v>260</v>
      </c>
    </row>
    <row r="542" spans="1:4">
      <c r="A542" s="108">
        <v>46128</v>
      </c>
      <c r="B542" s="109">
        <v>12501</v>
      </c>
      <c r="C542" s="110" t="s">
        <v>1558</v>
      </c>
      <c r="D542" s="255">
        <v>7458</v>
      </c>
    </row>
    <row r="543" spans="1:4">
      <c r="A543" s="108">
        <v>46128</v>
      </c>
      <c r="B543" s="109">
        <v>12502</v>
      </c>
      <c r="C543" s="110" t="s">
        <v>1590</v>
      </c>
      <c r="D543" s="255">
        <v>528.20000000000005</v>
      </c>
    </row>
    <row r="544" spans="1:4">
      <c r="A544" s="108">
        <v>46128</v>
      </c>
      <c r="B544" s="109">
        <v>12503</v>
      </c>
      <c r="C544" s="110" t="s">
        <v>1466</v>
      </c>
      <c r="D544" s="255">
        <v>1417.5</v>
      </c>
    </row>
    <row r="545" spans="1:4">
      <c r="A545" s="108">
        <v>46128</v>
      </c>
      <c r="B545" s="109">
        <v>12504</v>
      </c>
      <c r="C545" s="110" t="s">
        <v>1591</v>
      </c>
      <c r="D545" s="255">
        <v>44.99</v>
      </c>
    </row>
    <row r="546" spans="1:4">
      <c r="A546" s="108">
        <v>46128</v>
      </c>
      <c r="B546" s="109">
        <v>12505</v>
      </c>
      <c r="C546" s="110" t="s">
        <v>1592</v>
      </c>
      <c r="D546" s="255">
        <v>13</v>
      </c>
    </row>
    <row r="547" spans="1:4">
      <c r="A547" s="108">
        <v>46128</v>
      </c>
      <c r="B547" s="109">
        <v>12506</v>
      </c>
      <c r="C547" s="110" t="s">
        <v>1334</v>
      </c>
      <c r="D547" s="255">
        <v>2532.8000000000002</v>
      </c>
    </row>
    <row r="548" spans="1:4">
      <c r="A548" s="108">
        <v>46128</v>
      </c>
      <c r="B548" s="109">
        <v>12507</v>
      </c>
      <c r="C548" s="110" t="s">
        <v>388</v>
      </c>
      <c r="D548" s="255">
        <v>1583.7</v>
      </c>
    </row>
    <row r="549" spans="1:4">
      <c r="A549" s="108">
        <v>46129</v>
      </c>
      <c r="B549" s="109">
        <v>12508</v>
      </c>
      <c r="C549" s="110" t="s">
        <v>1426</v>
      </c>
      <c r="D549" s="255">
        <v>144</v>
      </c>
    </row>
    <row r="550" spans="1:4">
      <c r="A550" s="108">
        <v>46129</v>
      </c>
      <c r="B550" s="109">
        <v>12509</v>
      </c>
      <c r="C550" s="110" t="s">
        <v>1565</v>
      </c>
      <c r="D550" s="255">
        <v>370</v>
      </c>
    </row>
    <row r="551" spans="1:4">
      <c r="A551" s="108">
        <v>46129</v>
      </c>
      <c r="B551" s="109">
        <v>12510</v>
      </c>
      <c r="C551" s="110" t="s">
        <v>1593</v>
      </c>
      <c r="D551" s="255">
        <v>725</v>
      </c>
    </row>
    <row r="552" spans="1:4">
      <c r="A552" s="108">
        <v>46129</v>
      </c>
      <c r="B552" s="109">
        <v>12512</v>
      </c>
      <c r="C552" s="110" t="s">
        <v>1594</v>
      </c>
      <c r="D552" s="255">
        <v>375</v>
      </c>
    </row>
    <row r="553" spans="1:4">
      <c r="A553" s="108">
        <v>46129</v>
      </c>
      <c r="B553" s="109">
        <v>12513</v>
      </c>
      <c r="C553" s="110" t="s">
        <v>378</v>
      </c>
      <c r="D553" s="255">
        <v>1017</v>
      </c>
    </row>
    <row r="554" spans="1:4">
      <c r="A554" s="108">
        <v>46129</v>
      </c>
      <c r="B554" s="109">
        <v>12514</v>
      </c>
      <c r="C554" s="110" t="s">
        <v>1323</v>
      </c>
      <c r="D554" s="255">
        <v>586</v>
      </c>
    </row>
    <row r="555" spans="1:4">
      <c r="A555" s="108">
        <v>46132</v>
      </c>
      <c r="B555" s="109">
        <v>12515</v>
      </c>
      <c r="C555" s="110" t="s">
        <v>1298</v>
      </c>
      <c r="D555" s="255">
        <v>1080.02</v>
      </c>
    </row>
    <row r="556" spans="1:4">
      <c r="A556" s="108">
        <v>46134</v>
      </c>
      <c r="B556" s="109">
        <v>12516</v>
      </c>
      <c r="C556" s="110" t="s">
        <v>1595</v>
      </c>
      <c r="D556" s="255">
        <v>14.99</v>
      </c>
    </row>
    <row r="557" spans="1:4">
      <c r="A557" s="108">
        <v>46134</v>
      </c>
      <c r="B557" s="109">
        <v>12517</v>
      </c>
      <c r="C557" s="110" t="s">
        <v>1596</v>
      </c>
      <c r="D557" s="255">
        <v>59.98</v>
      </c>
    </row>
    <row r="558" spans="1:4">
      <c r="A558" s="108">
        <v>46134</v>
      </c>
      <c r="B558" s="109">
        <v>12518</v>
      </c>
      <c r="C558" s="110" t="s">
        <v>1597</v>
      </c>
      <c r="D558" s="255">
        <v>34.99</v>
      </c>
    </row>
    <row r="559" spans="1:4">
      <c r="A559" s="108">
        <v>46134</v>
      </c>
      <c r="B559" s="109">
        <v>12519</v>
      </c>
      <c r="C559" s="110" t="s">
        <v>1598</v>
      </c>
      <c r="D559" s="255">
        <v>29.98</v>
      </c>
    </row>
    <row r="560" spans="1:4">
      <c r="A560" s="108">
        <v>46134</v>
      </c>
      <c r="B560" s="109">
        <v>12520</v>
      </c>
      <c r="C560" s="110" t="s">
        <v>1381</v>
      </c>
      <c r="D560" s="255">
        <v>354.5</v>
      </c>
    </row>
    <row r="561" spans="1:4">
      <c r="A561" s="108">
        <v>46135</v>
      </c>
      <c r="B561" s="109">
        <v>12521</v>
      </c>
      <c r="C561" s="110" t="s">
        <v>1599</v>
      </c>
      <c r="D561" s="255">
        <v>443</v>
      </c>
    </row>
    <row r="562" spans="1:4">
      <c r="A562" s="108">
        <v>46135</v>
      </c>
      <c r="B562" s="109">
        <v>12522</v>
      </c>
      <c r="C562" s="110" t="s">
        <v>1600</v>
      </c>
      <c r="D562" s="255">
        <v>94.89</v>
      </c>
    </row>
    <row r="563" spans="1:4">
      <c r="A563" s="108">
        <v>46135</v>
      </c>
      <c r="B563" s="109">
        <v>12523</v>
      </c>
      <c r="C563" s="110" t="s">
        <v>1377</v>
      </c>
      <c r="D563" s="255">
        <v>742</v>
      </c>
    </row>
    <row r="564" spans="1:4">
      <c r="A564" s="108">
        <v>46135</v>
      </c>
      <c r="B564" s="109">
        <v>12524</v>
      </c>
      <c r="C564" s="110" t="s">
        <v>1601</v>
      </c>
      <c r="D564" s="255">
        <v>164.91</v>
      </c>
    </row>
    <row r="565" spans="1:4">
      <c r="A565" s="108">
        <v>46135</v>
      </c>
      <c r="B565" s="109">
        <v>12525</v>
      </c>
      <c r="C565" s="110" t="s">
        <v>1602</v>
      </c>
      <c r="D565" s="255">
        <v>80</v>
      </c>
    </row>
    <row r="566" spans="1:4">
      <c r="A566" s="108">
        <v>46135</v>
      </c>
      <c r="B566" s="109">
        <v>12526</v>
      </c>
      <c r="C566" s="110" t="s">
        <v>1328</v>
      </c>
      <c r="D566" s="255">
        <v>95</v>
      </c>
    </row>
    <row r="567" spans="1:4">
      <c r="A567" s="108">
        <v>46136</v>
      </c>
      <c r="B567" s="109">
        <v>12527</v>
      </c>
      <c r="C567" s="110" t="s">
        <v>1364</v>
      </c>
      <c r="D567" s="255">
        <v>3379.68</v>
      </c>
    </row>
    <row r="568" spans="1:4">
      <c r="A568" s="108">
        <v>46136</v>
      </c>
      <c r="B568" s="109">
        <v>12528</v>
      </c>
      <c r="C568" s="110" t="s">
        <v>1603</v>
      </c>
      <c r="D568" s="255">
        <v>39.979999999999997</v>
      </c>
    </row>
    <row r="569" spans="1:4">
      <c r="A569" s="108">
        <v>46136</v>
      </c>
      <c r="B569" s="109">
        <v>12529</v>
      </c>
      <c r="C569" s="110" t="s">
        <v>1309</v>
      </c>
      <c r="D569" s="255">
        <v>584</v>
      </c>
    </row>
    <row r="570" spans="1:4">
      <c r="A570" s="108">
        <v>46136</v>
      </c>
      <c r="B570" s="109">
        <v>12530</v>
      </c>
      <c r="C570" s="110" t="s">
        <v>1302</v>
      </c>
      <c r="D570" s="255">
        <v>295.60000000000002</v>
      </c>
    </row>
    <row r="571" spans="1:4">
      <c r="A571" s="108">
        <v>46136</v>
      </c>
      <c r="B571" s="109">
        <v>12531</v>
      </c>
      <c r="C571" s="110" t="s">
        <v>1452</v>
      </c>
      <c r="D571" s="255">
        <v>1114</v>
      </c>
    </row>
    <row r="572" spans="1:4">
      <c r="A572" s="108">
        <v>46136</v>
      </c>
      <c r="B572" s="109">
        <v>12532</v>
      </c>
      <c r="C572" s="110" t="s">
        <v>1370</v>
      </c>
      <c r="D572" s="255">
        <v>1249</v>
      </c>
    </row>
    <row r="573" spans="1:4">
      <c r="A573" s="108">
        <v>46136</v>
      </c>
      <c r="B573" s="109">
        <v>12533</v>
      </c>
      <c r="C573" s="110" t="s">
        <v>1604</v>
      </c>
      <c r="D573" s="255">
        <v>1607</v>
      </c>
    </row>
    <row r="574" spans="1:4">
      <c r="A574" s="108">
        <v>46136</v>
      </c>
      <c r="B574" s="109">
        <v>12534</v>
      </c>
      <c r="C574" s="110" t="s">
        <v>378</v>
      </c>
      <c r="D574" s="255">
        <v>190</v>
      </c>
    </row>
    <row r="575" spans="1:4">
      <c r="A575" s="108">
        <v>46139</v>
      </c>
      <c r="B575" s="109">
        <v>12535</v>
      </c>
      <c r="C575" s="110" t="s">
        <v>1605</v>
      </c>
      <c r="D575" s="255">
        <v>26.99</v>
      </c>
    </row>
    <row r="576" spans="1:4">
      <c r="A576" s="108">
        <v>46139</v>
      </c>
      <c r="B576" s="109">
        <v>12536</v>
      </c>
      <c r="C576" s="110" t="s">
        <v>1597</v>
      </c>
      <c r="D576" s="255">
        <v>34.99</v>
      </c>
    </row>
    <row r="577" spans="1:4">
      <c r="A577" s="108">
        <v>46139</v>
      </c>
      <c r="B577" s="109">
        <v>12537</v>
      </c>
      <c r="C577" s="110" t="s">
        <v>1606</v>
      </c>
      <c r="D577" s="255">
        <v>477.72</v>
      </c>
    </row>
    <row r="578" spans="1:4">
      <c r="A578" s="108">
        <v>46139</v>
      </c>
      <c r="B578" s="109">
        <v>12538</v>
      </c>
      <c r="C578" s="110" t="s">
        <v>389</v>
      </c>
      <c r="D578" s="255">
        <v>502</v>
      </c>
    </row>
    <row r="579" spans="1:4">
      <c r="A579" s="108">
        <v>46139</v>
      </c>
      <c r="B579" s="109">
        <v>12539</v>
      </c>
      <c r="C579" s="110" t="s">
        <v>389</v>
      </c>
      <c r="D579" s="255">
        <v>316.43</v>
      </c>
    </row>
    <row r="580" spans="1:4">
      <c r="A580" s="108">
        <v>46139</v>
      </c>
      <c r="B580" s="109">
        <v>12540</v>
      </c>
      <c r="C580" s="110" t="s">
        <v>389</v>
      </c>
      <c r="D580" s="255">
        <v>3593.52</v>
      </c>
    </row>
    <row r="581" spans="1:4">
      <c r="A581" s="108">
        <v>46140</v>
      </c>
      <c r="B581" s="109">
        <v>12541</v>
      </c>
      <c r="C581" s="110" t="s">
        <v>1305</v>
      </c>
      <c r="D581" s="255">
        <v>1703.6</v>
      </c>
    </row>
    <row r="582" spans="1:4">
      <c r="A582" s="108">
        <v>46140</v>
      </c>
      <c r="B582" s="109">
        <v>12542</v>
      </c>
      <c r="C582" s="110" t="s">
        <v>1376</v>
      </c>
      <c r="D582" s="255">
        <v>393.2</v>
      </c>
    </row>
    <row r="583" spans="1:4">
      <c r="A583" s="108">
        <v>46140</v>
      </c>
      <c r="B583" s="109">
        <v>12544</v>
      </c>
      <c r="C583" s="110" t="s">
        <v>1607</v>
      </c>
      <c r="D583" s="255">
        <v>160</v>
      </c>
    </row>
    <row r="584" spans="1:4">
      <c r="A584" s="108">
        <v>46140</v>
      </c>
      <c r="B584" s="109">
        <v>12546</v>
      </c>
      <c r="C584" s="110" t="s">
        <v>388</v>
      </c>
      <c r="D584" s="255">
        <v>294.25</v>
      </c>
    </row>
    <row r="585" spans="1:4">
      <c r="A585" s="108">
        <v>46140</v>
      </c>
      <c r="B585" s="109">
        <v>12547</v>
      </c>
      <c r="C585" s="110" t="s">
        <v>1608</v>
      </c>
      <c r="D585" s="255">
        <v>22.99</v>
      </c>
    </row>
    <row r="586" spans="1:4">
      <c r="A586" s="108">
        <v>46140</v>
      </c>
      <c r="B586" s="109">
        <v>12549</v>
      </c>
      <c r="C586" s="110" t="s">
        <v>392</v>
      </c>
      <c r="D586" s="255">
        <v>306</v>
      </c>
    </row>
    <row r="587" spans="1:4">
      <c r="A587" s="108">
        <v>46140</v>
      </c>
      <c r="B587" s="109">
        <v>12550</v>
      </c>
      <c r="C587" s="110" t="s">
        <v>1433</v>
      </c>
      <c r="D587" s="255">
        <v>1152</v>
      </c>
    </row>
    <row r="588" spans="1:4">
      <c r="A588" s="108">
        <v>46140</v>
      </c>
      <c r="B588" s="109">
        <v>12551</v>
      </c>
      <c r="C588" s="110" t="s">
        <v>385</v>
      </c>
      <c r="D588" s="255">
        <v>336</v>
      </c>
    </row>
    <row r="589" spans="1:4">
      <c r="A589" s="108">
        <v>46140</v>
      </c>
      <c r="B589" s="109">
        <v>12552</v>
      </c>
      <c r="C589" s="110" t="s">
        <v>385</v>
      </c>
      <c r="D589" s="255">
        <v>9.2100000000000009</v>
      </c>
    </row>
    <row r="590" spans="1:4">
      <c r="A590" s="108">
        <v>46140</v>
      </c>
      <c r="B590" s="109">
        <v>12553</v>
      </c>
      <c r="C590" s="110" t="s">
        <v>375</v>
      </c>
      <c r="D590" s="255">
        <v>1140</v>
      </c>
    </row>
    <row r="591" spans="1:4">
      <c r="A591" s="108">
        <v>46140</v>
      </c>
      <c r="B591" s="109">
        <v>12554</v>
      </c>
      <c r="C591" s="110" t="s">
        <v>389</v>
      </c>
      <c r="D591" s="255">
        <v>2186.4</v>
      </c>
    </row>
    <row r="592" spans="1:4">
      <c r="A592" s="108">
        <v>46140</v>
      </c>
      <c r="B592" s="109">
        <v>12555</v>
      </c>
      <c r="C592" s="110" t="s">
        <v>1558</v>
      </c>
      <c r="D592" s="255">
        <v>280</v>
      </c>
    </row>
    <row r="593" spans="1:4">
      <c r="A593" s="108">
        <v>46140</v>
      </c>
      <c r="B593" s="109">
        <v>12556</v>
      </c>
      <c r="C593" s="110" t="s">
        <v>382</v>
      </c>
      <c r="D593" s="255">
        <v>1554.5</v>
      </c>
    </row>
    <row r="594" spans="1:4">
      <c r="A594" s="108">
        <v>46141</v>
      </c>
      <c r="B594" s="109">
        <v>12557</v>
      </c>
      <c r="C594" s="110" t="s">
        <v>1331</v>
      </c>
      <c r="D594" s="255">
        <v>943.6</v>
      </c>
    </row>
    <row r="595" spans="1:4">
      <c r="A595" s="108">
        <v>46141</v>
      </c>
      <c r="B595" s="109">
        <v>12558</v>
      </c>
      <c r="C595" s="110" t="s">
        <v>389</v>
      </c>
      <c r="D595" s="255">
        <v>1032.8</v>
      </c>
    </row>
    <row r="596" spans="1:4">
      <c r="A596" s="108">
        <v>46141</v>
      </c>
      <c r="B596" s="109">
        <v>12559</v>
      </c>
      <c r="C596" s="110" t="s">
        <v>1410</v>
      </c>
      <c r="D596" s="255">
        <v>797</v>
      </c>
    </row>
    <row r="597" spans="1:4">
      <c r="A597" s="108">
        <v>46142</v>
      </c>
      <c r="B597" s="109">
        <v>12560</v>
      </c>
      <c r="C597" s="110" t="s">
        <v>1336</v>
      </c>
      <c r="D597" s="255">
        <v>655.5</v>
      </c>
    </row>
    <row r="598" spans="1:4">
      <c r="A598" s="108">
        <v>46142</v>
      </c>
      <c r="B598" s="109">
        <v>12561</v>
      </c>
      <c r="C598" s="110" t="s">
        <v>378</v>
      </c>
      <c r="D598" s="255">
        <v>2911.3</v>
      </c>
    </row>
    <row r="599" spans="1:4">
      <c r="A599" s="108">
        <v>46142</v>
      </c>
      <c r="B599" s="109">
        <v>12563</v>
      </c>
      <c r="C599" s="110" t="s">
        <v>1313</v>
      </c>
      <c r="D599" s="255">
        <v>4699.87</v>
      </c>
    </row>
    <row r="600" spans="1:4">
      <c r="A600" s="108">
        <v>46142</v>
      </c>
      <c r="B600" s="109">
        <v>12564</v>
      </c>
      <c r="C600" s="110" t="s">
        <v>1530</v>
      </c>
      <c r="D600" s="255">
        <v>1390.5</v>
      </c>
    </row>
    <row r="601" spans="1:4">
      <c r="A601" s="108">
        <v>46142</v>
      </c>
      <c r="B601" s="109">
        <v>12566</v>
      </c>
      <c r="C601" s="110" t="s">
        <v>389</v>
      </c>
      <c r="D601" s="255">
        <v>95</v>
      </c>
    </row>
    <row r="602" spans="1:4">
      <c r="A602" s="108">
        <v>46142</v>
      </c>
      <c r="B602" s="109">
        <v>12567</v>
      </c>
      <c r="C602" s="110" t="s">
        <v>1309</v>
      </c>
      <c r="D602" s="255">
        <v>2831.32</v>
      </c>
    </row>
    <row r="603" spans="1:4">
      <c r="A603" s="114">
        <v>46146</v>
      </c>
      <c r="B603" s="115">
        <v>12568</v>
      </c>
      <c r="C603" s="116" t="s">
        <v>375</v>
      </c>
      <c r="D603" s="117">
        <v>2638</v>
      </c>
    </row>
    <row r="604" spans="1:4">
      <c r="A604" s="114">
        <v>46146</v>
      </c>
      <c r="B604" s="115">
        <v>12569</v>
      </c>
      <c r="C604" s="116" t="s">
        <v>1309</v>
      </c>
      <c r="D604" s="117">
        <v>316</v>
      </c>
    </row>
    <row r="605" spans="1:4">
      <c r="A605" s="114">
        <v>46146</v>
      </c>
      <c r="B605" s="115">
        <v>12570</v>
      </c>
      <c r="C605" s="116" t="s">
        <v>388</v>
      </c>
      <c r="D605" s="117">
        <v>705</v>
      </c>
    </row>
    <row r="606" spans="1:4">
      <c r="A606" s="114">
        <v>46147</v>
      </c>
      <c r="B606" s="115">
        <v>12571</v>
      </c>
      <c r="C606" s="116" t="s">
        <v>1302</v>
      </c>
      <c r="D606" s="117">
        <v>338</v>
      </c>
    </row>
    <row r="607" spans="1:4">
      <c r="A607" s="114">
        <v>46148</v>
      </c>
      <c r="B607" s="115">
        <v>12572</v>
      </c>
      <c r="C607" s="116" t="s">
        <v>374</v>
      </c>
      <c r="D607" s="117">
        <v>11650.6</v>
      </c>
    </row>
    <row r="608" spans="1:4">
      <c r="A608" s="114">
        <v>46148</v>
      </c>
      <c r="B608" s="115">
        <v>12573</v>
      </c>
      <c r="C608" s="116" t="s">
        <v>1826</v>
      </c>
      <c r="D608" s="117">
        <v>1378</v>
      </c>
    </row>
    <row r="609" spans="1:4">
      <c r="A609" s="114">
        <v>46148</v>
      </c>
      <c r="B609" s="115">
        <v>12574</v>
      </c>
      <c r="C609" s="116" t="s">
        <v>1376</v>
      </c>
      <c r="D609" s="117">
        <v>750</v>
      </c>
    </row>
    <row r="610" spans="1:4">
      <c r="A610" s="114">
        <v>46148</v>
      </c>
      <c r="B610" s="115">
        <v>12576</v>
      </c>
      <c r="C610" s="116" t="s">
        <v>1301</v>
      </c>
      <c r="D610" s="117">
        <v>818.2</v>
      </c>
    </row>
    <row r="611" spans="1:4">
      <c r="A611" s="114">
        <v>46148</v>
      </c>
      <c r="B611" s="115">
        <v>12577</v>
      </c>
      <c r="C611" s="116" t="s">
        <v>1483</v>
      </c>
      <c r="D611" s="117">
        <v>570.05999999999995</v>
      </c>
    </row>
    <row r="612" spans="1:4">
      <c r="A612" s="114">
        <v>46148</v>
      </c>
      <c r="B612" s="115">
        <v>12580</v>
      </c>
      <c r="C612" s="116" t="s">
        <v>1827</v>
      </c>
      <c r="D612" s="117">
        <v>98.5</v>
      </c>
    </row>
    <row r="613" spans="1:4">
      <c r="A613" s="114">
        <v>46148</v>
      </c>
      <c r="B613" s="115">
        <v>12581</v>
      </c>
      <c r="C613" s="116" t="s">
        <v>1828</v>
      </c>
      <c r="D613" s="117">
        <v>19.989999999999998</v>
      </c>
    </row>
    <row r="614" spans="1:4">
      <c r="A614" s="114">
        <v>46148</v>
      </c>
      <c r="B614" s="115">
        <v>12582</v>
      </c>
      <c r="C614" s="116" t="s">
        <v>1384</v>
      </c>
      <c r="D614" s="117">
        <v>3954</v>
      </c>
    </row>
    <row r="615" spans="1:4">
      <c r="A615" s="114">
        <v>46149</v>
      </c>
      <c r="B615" s="115">
        <v>12583</v>
      </c>
      <c r="C615" s="116" t="s">
        <v>1329</v>
      </c>
      <c r="D615" s="117">
        <v>700</v>
      </c>
    </row>
    <row r="616" spans="1:4">
      <c r="A616" s="114">
        <v>46149</v>
      </c>
      <c r="B616" s="115">
        <v>12584</v>
      </c>
      <c r="C616" s="116" t="s">
        <v>390</v>
      </c>
      <c r="D616" s="117">
        <v>180</v>
      </c>
    </row>
    <row r="617" spans="1:4">
      <c r="A617" s="114">
        <v>46149</v>
      </c>
      <c r="B617" s="115">
        <v>12585</v>
      </c>
      <c r="C617" s="116" t="s">
        <v>1829</v>
      </c>
      <c r="D617" s="117">
        <v>24.99</v>
      </c>
    </row>
    <row r="618" spans="1:4">
      <c r="A618" s="114">
        <v>46149</v>
      </c>
      <c r="B618" s="115">
        <v>12586</v>
      </c>
      <c r="C618" s="116" t="s">
        <v>1373</v>
      </c>
      <c r="D618" s="117">
        <v>7196.5</v>
      </c>
    </row>
    <row r="619" spans="1:4">
      <c r="A619" s="114">
        <v>46149</v>
      </c>
      <c r="B619" s="115">
        <v>12587</v>
      </c>
      <c r="C619" s="116" t="s">
        <v>1530</v>
      </c>
      <c r="D619" s="117">
        <v>326</v>
      </c>
    </row>
    <row r="620" spans="1:4">
      <c r="A620" s="114">
        <v>46149</v>
      </c>
      <c r="B620" s="115">
        <v>12590</v>
      </c>
      <c r="C620" s="116" t="s">
        <v>388</v>
      </c>
      <c r="D620" s="117">
        <v>301.27</v>
      </c>
    </row>
    <row r="621" spans="1:4">
      <c r="A621" s="114">
        <v>46150</v>
      </c>
      <c r="B621" s="115">
        <v>12591</v>
      </c>
      <c r="C621" s="116" t="s">
        <v>1309</v>
      </c>
      <c r="D621" s="117">
        <v>1013</v>
      </c>
    </row>
    <row r="622" spans="1:4">
      <c r="A622" s="114">
        <v>46150</v>
      </c>
      <c r="B622" s="115">
        <v>12592</v>
      </c>
      <c r="C622" s="116" t="s">
        <v>1319</v>
      </c>
      <c r="D622" s="117">
        <v>1167.7</v>
      </c>
    </row>
    <row r="623" spans="1:4">
      <c r="A623" s="114">
        <v>46150</v>
      </c>
      <c r="B623" s="115">
        <v>12593</v>
      </c>
      <c r="C623" s="116" t="s">
        <v>1631</v>
      </c>
      <c r="D623" s="117">
        <v>908</v>
      </c>
    </row>
    <row r="624" spans="1:4">
      <c r="A624" s="114">
        <v>46150</v>
      </c>
      <c r="B624" s="115">
        <v>12595</v>
      </c>
      <c r="C624" s="116" t="s">
        <v>389</v>
      </c>
      <c r="D624" s="117">
        <v>540.70000000000005</v>
      </c>
    </row>
    <row r="625" spans="1:4">
      <c r="A625" s="114">
        <v>46153</v>
      </c>
      <c r="B625" s="115">
        <v>12596</v>
      </c>
      <c r="C625" s="116" t="s">
        <v>1830</v>
      </c>
      <c r="D625" s="117">
        <v>13.99</v>
      </c>
    </row>
    <row r="626" spans="1:4">
      <c r="A626" s="114">
        <v>46153</v>
      </c>
      <c r="B626" s="115">
        <v>12597</v>
      </c>
      <c r="C626" s="116" t="s">
        <v>1434</v>
      </c>
      <c r="D626" s="117">
        <v>173.75</v>
      </c>
    </row>
    <row r="627" spans="1:4">
      <c r="A627" s="114">
        <v>46153</v>
      </c>
      <c r="B627" s="115">
        <v>12598</v>
      </c>
      <c r="C627" s="116" t="s">
        <v>1385</v>
      </c>
      <c r="D627" s="117">
        <v>267.14999999999998</v>
      </c>
    </row>
    <row r="628" spans="1:4">
      <c r="A628" s="114">
        <v>46153</v>
      </c>
      <c r="B628" s="115">
        <v>12599</v>
      </c>
      <c r="C628" s="116" t="s">
        <v>1831</v>
      </c>
      <c r="D628" s="117">
        <v>2047.12</v>
      </c>
    </row>
    <row r="629" spans="1:4">
      <c r="A629" s="114">
        <v>46153</v>
      </c>
      <c r="B629" s="115">
        <v>12600</v>
      </c>
      <c r="C629" s="116" t="s">
        <v>389</v>
      </c>
      <c r="D629" s="117">
        <v>428.5</v>
      </c>
    </row>
    <row r="630" spans="1:4">
      <c r="A630" s="114">
        <v>46153</v>
      </c>
      <c r="B630" s="115">
        <v>12602</v>
      </c>
      <c r="C630" s="116" t="s">
        <v>1832</v>
      </c>
      <c r="D630" s="117">
        <v>306</v>
      </c>
    </row>
    <row r="631" spans="1:4">
      <c r="A631" s="114">
        <v>46154</v>
      </c>
      <c r="B631" s="115">
        <v>12603</v>
      </c>
      <c r="C631" s="116" t="s">
        <v>374</v>
      </c>
      <c r="D631" s="117">
        <v>638.62</v>
      </c>
    </row>
    <row r="632" spans="1:4">
      <c r="A632" s="114">
        <v>46154</v>
      </c>
      <c r="B632" s="115">
        <v>12604</v>
      </c>
      <c r="C632" s="116" t="s">
        <v>388</v>
      </c>
      <c r="D632" s="117">
        <v>261</v>
      </c>
    </row>
    <row r="633" spans="1:4">
      <c r="A633" s="114">
        <v>46154</v>
      </c>
      <c r="B633" s="115">
        <v>12605</v>
      </c>
      <c r="C633" s="116" t="s">
        <v>385</v>
      </c>
      <c r="D633" s="117">
        <v>478</v>
      </c>
    </row>
    <row r="634" spans="1:4">
      <c r="A634" s="114">
        <v>46154</v>
      </c>
      <c r="B634" s="115">
        <v>12606</v>
      </c>
      <c r="C634" s="116" t="s">
        <v>378</v>
      </c>
      <c r="D634" s="117">
        <v>1279</v>
      </c>
    </row>
    <row r="635" spans="1:4">
      <c r="A635" s="114">
        <v>46154</v>
      </c>
      <c r="B635" s="115">
        <v>12607</v>
      </c>
      <c r="C635" s="116" t="s">
        <v>1327</v>
      </c>
      <c r="D635" s="117">
        <v>610</v>
      </c>
    </row>
    <row r="636" spans="1:4">
      <c r="A636" s="114">
        <v>46154</v>
      </c>
      <c r="B636" s="115">
        <v>12608</v>
      </c>
      <c r="C636" s="116" t="s">
        <v>1483</v>
      </c>
      <c r="D636" s="117">
        <v>170</v>
      </c>
    </row>
    <row r="637" spans="1:4">
      <c r="A637" s="114">
        <v>46154</v>
      </c>
      <c r="B637" s="115">
        <v>12609</v>
      </c>
      <c r="C637" s="116" t="s">
        <v>389</v>
      </c>
      <c r="D637" s="117">
        <v>166</v>
      </c>
    </row>
    <row r="638" spans="1:4">
      <c r="A638" s="114">
        <v>46154</v>
      </c>
      <c r="B638" s="115">
        <v>12610</v>
      </c>
      <c r="C638" s="116" t="s">
        <v>1307</v>
      </c>
      <c r="D638" s="117">
        <v>2784.4</v>
      </c>
    </row>
    <row r="639" spans="1:4">
      <c r="A639" s="114">
        <v>46154</v>
      </c>
      <c r="B639" s="115">
        <v>12611</v>
      </c>
      <c r="C639" s="116" t="s">
        <v>379</v>
      </c>
      <c r="D639" s="117">
        <v>4659</v>
      </c>
    </row>
    <row r="640" spans="1:4">
      <c r="A640" s="114">
        <v>46154</v>
      </c>
      <c r="B640" s="115">
        <v>12612</v>
      </c>
      <c r="C640" s="116" t="s">
        <v>375</v>
      </c>
      <c r="D640" s="117">
        <v>3600</v>
      </c>
    </row>
    <row r="641" spans="1:4">
      <c r="A641" s="114">
        <v>46155</v>
      </c>
      <c r="B641" s="115">
        <v>12613</v>
      </c>
      <c r="C641" s="116" t="s">
        <v>1833</v>
      </c>
      <c r="D641" s="117">
        <v>26.99</v>
      </c>
    </row>
    <row r="642" spans="1:4">
      <c r="A642" s="114">
        <v>46155</v>
      </c>
      <c r="B642" s="115">
        <v>12615</v>
      </c>
      <c r="C642" s="116" t="s">
        <v>1834</v>
      </c>
      <c r="D642" s="117">
        <v>23.98</v>
      </c>
    </row>
    <row r="643" spans="1:4">
      <c r="A643" s="114">
        <v>46155</v>
      </c>
      <c r="B643" s="115">
        <v>12616</v>
      </c>
      <c r="C643" s="116" t="s">
        <v>389</v>
      </c>
      <c r="D643" s="117">
        <v>2548.6999999999998</v>
      </c>
    </row>
    <row r="644" spans="1:4">
      <c r="A644" s="114">
        <v>46155</v>
      </c>
      <c r="B644" s="115">
        <v>12618</v>
      </c>
      <c r="C644" s="116" t="s">
        <v>1558</v>
      </c>
      <c r="D644" s="117">
        <v>979.5</v>
      </c>
    </row>
    <row r="645" spans="1:4">
      <c r="A645" s="114">
        <v>46155</v>
      </c>
      <c r="B645" s="115">
        <v>12619</v>
      </c>
      <c r="C645" s="116" t="s">
        <v>1298</v>
      </c>
      <c r="D645" s="117">
        <v>1869.75</v>
      </c>
    </row>
    <row r="646" spans="1:4">
      <c r="A646" s="114">
        <v>46155</v>
      </c>
      <c r="B646" s="115">
        <v>12620</v>
      </c>
      <c r="C646" s="116" t="s">
        <v>1301</v>
      </c>
      <c r="D646" s="117">
        <v>207</v>
      </c>
    </row>
    <row r="647" spans="1:4">
      <c r="A647" s="114">
        <v>46156</v>
      </c>
      <c r="B647" s="115">
        <v>12621</v>
      </c>
      <c r="C647" s="116" t="s">
        <v>1835</v>
      </c>
      <c r="D647" s="117">
        <v>22.99</v>
      </c>
    </row>
    <row r="648" spans="1:4">
      <c r="A648" s="114">
        <v>46156</v>
      </c>
      <c r="B648" s="115">
        <v>12622</v>
      </c>
      <c r="C648" s="116" t="s">
        <v>1333</v>
      </c>
      <c r="D648" s="117">
        <v>12132.27</v>
      </c>
    </row>
    <row r="649" spans="1:4">
      <c r="A649" s="114">
        <v>46156</v>
      </c>
      <c r="B649" s="115">
        <v>12623</v>
      </c>
      <c r="C649" s="116" t="s">
        <v>1836</v>
      </c>
      <c r="D649" s="117">
        <v>2250</v>
      </c>
    </row>
    <row r="650" spans="1:4">
      <c r="A650" s="114">
        <v>46157</v>
      </c>
      <c r="B650" s="115">
        <v>12624</v>
      </c>
      <c r="C650" s="116" t="s">
        <v>1560</v>
      </c>
      <c r="D650" s="117">
        <v>771</v>
      </c>
    </row>
    <row r="651" spans="1:4">
      <c r="A651" s="114">
        <v>46157</v>
      </c>
      <c r="B651" s="115">
        <v>12625</v>
      </c>
      <c r="C651" s="116" t="s">
        <v>1339</v>
      </c>
      <c r="D651" s="117">
        <v>975.5</v>
      </c>
    </row>
    <row r="652" spans="1:4">
      <c r="A652" s="114">
        <v>46157</v>
      </c>
      <c r="B652" s="115">
        <v>12626</v>
      </c>
      <c r="C652" s="116" t="s">
        <v>1837</v>
      </c>
      <c r="D652" s="117">
        <v>129.5</v>
      </c>
    </row>
    <row r="653" spans="1:4">
      <c r="A653" s="114">
        <v>46157</v>
      </c>
      <c r="B653" s="115">
        <v>12627</v>
      </c>
      <c r="C653" s="116" t="s">
        <v>1355</v>
      </c>
      <c r="D653" s="117">
        <v>6244.5</v>
      </c>
    </row>
    <row r="654" spans="1:4">
      <c r="A654" s="114">
        <v>46160</v>
      </c>
      <c r="B654" s="115">
        <v>12628</v>
      </c>
      <c r="C654" s="116" t="s">
        <v>1838</v>
      </c>
      <c r="D654" s="117">
        <v>417</v>
      </c>
    </row>
    <row r="655" spans="1:4">
      <c r="A655" s="114">
        <v>46160</v>
      </c>
      <c r="B655" s="115">
        <v>12629</v>
      </c>
      <c r="C655" s="116" t="s">
        <v>1413</v>
      </c>
      <c r="D655" s="117">
        <v>2135.8200000000002</v>
      </c>
    </row>
    <row r="656" spans="1:4">
      <c r="A656" s="114">
        <v>46160</v>
      </c>
      <c r="B656" s="115">
        <v>12630</v>
      </c>
      <c r="C656" s="116" t="s">
        <v>1839</v>
      </c>
      <c r="D656" s="117">
        <v>452.46</v>
      </c>
    </row>
    <row r="657" spans="1:4">
      <c r="A657" s="114">
        <v>46160</v>
      </c>
      <c r="B657" s="115">
        <v>12631</v>
      </c>
      <c r="C657" s="116" t="s">
        <v>1571</v>
      </c>
      <c r="D657" s="117">
        <v>2520</v>
      </c>
    </row>
    <row r="658" spans="1:4">
      <c r="A658" s="114">
        <v>46161</v>
      </c>
      <c r="B658" s="115">
        <v>12632</v>
      </c>
      <c r="C658" s="116" t="s">
        <v>1394</v>
      </c>
      <c r="D658" s="117">
        <v>118.5</v>
      </c>
    </row>
    <row r="659" spans="1:4">
      <c r="A659" s="114">
        <v>46161</v>
      </c>
      <c r="B659" s="115">
        <v>12633</v>
      </c>
      <c r="C659" s="116" t="s">
        <v>1840</v>
      </c>
      <c r="D659" s="117">
        <v>29.99</v>
      </c>
    </row>
    <row r="660" spans="1:4">
      <c r="A660" s="114">
        <v>46161</v>
      </c>
      <c r="B660" s="115">
        <v>12634</v>
      </c>
      <c r="C660" s="116" t="s">
        <v>1841</v>
      </c>
      <c r="D660" s="117">
        <v>54.99</v>
      </c>
    </row>
    <row r="661" spans="1:4">
      <c r="A661" s="114">
        <v>46161</v>
      </c>
      <c r="B661" s="115">
        <v>12635</v>
      </c>
      <c r="C661" s="116" t="s">
        <v>1842</v>
      </c>
      <c r="D661" s="117">
        <v>14.99</v>
      </c>
    </row>
    <row r="662" spans="1:4">
      <c r="A662" s="114">
        <v>46161</v>
      </c>
      <c r="B662" s="115">
        <v>12636</v>
      </c>
      <c r="C662" s="116" t="s">
        <v>1340</v>
      </c>
      <c r="D662" s="117">
        <v>8639.5</v>
      </c>
    </row>
    <row r="663" spans="1:4">
      <c r="A663" s="114">
        <v>46161</v>
      </c>
      <c r="B663" s="115">
        <v>12637</v>
      </c>
      <c r="C663" s="116" t="s">
        <v>388</v>
      </c>
      <c r="D663" s="117">
        <v>1633</v>
      </c>
    </row>
    <row r="664" spans="1:4">
      <c r="A664" s="114">
        <v>46161</v>
      </c>
      <c r="B664" s="115">
        <v>12638</v>
      </c>
      <c r="C664" s="116" t="s">
        <v>378</v>
      </c>
      <c r="D664" s="117">
        <v>1569.3</v>
      </c>
    </row>
    <row r="665" spans="1:4">
      <c r="A665" s="114">
        <v>46161</v>
      </c>
      <c r="B665" s="115">
        <v>12639</v>
      </c>
      <c r="C665" s="116" t="s">
        <v>387</v>
      </c>
      <c r="D665" s="117">
        <v>475.05</v>
      </c>
    </row>
    <row r="666" spans="1:4">
      <c r="A666" s="114">
        <v>46162</v>
      </c>
      <c r="B666" s="115">
        <v>12640</v>
      </c>
      <c r="C666" s="116" t="s">
        <v>1843</v>
      </c>
      <c r="D666" s="117">
        <v>79.98</v>
      </c>
    </row>
    <row r="667" spans="1:4">
      <c r="A667" s="114">
        <v>46162</v>
      </c>
      <c r="B667" s="115">
        <v>12641</v>
      </c>
      <c r="C667" s="116" t="s">
        <v>1843</v>
      </c>
      <c r="D667" s="117">
        <v>85.98</v>
      </c>
    </row>
    <row r="668" spans="1:4">
      <c r="A668" s="114">
        <v>46162</v>
      </c>
      <c r="B668" s="115">
        <v>12642</v>
      </c>
      <c r="C668" s="116" t="s">
        <v>1844</v>
      </c>
      <c r="D668" s="117">
        <v>26.99</v>
      </c>
    </row>
    <row r="669" spans="1:4">
      <c r="A669" s="114">
        <v>46162</v>
      </c>
      <c r="B669" s="115">
        <v>12643</v>
      </c>
      <c r="C669" s="116" t="s">
        <v>1313</v>
      </c>
      <c r="D669" s="117">
        <v>2021</v>
      </c>
    </row>
    <row r="670" spans="1:4">
      <c r="A670" s="114">
        <v>46162</v>
      </c>
      <c r="B670" s="115">
        <v>12644</v>
      </c>
      <c r="C670" s="116" t="s">
        <v>389</v>
      </c>
      <c r="D670" s="117">
        <v>282</v>
      </c>
    </row>
    <row r="671" spans="1:4">
      <c r="A671" s="114">
        <v>46162</v>
      </c>
      <c r="B671" s="115">
        <v>12645</v>
      </c>
      <c r="C671" s="116" t="s">
        <v>1433</v>
      </c>
      <c r="D671" s="117">
        <v>77.2</v>
      </c>
    </row>
    <row r="672" spans="1:4">
      <c r="A672" s="114">
        <v>46162</v>
      </c>
      <c r="B672" s="115">
        <v>12646</v>
      </c>
      <c r="C672" s="116" t="s">
        <v>1331</v>
      </c>
      <c r="D672" s="117">
        <v>1861.2</v>
      </c>
    </row>
    <row r="673" spans="1:4">
      <c r="A673" s="114">
        <v>46163</v>
      </c>
      <c r="B673" s="115">
        <v>12647</v>
      </c>
      <c r="C673" s="116" t="s">
        <v>1335</v>
      </c>
      <c r="D673" s="117">
        <v>2069.3000000000002</v>
      </c>
    </row>
    <row r="674" spans="1:4">
      <c r="A674" s="114">
        <v>46163</v>
      </c>
      <c r="B674" s="115">
        <v>12648</v>
      </c>
      <c r="C674" s="116" t="s">
        <v>1339</v>
      </c>
      <c r="D674" s="117">
        <v>806.52</v>
      </c>
    </row>
    <row r="675" spans="1:4">
      <c r="A675" s="114">
        <v>46163</v>
      </c>
      <c r="B675" s="115">
        <v>12649</v>
      </c>
      <c r="C675" s="116" t="s">
        <v>377</v>
      </c>
      <c r="D675" s="117">
        <v>1152.5</v>
      </c>
    </row>
    <row r="676" spans="1:4">
      <c r="A676" s="114">
        <v>46163</v>
      </c>
      <c r="B676" s="115">
        <v>12650</v>
      </c>
      <c r="C676" s="116" t="s">
        <v>1845</v>
      </c>
      <c r="D676" s="117">
        <v>87.72</v>
      </c>
    </row>
    <row r="677" spans="1:4">
      <c r="A677" s="114">
        <v>46163</v>
      </c>
      <c r="B677" s="115">
        <v>12651</v>
      </c>
      <c r="C677" s="116" t="s">
        <v>1364</v>
      </c>
      <c r="D677" s="117">
        <v>8940</v>
      </c>
    </row>
    <row r="678" spans="1:4">
      <c r="A678" s="114">
        <v>46163</v>
      </c>
      <c r="B678" s="115">
        <v>12652</v>
      </c>
      <c r="C678" s="116" t="s">
        <v>388</v>
      </c>
      <c r="D678" s="117">
        <v>316.89999999999998</v>
      </c>
    </row>
    <row r="679" spans="1:4">
      <c r="A679" s="114">
        <v>46164</v>
      </c>
      <c r="B679" s="115">
        <v>12653</v>
      </c>
      <c r="C679" s="116" t="s">
        <v>1589</v>
      </c>
      <c r="D679" s="117">
        <v>56</v>
      </c>
    </row>
    <row r="680" spans="1:4">
      <c r="A680" s="114">
        <v>46164</v>
      </c>
      <c r="B680" s="115">
        <v>12654</v>
      </c>
      <c r="C680" s="116" t="s">
        <v>389</v>
      </c>
      <c r="D680" s="117">
        <v>2476</v>
      </c>
    </row>
    <row r="681" spans="1:4">
      <c r="A681" s="114">
        <v>46164</v>
      </c>
      <c r="B681" s="115">
        <v>12655</v>
      </c>
      <c r="C681" s="116" t="s">
        <v>389</v>
      </c>
      <c r="D681" s="117">
        <v>246</v>
      </c>
    </row>
    <row r="682" spans="1:4">
      <c r="A682" s="114">
        <v>46164</v>
      </c>
      <c r="B682" s="115">
        <v>12656</v>
      </c>
      <c r="C682" s="116" t="s">
        <v>1846</v>
      </c>
      <c r="D682" s="117">
        <v>1161.7</v>
      </c>
    </row>
    <row r="683" spans="1:4">
      <c r="A683" s="114">
        <v>46164</v>
      </c>
      <c r="B683" s="115">
        <v>12657</v>
      </c>
      <c r="C683" s="116" t="s">
        <v>1376</v>
      </c>
      <c r="D683" s="117">
        <v>852.5</v>
      </c>
    </row>
    <row r="684" spans="1:4">
      <c r="A684" s="114">
        <v>46167</v>
      </c>
      <c r="B684" s="115">
        <v>12661</v>
      </c>
      <c r="C684" s="116" t="s">
        <v>1847</v>
      </c>
      <c r="D684" s="117">
        <v>16.989999999999998</v>
      </c>
    </row>
    <row r="685" spans="1:4">
      <c r="A685" s="114">
        <v>46167</v>
      </c>
      <c r="B685" s="115">
        <v>12662</v>
      </c>
      <c r="C685" s="116" t="s">
        <v>1848</v>
      </c>
      <c r="D685" s="117">
        <v>24.99</v>
      </c>
    </row>
    <row r="686" spans="1:4">
      <c r="A686" s="114">
        <v>46167</v>
      </c>
      <c r="B686" s="115">
        <v>12663</v>
      </c>
      <c r="C686" s="116" t="s">
        <v>380</v>
      </c>
      <c r="D686" s="117">
        <v>1531</v>
      </c>
    </row>
    <row r="687" spans="1:4">
      <c r="A687" s="114">
        <v>46168</v>
      </c>
      <c r="B687" s="115">
        <v>12664</v>
      </c>
      <c r="C687" s="116" t="s">
        <v>1385</v>
      </c>
      <c r="D687" s="117">
        <v>214.8</v>
      </c>
    </row>
    <row r="688" spans="1:4">
      <c r="A688" s="114">
        <v>46168</v>
      </c>
      <c r="B688" s="115">
        <v>12666</v>
      </c>
      <c r="C688" s="116" t="s">
        <v>1849</v>
      </c>
      <c r="D688" s="117">
        <v>21.99</v>
      </c>
    </row>
    <row r="689" spans="1:4">
      <c r="A689" s="114">
        <v>46169</v>
      </c>
      <c r="B689" s="115">
        <v>12667</v>
      </c>
      <c r="C689" s="116" t="s">
        <v>1850</v>
      </c>
      <c r="D689" s="117">
        <v>165.15</v>
      </c>
    </row>
    <row r="690" spans="1:4">
      <c r="A690" s="114">
        <v>46169</v>
      </c>
      <c r="B690" s="115">
        <v>12668</v>
      </c>
      <c r="C690" s="116" t="s">
        <v>1231</v>
      </c>
      <c r="D690" s="117">
        <v>120</v>
      </c>
    </row>
    <row r="691" spans="1:4">
      <c r="A691" s="114">
        <v>46169</v>
      </c>
      <c r="B691" s="115">
        <v>12671</v>
      </c>
      <c r="C691" s="116" t="s">
        <v>1466</v>
      </c>
      <c r="D691" s="117">
        <v>1600</v>
      </c>
    </row>
    <row r="692" spans="1:4">
      <c r="A692" s="114">
        <v>46169</v>
      </c>
      <c r="B692" s="115">
        <v>12674</v>
      </c>
      <c r="C692" s="116" t="s">
        <v>389</v>
      </c>
      <c r="D692" s="117">
        <v>277.8</v>
      </c>
    </row>
    <row r="693" spans="1:4">
      <c r="A693" s="114">
        <v>46169</v>
      </c>
      <c r="B693" s="115">
        <v>12675</v>
      </c>
      <c r="C693" s="116" t="s">
        <v>1339</v>
      </c>
      <c r="D693" s="117">
        <v>3790.1</v>
      </c>
    </row>
    <row r="694" spans="1:4">
      <c r="A694" s="114">
        <v>46170</v>
      </c>
      <c r="B694" s="115">
        <v>12676</v>
      </c>
      <c r="C694" s="116" t="s">
        <v>1364</v>
      </c>
      <c r="D694" s="117">
        <v>1800.8</v>
      </c>
    </row>
    <row r="695" spans="1:4">
      <c r="A695" s="114">
        <v>46170</v>
      </c>
      <c r="B695" s="115">
        <v>12677</v>
      </c>
      <c r="C695" s="116" t="s">
        <v>1851</v>
      </c>
      <c r="D695" s="117">
        <v>24.99</v>
      </c>
    </row>
    <row r="696" spans="1:4">
      <c r="A696" s="114">
        <v>46170</v>
      </c>
      <c r="B696" s="115">
        <v>12678</v>
      </c>
      <c r="C696" s="116" t="s">
        <v>1852</v>
      </c>
      <c r="D696" s="117">
        <v>69.97</v>
      </c>
    </row>
    <row r="697" spans="1:4">
      <c r="A697" s="114">
        <v>46170</v>
      </c>
      <c r="B697" s="115">
        <v>12679</v>
      </c>
      <c r="C697" s="116" t="s">
        <v>1853</v>
      </c>
      <c r="D697" s="117">
        <v>34.99</v>
      </c>
    </row>
    <row r="698" spans="1:4">
      <c r="A698" s="114">
        <v>46170</v>
      </c>
      <c r="B698" s="115">
        <v>12680</v>
      </c>
      <c r="C698" s="116" t="s">
        <v>1298</v>
      </c>
      <c r="D698" s="117">
        <v>718</v>
      </c>
    </row>
    <row r="699" spans="1:4">
      <c r="A699" s="114">
        <v>46170</v>
      </c>
      <c r="B699" s="115">
        <v>12681</v>
      </c>
      <c r="C699" s="116" t="s">
        <v>1854</v>
      </c>
      <c r="D699" s="117">
        <v>70</v>
      </c>
    </row>
    <row r="700" spans="1:4">
      <c r="A700" s="114">
        <v>46170</v>
      </c>
      <c r="B700" s="115">
        <v>12682</v>
      </c>
      <c r="C700" s="116" t="s">
        <v>1530</v>
      </c>
      <c r="D700" s="117">
        <v>2217</v>
      </c>
    </row>
    <row r="701" spans="1:4">
      <c r="A701" s="114">
        <v>46170</v>
      </c>
      <c r="B701" s="115">
        <v>12683</v>
      </c>
      <c r="C701" s="116" t="s">
        <v>1582</v>
      </c>
      <c r="D701" s="117">
        <v>909.5</v>
      </c>
    </row>
    <row r="702" spans="1:4">
      <c r="A702" s="114">
        <v>46170</v>
      </c>
      <c r="B702" s="115">
        <v>12685</v>
      </c>
      <c r="C702" s="116" t="s">
        <v>389</v>
      </c>
      <c r="D702" s="117">
        <v>66.5</v>
      </c>
    </row>
    <row r="703" spans="1:4">
      <c r="A703" s="114">
        <v>46170</v>
      </c>
      <c r="B703" s="115">
        <v>12686</v>
      </c>
      <c r="C703" s="116" t="s">
        <v>1359</v>
      </c>
      <c r="D703" s="117">
        <v>170</v>
      </c>
    </row>
    <row r="704" spans="1:4">
      <c r="A704" s="114">
        <v>46171</v>
      </c>
      <c r="B704" s="115">
        <v>12688</v>
      </c>
      <c r="C704" s="116" t="s">
        <v>1855</v>
      </c>
      <c r="D704" s="117">
        <v>35.97</v>
      </c>
    </row>
    <row r="705" spans="1:4">
      <c r="A705" s="114">
        <v>46171</v>
      </c>
      <c r="B705" s="115">
        <v>12689</v>
      </c>
      <c r="C705" s="116" t="s">
        <v>1856</v>
      </c>
      <c r="D705" s="117">
        <v>34.99</v>
      </c>
    </row>
    <row r="706" spans="1:4">
      <c r="A706" s="114">
        <v>46171</v>
      </c>
      <c r="B706" s="115">
        <v>12690</v>
      </c>
      <c r="C706" s="116" t="s">
        <v>1564</v>
      </c>
      <c r="D706" s="117">
        <v>76.5</v>
      </c>
    </row>
    <row r="707" spans="1:4">
      <c r="A707" s="114">
        <v>46171</v>
      </c>
      <c r="B707" s="115">
        <v>12691</v>
      </c>
      <c r="C707" s="116" t="s">
        <v>1355</v>
      </c>
      <c r="D707" s="117">
        <v>1723</v>
      </c>
    </row>
    <row r="708" spans="1:4">
      <c r="A708" s="114">
        <v>46171</v>
      </c>
      <c r="B708" s="115">
        <v>12692</v>
      </c>
      <c r="C708" s="116" t="s">
        <v>1537</v>
      </c>
      <c r="D708" s="117">
        <v>438</v>
      </c>
    </row>
    <row r="709" spans="1:4">
      <c r="A709" s="114">
        <v>46171</v>
      </c>
      <c r="B709" s="115">
        <v>12693</v>
      </c>
      <c r="C709" s="116" t="s">
        <v>1364</v>
      </c>
      <c r="D709" s="117">
        <v>738.44</v>
      </c>
    </row>
    <row r="710" spans="1:4">
      <c r="A710" s="114">
        <v>46171</v>
      </c>
      <c r="B710" s="115">
        <v>12694</v>
      </c>
      <c r="C710" s="116" t="s">
        <v>1340</v>
      </c>
      <c r="D710" s="117">
        <v>1418</v>
      </c>
    </row>
    <row r="711" spans="1:4">
      <c r="A711" s="114">
        <v>46171</v>
      </c>
      <c r="B711" s="115">
        <v>12695</v>
      </c>
      <c r="C711" s="116" t="s">
        <v>1412</v>
      </c>
      <c r="D711" s="117">
        <v>2569.1</v>
      </c>
    </row>
    <row r="712" spans="1:4">
      <c r="A712" s="114">
        <v>46171</v>
      </c>
      <c r="B712" s="115">
        <v>12696</v>
      </c>
      <c r="C712" s="116" t="s">
        <v>1329</v>
      </c>
      <c r="D712" s="117">
        <v>2779.6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256F-CD59-4E03-A96B-3357A0B78183}">
  <dimension ref="A4:D4"/>
  <sheetViews>
    <sheetView topLeftCell="A4" workbookViewId="0">
      <selection activeCell="D5" sqref="D5"/>
    </sheetView>
  </sheetViews>
  <sheetFormatPr defaultRowHeight="15"/>
  <cols>
    <col min="1" max="1" width="8.5703125" bestFit="1" customWidth="1"/>
    <col min="2" max="2" width="12.5703125" bestFit="1" customWidth="1"/>
    <col min="3" max="3" width="13.5703125" bestFit="1" customWidth="1"/>
  </cols>
  <sheetData>
    <row r="4" spans="1:4">
      <c r="A4" s="1" t="s">
        <v>1609</v>
      </c>
      <c r="B4" s="1" t="s">
        <v>1610</v>
      </c>
      <c r="C4" s="1" t="s">
        <v>1611</v>
      </c>
      <c r="D4" s="1" t="s">
        <v>1612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5B3-F605-4D0D-AB2D-457AA705406E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Planilha6</vt:lpstr>
      <vt:lpstr>Planilha7</vt:lpstr>
      <vt:lpstr>Home</vt:lpstr>
      <vt:lpstr>Planilha2</vt:lpstr>
      <vt:lpstr>Planilha4</vt:lpstr>
      <vt:lpstr>Planilha5</vt:lpstr>
      <vt:lpstr>Max Led Consolidada</vt:lpstr>
      <vt:lpstr>Resumo Mensal Ilumini</vt:lpstr>
      <vt:lpstr>Resumo Mensal  import</vt:lpstr>
      <vt:lpstr>Entradas- fin- import</vt:lpstr>
      <vt:lpstr>Saidas-fin-import</vt:lpstr>
      <vt:lpstr>Entradas-NFE-Import</vt:lpstr>
      <vt:lpstr>Saídas-NFE-import</vt:lpstr>
      <vt:lpstr>ENTRADAS - FIN - ilumi</vt:lpstr>
      <vt:lpstr>SAIDAS-FIN-ilumi</vt:lpstr>
      <vt:lpstr>ENTRADA NFE ILUMI</vt:lpstr>
      <vt:lpstr>SAÍDA NFE ILUMI</vt:lpstr>
      <vt:lpstr>Piperline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ROCHA</cp:lastModifiedBy>
  <cp:revision/>
  <dcterms:created xsi:type="dcterms:W3CDTF">2026-02-12T12:59:25Z</dcterms:created>
  <dcterms:modified xsi:type="dcterms:W3CDTF">2026-06-11T23:22:33Z</dcterms:modified>
  <cp:category/>
  <cp:contentStatus/>
</cp:coreProperties>
</file>